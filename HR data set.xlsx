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166925"/>
  <mc:AlternateContent xmlns:mc="http://schemas.openxmlformats.org/markup-compatibility/2006">
    <mc:Choice Requires="x15">
      <x15ac:absPath xmlns:x15ac="http://schemas.microsoft.com/office/spreadsheetml/2010/11/ac" url="https://d.docs.live.net/9d518a7a020a0c2e/Documents/"/>
    </mc:Choice>
  </mc:AlternateContent>
  <xr:revisionPtr revIDLastSave="1166" documentId="8_{8C51B5E3-1175-4986-84F7-F3511F97BFC2}" xr6:coauthVersionLast="47" xr6:coauthVersionMax="47" xr10:uidLastSave="{3D60B8E4-A4EF-40F2-938D-D5B5189043A8}"/>
  <bookViews>
    <workbookView xWindow="-108" yWindow="-108" windowWidth="23256" windowHeight="12456" activeTab="1" xr2:uid="{CE6D6ED8-7A3A-4384-B55D-475C451DBA39}"/>
  </bookViews>
  <sheets>
    <sheet name="pivots" sheetId="3" r:id="rId1"/>
    <sheet name="Dashboard" sheetId="2" r:id="rId2"/>
    <sheet name="Data set" sheetId="1" r:id="rId3"/>
  </sheets>
  <definedNames>
    <definedName name="Slicer_Department">#N/A</definedName>
  </definedNames>
  <calcPr calcId="191029"/>
  <pivotCaches>
    <pivotCache cacheId="63"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D2" i="1" l="1" a="1"/>
  <c r="AD2" i="1" s="1"/>
  <c r="AD3" i="1" a="1"/>
  <c r="AD3" i="1" s="1"/>
  <c r="AD4" i="1" a="1"/>
  <c r="AD4" i="1" s="1"/>
  <c r="AD5" i="1" a="1"/>
  <c r="AD5" i="1" s="1"/>
  <c r="AD6" i="1" a="1"/>
  <c r="AD6" i="1"/>
  <c r="AD7" i="1" a="1"/>
  <c r="AD7" i="1"/>
  <c r="AD8" i="1" a="1"/>
  <c r="AD8" i="1" s="1"/>
  <c r="AD9" i="1" a="1"/>
  <c r="AD9" i="1" s="1"/>
  <c r="AD10" i="1" a="1"/>
  <c r="AD10" i="1" s="1"/>
  <c r="AD11" i="1" a="1"/>
  <c r="AD11" i="1" s="1"/>
  <c r="AD12" i="1" a="1"/>
  <c r="AD12" i="1" s="1"/>
  <c r="AD13" i="1" a="1"/>
  <c r="AD13" i="1"/>
  <c r="AD14" i="1" a="1"/>
  <c r="AD14" i="1" s="1"/>
  <c r="AD15" i="1" a="1"/>
  <c r="AD15" i="1" s="1"/>
  <c r="AD16" i="1" a="1"/>
  <c r="AD16" i="1" s="1"/>
  <c r="AD17" i="1" a="1"/>
  <c r="AD17" i="1" s="1"/>
  <c r="AD18" i="1" a="1"/>
  <c r="AD18" i="1" s="1"/>
  <c r="AD19" i="1" a="1"/>
  <c r="AD19" i="1"/>
  <c r="AD20" i="1" a="1"/>
  <c r="AD20" i="1" s="1"/>
  <c r="AD21" i="1" a="1"/>
  <c r="AD21" i="1" s="1"/>
  <c r="AD22" i="1" a="1"/>
  <c r="AD22" i="1" s="1"/>
  <c r="AD23" i="1" a="1"/>
  <c r="AD23" i="1" s="1"/>
  <c r="AD24" i="1" a="1"/>
  <c r="AD24" i="1" s="1"/>
  <c r="AD25" i="1" a="1"/>
  <c r="AD25" i="1"/>
  <c r="AD26" i="1" a="1"/>
  <c r="AD26" i="1" s="1"/>
  <c r="AD27" i="1" a="1"/>
  <c r="AD27" i="1" s="1"/>
  <c r="AD28" i="1" a="1"/>
  <c r="AD28" i="1" s="1"/>
  <c r="AD29" i="1" a="1"/>
  <c r="AD29" i="1" s="1"/>
  <c r="AD30" i="1" a="1"/>
  <c r="AD30" i="1" s="1"/>
  <c r="AD31" i="1" a="1"/>
  <c r="AD31" i="1"/>
  <c r="AD32" i="1" a="1"/>
  <c r="AD32" i="1" s="1"/>
  <c r="AD33" i="1" a="1"/>
  <c r="AD33" i="1" s="1"/>
  <c r="AD34" i="1" a="1"/>
  <c r="AD34" i="1" s="1"/>
  <c r="AD35" i="1" a="1"/>
  <c r="AD35" i="1" s="1"/>
  <c r="AD36" i="1" a="1"/>
  <c r="AD36" i="1" s="1"/>
  <c r="AD37" i="1" a="1"/>
  <c r="AD37" i="1"/>
  <c r="AD38" i="1" a="1"/>
  <c r="AD38" i="1" s="1"/>
  <c r="AD39" i="1" a="1"/>
  <c r="AD39" i="1" s="1"/>
  <c r="AD40" i="1" a="1"/>
  <c r="AD40" i="1" s="1"/>
  <c r="AD41" i="1" a="1"/>
  <c r="AD41" i="1" s="1"/>
  <c r="AD42" i="1" a="1"/>
  <c r="AD42" i="1" s="1"/>
  <c r="AD43" i="1" a="1"/>
  <c r="AD43" i="1"/>
  <c r="AD44" i="1" a="1"/>
  <c r="AD44" i="1" s="1"/>
  <c r="AD45" i="1" a="1"/>
  <c r="AD45" i="1" s="1"/>
  <c r="AD46" i="1" a="1"/>
  <c r="AD46" i="1" s="1"/>
  <c r="AD47" i="1" a="1"/>
  <c r="AD47" i="1" s="1"/>
  <c r="AD48" i="1" a="1"/>
  <c r="AD48" i="1" s="1"/>
  <c r="AD49" i="1" a="1"/>
  <c r="AD49" i="1"/>
  <c r="AD50" i="1" a="1"/>
  <c r="AD50" i="1" s="1"/>
  <c r="AD51" i="1" a="1"/>
  <c r="AD51" i="1" s="1"/>
  <c r="AD52" i="1" a="1"/>
  <c r="AD52" i="1" s="1"/>
  <c r="AD53" i="1" a="1"/>
  <c r="AD53" i="1" s="1"/>
  <c r="AD54" i="1" a="1"/>
  <c r="AD54" i="1" s="1"/>
  <c r="AD55" i="1" a="1"/>
  <c r="AD55" i="1"/>
  <c r="AD56" i="1" a="1"/>
  <c r="AD56" i="1" s="1"/>
  <c r="AD57" i="1" a="1"/>
  <c r="AD57" i="1" s="1"/>
  <c r="AD58" i="1" a="1"/>
  <c r="AD58" i="1" s="1"/>
  <c r="AD59" i="1" a="1"/>
  <c r="AD59" i="1" s="1"/>
  <c r="AD60" i="1" a="1"/>
  <c r="AD60" i="1" s="1"/>
  <c r="AD61" i="1" a="1"/>
  <c r="AD61" i="1"/>
  <c r="AD62" i="1" a="1"/>
  <c r="AD62" i="1" s="1"/>
  <c r="AD63" i="1" a="1"/>
  <c r="AD63" i="1" s="1"/>
  <c r="AD64" i="1" a="1"/>
  <c r="AD64" i="1" s="1"/>
  <c r="AD65" i="1" a="1"/>
  <c r="AD65" i="1" s="1"/>
  <c r="AD66" i="1" a="1"/>
  <c r="AD66" i="1" s="1"/>
  <c r="AD67" i="1" a="1"/>
  <c r="AD67" i="1"/>
  <c r="AD68" i="1" a="1"/>
  <c r="AD68" i="1" s="1"/>
  <c r="AD69" i="1" a="1"/>
  <c r="AD69" i="1" s="1"/>
  <c r="AD70" i="1" a="1"/>
  <c r="AD70" i="1" s="1"/>
  <c r="AD71" i="1" a="1"/>
  <c r="AD71" i="1" s="1"/>
  <c r="AD72" i="1" a="1"/>
  <c r="AD72" i="1" s="1"/>
  <c r="AD73" i="1" a="1"/>
  <c r="AD73" i="1"/>
  <c r="AD74" i="1" a="1"/>
  <c r="AD74" i="1" s="1"/>
  <c r="AD75" i="1" a="1"/>
  <c r="AD75" i="1" s="1"/>
  <c r="AD76" i="1" a="1"/>
  <c r="AD76" i="1" s="1"/>
  <c r="AD77" i="1" a="1"/>
  <c r="AD77" i="1" s="1"/>
  <c r="AD78" i="1" a="1"/>
  <c r="AD78" i="1" s="1"/>
  <c r="AD79" i="1" a="1"/>
  <c r="AD79" i="1"/>
  <c r="AD80" i="1" a="1"/>
  <c r="AD80" i="1" s="1"/>
  <c r="AD81" i="1" a="1"/>
  <c r="AD81" i="1" s="1"/>
  <c r="AD82" i="1" a="1"/>
  <c r="AD82" i="1" s="1"/>
  <c r="AD83" i="1" a="1"/>
  <c r="AD83" i="1" s="1"/>
  <c r="AD84" i="1" a="1"/>
  <c r="AD84" i="1" s="1"/>
  <c r="AD85" i="1" a="1"/>
  <c r="AD85" i="1"/>
  <c r="AD86" i="1" a="1"/>
  <c r="AD86" i="1" s="1"/>
  <c r="AD87" i="1" a="1"/>
  <c r="AD87" i="1" s="1"/>
  <c r="AD88" i="1" a="1"/>
  <c r="AD88" i="1" s="1"/>
  <c r="AD89" i="1" a="1"/>
  <c r="AD89" i="1" s="1"/>
  <c r="AD90" i="1" a="1"/>
  <c r="AD90" i="1" s="1"/>
  <c r="AD91" i="1" a="1"/>
  <c r="AD91" i="1"/>
  <c r="AD92" i="1" a="1"/>
  <c r="AD92" i="1" s="1"/>
  <c r="AD93" i="1" a="1"/>
  <c r="AD93" i="1" s="1"/>
  <c r="AD94" i="1" a="1"/>
  <c r="AD94" i="1" s="1"/>
  <c r="AD95" i="1" a="1"/>
  <c r="AD95" i="1" s="1"/>
  <c r="AD96" i="1" a="1"/>
  <c r="AD96" i="1" s="1"/>
  <c r="AD97" i="1" a="1"/>
  <c r="AD97" i="1"/>
  <c r="AD98" i="1" a="1"/>
  <c r="AD98" i="1" s="1"/>
  <c r="AD99" i="1" a="1"/>
  <c r="AD99" i="1" s="1"/>
  <c r="AD100" i="1" a="1"/>
  <c r="AD100" i="1" s="1"/>
  <c r="AD101" i="1" a="1"/>
  <c r="AD101" i="1" s="1"/>
  <c r="AD102" i="1" a="1"/>
  <c r="AD102" i="1" s="1"/>
  <c r="AD103" i="1" a="1"/>
  <c r="AD103" i="1"/>
  <c r="AD104" i="1" a="1"/>
  <c r="AD104" i="1" s="1"/>
  <c r="AD105" i="1" a="1"/>
  <c r="AD105" i="1" s="1"/>
  <c r="AD106" i="1" a="1"/>
  <c r="AD106" i="1" s="1"/>
  <c r="AD107" i="1" a="1"/>
  <c r="AD107" i="1" s="1"/>
  <c r="AD108" i="1" a="1"/>
  <c r="AD108" i="1" s="1"/>
  <c r="AD109" i="1" a="1"/>
  <c r="AD109" i="1"/>
  <c r="AD110" i="1" a="1"/>
  <c r="AD110" i="1" s="1"/>
  <c r="AD111" i="1" a="1"/>
  <c r="AD111" i="1" s="1"/>
  <c r="AD112" i="1" a="1"/>
  <c r="AD112" i="1" s="1"/>
  <c r="AD113" i="1" a="1"/>
  <c r="AD113" i="1" s="1"/>
  <c r="AD114" i="1" a="1"/>
  <c r="AD114" i="1" s="1"/>
  <c r="AD115" i="1" a="1"/>
  <c r="AD115" i="1"/>
  <c r="AD116" i="1" a="1"/>
  <c r="AD116" i="1" s="1"/>
  <c r="AD117" i="1" a="1"/>
  <c r="AD117" i="1" s="1"/>
  <c r="AD118" i="1" a="1"/>
  <c r="AD118" i="1" s="1"/>
  <c r="AD119" i="1" a="1"/>
  <c r="AD119" i="1" s="1"/>
  <c r="AD120" i="1" a="1"/>
  <c r="AD120" i="1" s="1"/>
  <c r="AD121" i="1" a="1"/>
  <c r="AD121" i="1"/>
  <c r="AD122" i="1" a="1"/>
  <c r="AD122" i="1" s="1"/>
  <c r="AD123" i="1" a="1"/>
  <c r="AD123" i="1" s="1"/>
  <c r="AD124" i="1" a="1"/>
  <c r="AD124" i="1" s="1"/>
  <c r="AD125" i="1" a="1"/>
  <c r="AD125" i="1" s="1"/>
  <c r="AD126" i="1" a="1"/>
  <c r="AD126" i="1" s="1"/>
  <c r="AD127" i="1" a="1"/>
  <c r="AD127" i="1"/>
  <c r="AD128" i="1" a="1"/>
  <c r="AD128" i="1" s="1"/>
  <c r="AD129" i="1" a="1"/>
  <c r="AD129" i="1" s="1"/>
  <c r="AD130" i="1" a="1"/>
  <c r="AD130" i="1" s="1"/>
  <c r="AD131" i="1" a="1"/>
  <c r="AD131" i="1" s="1"/>
  <c r="AD132" i="1" a="1"/>
  <c r="AD132" i="1" s="1"/>
  <c r="AD133" i="1" a="1"/>
  <c r="AD133" i="1"/>
  <c r="AD134" i="1" a="1"/>
  <c r="AD134" i="1" s="1"/>
  <c r="AD135" i="1" a="1"/>
  <c r="AD135" i="1" s="1"/>
  <c r="AD136" i="1" a="1"/>
  <c r="AD136" i="1" s="1"/>
  <c r="AD137" i="1" a="1"/>
  <c r="AD137" i="1" s="1"/>
  <c r="AD138" i="1" a="1"/>
  <c r="AD138" i="1" s="1"/>
  <c r="AD139" i="1" a="1"/>
  <c r="AD139" i="1"/>
  <c r="AD140" i="1" a="1"/>
  <c r="AD140" i="1" s="1"/>
  <c r="AD141" i="1" a="1"/>
  <c r="AD141" i="1" s="1"/>
  <c r="AD142" i="1" a="1"/>
  <c r="AD142" i="1" s="1"/>
  <c r="AD143" i="1" a="1"/>
  <c r="AD143" i="1" s="1"/>
  <c r="AD144" i="1" a="1"/>
  <c r="AD144" i="1" s="1"/>
  <c r="AD145" i="1" a="1"/>
  <c r="AD145" i="1" s="1"/>
  <c r="AD146" i="1" a="1"/>
  <c r="AD146" i="1" s="1"/>
  <c r="AD147" i="1" a="1"/>
  <c r="AD147" i="1" s="1"/>
  <c r="AD148" i="1" a="1"/>
  <c r="AD148" i="1" s="1"/>
  <c r="AD149" i="1" a="1"/>
  <c r="AD149" i="1" s="1"/>
  <c r="AD150" i="1" a="1"/>
  <c r="AD150" i="1" s="1"/>
  <c r="AD151" i="1" a="1"/>
  <c r="AD151" i="1"/>
  <c r="AD152" i="1" a="1"/>
  <c r="AD152" i="1" s="1"/>
  <c r="AD153" i="1" a="1"/>
  <c r="AD153" i="1" s="1"/>
  <c r="AD154" i="1" a="1"/>
  <c r="AD154" i="1" s="1"/>
  <c r="AD155" i="1" a="1"/>
  <c r="AD155" i="1" s="1"/>
  <c r="AD156" i="1" a="1"/>
  <c r="AD156" i="1" s="1"/>
  <c r="AD157" i="1" a="1"/>
  <c r="AD157" i="1" s="1"/>
  <c r="AD158" i="1" a="1"/>
  <c r="AD158" i="1" s="1"/>
  <c r="AD159" i="1" a="1"/>
  <c r="AD159" i="1" s="1"/>
  <c r="AD160" i="1" a="1"/>
  <c r="AD160" i="1" s="1"/>
  <c r="AD161" i="1" a="1"/>
  <c r="AD161" i="1" s="1"/>
  <c r="AD162" i="1" a="1"/>
  <c r="AD162" i="1" s="1"/>
  <c r="AD163" i="1" a="1"/>
  <c r="AD163" i="1" s="1"/>
  <c r="AD164" i="1" a="1"/>
  <c r="AD164" i="1" s="1"/>
  <c r="AD165" i="1" a="1"/>
  <c r="AD165" i="1" s="1"/>
  <c r="AD166" i="1" a="1"/>
  <c r="AD166" i="1" s="1"/>
  <c r="AD167" i="1" a="1"/>
  <c r="AD167" i="1" s="1"/>
  <c r="AD168" i="1" a="1"/>
  <c r="AD168" i="1" s="1"/>
  <c r="AD169" i="1" a="1"/>
  <c r="AD169" i="1"/>
  <c r="AD170" i="1" a="1"/>
  <c r="AD170" i="1" s="1"/>
  <c r="AD171" i="1" a="1"/>
  <c r="AD171" i="1" s="1"/>
  <c r="AD172" i="1" a="1"/>
  <c r="AD172" i="1" s="1"/>
  <c r="AD173" i="1" a="1"/>
  <c r="AD173" i="1" s="1"/>
  <c r="AD174" i="1" a="1"/>
  <c r="AD174" i="1" s="1"/>
  <c r="AD175" i="1" a="1"/>
  <c r="AD175" i="1"/>
  <c r="AD176" i="1" a="1"/>
  <c r="AD176" i="1" s="1"/>
  <c r="AD177" i="1" a="1"/>
  <c r="AD177" i="1" s="1"/>
  <c r="AD178" i="1" a="1"/>
  <c r="AD178" i="1" s="1"/>
  <c r="AD179" i="1" a="1"/>
  <c r="AD179" i="1" s="1"/>
  <c r="AD180" i="1" a="1"/>
  <c r="AD180" i="1" s="1"/>
  <c r="AD181" i="1" a="1"/>
  <c r="AD181" i="1" s="1"/>
  <c r="AD182" i="1" a="1"/>
  <c r="AD182" i="1" s="1"/>
  <c r="AD183" i="1" a="1"/>
  <c r="AD183" i="1" s="1"/>
  <c r="AD184" i="1" a="1"/>
  <c r="AD184" i="1" s="1"/>
  <c r="AD185" i="1" a="1"/>
  <c r="AD185" i="1" s="1"/>
  <c r="AD186" i="1" a="1"/>
  <c r="AD186" i="1" s="1"/>
  <c r="AD187" i="1" a="1"/>
  <c r="AD187" i="1"/>
  <c r="AD188" i="1" a="1"/>
  <c r="AD188" i="1" s="1"/>
  <c r="AD189" i="1" a="1"/>
  <c r="AD189" i="1" s="1"/>
  <c r="AD190" i="1" a="1"/>
  <c r="AD190" i="1" s="1"/>
  <c r="AD191" i="1" a="1"/>
  <c r="AD191" i="1" s="1"/>
  <c r="AD192" i="1" a="1"/>
  <c r="AD192" i="1" s="1"/>
  <c r="AD193" i="1" a="1"/>
  <c r="AD193" i="1"/>
  <c r="AD194" i="1" a="1"/>
  <c r="AD194" i="1" s="1"/>
  <c r="AD195" i="1" a="1"/>
  <c r="AD195" i="1" s="1"/>
  <c r="AD196" i="1" a="1"/>
  <c r="AD196" i="1" s="1"/>
  <c r="AD197" i="1" a="1"/>
  <c r="AD197" i="1" s="1"/>
  <c r="AD198" i="1" a="1"/>
  <c r="AD198" i="1" s="1"/>
  <c r="AD199" i="1" a="1"/>
  <c r="AD199" i="1" s="1"/>
  <c r="AD200" i="1" a="1"/>
  <c r="AD200" i="1" s="1"/>
  <c r="AD201" i="1" a="1"/>
  <c r="AD201" i="1" s="1"/>
  <c r="AD202" i="1" a="1"/>
  <c r="AD202" i="1" s="1"/>
  <c r="AD203" i="1" a="1"/>
  <c r="AD203" i="1" s="1"/>
  <c r="AD204" i="1" a="1"/>
  <c r="AD204" i="1" s="1"/>
  <c r="AD205" i="1" a="1"/>
  <c r="AD205" i="1"/>
  <c r="AD206" i="1" a="1"/>
  <c r="AD206" i="1" s="1"/>
  <c r="AD207" i="1" a="1"/>
  <c r="AD207" i="1" s="1"/>
  <c r="AD208" i="1" a="1"/>
  <c r="AD208" i="1" s="1"/>
  <c r="AD209" i="1" a="1"/>
  <c r="AD209" i="1" s="1"/>
  <c r="AD210" i="1" a="1"/>
  <c r="AD210" i="1" s="1"/>
  <c r="AD211" i="1" a="1"/>
  <c r="AD211" i="1"/>
  <c r="AD212" i="1" a="1"/>
  <c r="AD212" i="1" s="1"/>
  <c r="AD213" i="1" a="1"/>
  <c r="AD213" i="1" s="1"/>
  <c r="AD214" i="1" a="1"/>
  <c r="AD214" i="1" s="1"/>
  <c r="AD215" i="1" a="1"/>
  <c r="AD215" i="1" s="1"/>
  <c r="AD216" i="1" a="1"/>
  <c r="AD216" i="1" s="1"/>
  <c r="AD217" i="1" a="1"/>
  <c r="AD217" i="1" s="1"/>
  <c r="AD218" i="1" a="1"/>
  <c r="AD218" i="1" s="1"/>
  <c r="AD219" i="1" a="1"/>
  <c r="AD219" i="1" s="1"/>
  <c r="AD220" i="1" a="1"/>
  <c r="AD220" i="1" s="1"/>
  <c r="AD221" i="1" a="1"/>
  <c r="AD221" i="1" s="1"/>
  <c r="AD222" i="1" a="1"/>
  <c r="AD222" i="1" s="1"/>
  <c r="AD223" i="1" a="1"/>
  <c r="AD223" i="1"/>
  <c r="AD224" i="1" a="1"/>
  <c r="AD224" i="1" s="1"/>
  <c r="AD225" i="1" a="1"/>
  <c r="AD225" i="1" s="1"/>
  <c r="AD226" i="1" a="1"/>
  <c r="AD226" i="1" s="1"/>
  <c r="AD227" i="1" a="1"/>
  <c r="AD227" i="1" s="1"/>
  <c r="AD228" i="1" a="1"/>
  <c r="AD228" i="1" s="1"/>
  <c r="AD229" i="1" a="1"/>
  <c r="AD229" i="1" s="1"/>
  <c r="AD230" i="1" a="1"/>
  <c r="AD230" i="1" s="1"/>
  <c r="AD231" i="1" a="1"/>
  <c r="AD231" i="1" s="1"/>
  <c r="AD232" i="1" a="1"/>
  <c r="AD232" i="1" s="1"/>
  <c r="AD233" i="1" a="1"/>
  <c r="AD233" i="1" s="1"/>
  <c r="AD234" i="1" a="1"/>
  <c r="AD234" i="1" s="1"/>
  <c r="AD235" i="1" a="1"/>
  <c r="AD235" i="1" s="1"/>
  <c r="AD236" i="1" a="1"/>
  <c r="AD236" i="1" s="1"/>
  <c r="AD237" i="1" a="1"/>
  <c r="AD237" i="1" s="1"/>
  <c r="AD238" i="1" a="1"/>
  <c r="AD238" i="1" s="1"/>
  <c r="AD239" i="1" a="1"/>
  <c r="AD239" i="1" s="1"/>
  <c r="AD240" i="1" a="1"/>
  <c r="AD240" i="1" s="1"/>
  <c r="AD241" i="1" a="1"/>
  <c r="AD241" i="1"/>
  <c r="AD242" i="1" a="1"/>
  <c r="AD242" i="1" s="1"/>
  <c r="AD243" i="1" a="1"/>
  <c r="AD243" i="1" s="1"/>
  <c r="AD244" i="1" a="1"/>
  <c r="AD244" i="1" s="1"/>
  <c r="AD245" i="1" a="1"/>
  <c r="AD245" i="1" s="1"/>
  <c r="AD246" i="1" a="1"/>
  <c r="AD246" i="1" s="1"/>
  <c r="AD247" i="1" a="1"/>
  <c r="AD247" i="1" s="1"/>
  <c r="AD248" i="1" a="1"/>
  <c r="AD248" i="1" s="1"/>
  <c r="AD249" i="1" a="1"/>
  <c r="AD249" i="1" s="1"/>
  <c r="AD250" i="1" a="1"/>
  <c r="AD250" i="1" s="1"/>
  <c r="AD251" i="1" a="1"/>
  <c r="AD251" i="1" s="1"/>
  <c r="AD252" i="1" a="1"/>
  <c r="AD252" i="1" s="1"/>
  <c r="AD253" i="1" a="1"/>
  <c r="AD253" i="1" s="1"/>
  <c r="AD254" i="1" a="1"/>
  <c r="AD254" i="1" s="1"/>
  <c r="AD255" i="1" a="1"/>
  <c r="AD255" i="1" s="1"/>
  <c r="AD256" i="1" a="1"/>
  <c r="AD256" i="1" s="1"/>
  <c r="AD257" i="1" a="1"/>
  <c r="AD257" i="1" s="1"/>
  <c r="AD258" i="1" a="1"/>
  <c r="AD258" i="1" s="1"/>
  <c r="AD259" i="1" a="1"/>
  <c r="AD259" i="1"/>
  <c r="AD260" i="1" a="1"/>
  <c r="AD260" i="1" s="1"/>
  <c r="AD261" i="1" a="1"/>
  <c r="AD261" i="1" s="1"/>
  <c r="AD262" i="1" a="1"/>
  <c r="AD262" i="1" s="1"/>
  <c r="AD263" i="1" a="1"/>
  <c r="AD263" i="1" s="1"/>
  <c r="AD264" i="1" a="1"/>
  <c r="AD264" i="1" s="1"/>
  <c r="AD265" i="1" a="1"/>
  <c r="AD265" i="1"/>
  <c r="AD266" i="1" a="1"/>
  <c r="AD266" i="1" s="1"/>
  <c r="AD267" i="1" a="1"/>
  <c r="AD267" i="1" s="1"/>
  <c r="AD268" i="1" a="1"/>
  <c r="AD268" i="1" s="1"/>
  <c r="AD269" i="1" a="1"/>
  <c r="AD269" i="1" s="1"/>
  <c r="AD270" i="1" a="1"/>
  <c r="AD270" i="1" s="1"/>
  <c r="AD271" i="1" a="1"/>
  <c r="AD271" i="1" s="1"/>
  <c r="AD272" i="1" a="1"/>
  <c r="AD272" i="1" s="1"/>
  <c r="AD273" i="1" a="1"/>
  <c r="AD273" i="1" s="1"/>
  <c r="AD274" i="1" a="1"/>
  <c r="AD274" i="1" s="1"/>
  <c r="AD275" i="1" a="1"/>
  <c r="AD275" i="1" s="1"/>
  <c r="AD276" i="1" a="1"/>
  <c r="AD276" i="1" s="1"/>
  <c r="AD277" i="1" a="1"/>
  <c r="AD277" i="1"/>
  <c r="AD278" i="1" a="1"/>
  <c r="AD278" i="1" s="1"/>
  <c r="AD279" i="1" a="1"/>
  <c r="AD279" i="1" s="1"/>
  <c r="AD280" i="1" a="1"/>
  <c r="AD280" i="1" s="1"/>
  <c r="AD281" i="1" a="1"/>
  <c r="AD281" i="1" s="1"/>
  <c r="AD282" i="1" a="1"/>
  <c r="AD282" i="1" s="1"/>
  <c r="AD283" i="1" a="1"/>
  <c r="AD283" i="1"/>
  <c r="AD284" i="1" a="1"/>
  <c r="AD284" i="1" s="1"/>
  <c r="AD285" i="1" a="1"/>
  <c r="AD285" i="1" s="1"/>
  <c r="AD286" i="1" a="1"/>
  <c r="AD286" i="1" s="1"/>
  <c r="AD287" i="1" a="1"/>
  <c r="AD287" i="1" s="1"/>
  <c r="AD288" i="1" a="1"/>
  <c r="AD288" i="1" s="1"/>
  <c r="AD289" i="1" a="1"/>
  <c r="AD289" i="1" s="1"/>
  <c r="AD290" i="1" a="1"/>
  <c r="AD290" i="1" s="1"/>
  <c r="AD291" i="1" a="1"/>
  <c r="AD291" i="1" s="1"/>
  <c r="AD292" i="1" a="1"/>
  <c r="AD292" i="1" s="1"/>
  <c r="AD293" i="1" a="1"/>
  <c r="AD293" i="1" s="1"/>
  <c r="AD294" i="1" a="1"/>
  <c r="AD294" i="1" s="1"/>
  <c r="AD295" i="1" a="1"/>
  <c r="AD295" i="1"/>
  <c r="AD296" i="1" a="1"/>
  <c r="AD296" i="1" s="1"/>
  <c r="AD297" i="1" a="1"/>
  <c r="AD297" i="1" s="1"/>
  <c r="AD298" i="1" a="1"/>
  <c r="AD298" i="1" s="1"/>
  <c r="AD299" i="1" a="1"/>
  <c r="AD299" i="1" s="1"/>
  <c r="AD300" i="1" a="1"/>
  <c r="AD300" i="1" s="1"/>
  <c r="AD301" i="1" a="1"/>
  <c r="AD301" i="1" s="1"/>
  <c r="AD302" i="1" a="1"/>
  <c r="AD302" i="1" s="1"/>
  <c r="AD303" i="1" a="1"/>
  <c r="AD303" i="1" s="1"/>
  <c r="AD304" i="1" a="1"/>
  <c r="AD304" i="1" s="1"/>
  <c r="AD305" i="1" a="1"/>
  <c r="AD305" i="1" s="1"/>
  <c r="AD306" i="1" a="1"/>
  <c r="AD306" i="1" s="1"/>
  <c r="AD307" i="1" a="1"/>
  <c r="AD307" i="1" s="1"/>
  <c r="AD308" i="1" a="1"/>
  <c r="AD308" i="1" s="1"/>
  <c r="AD309" i="1" a="1"/>
  <c r="AD309" i="1" s="1"/>
  <c r="AD310" i="1" a="1"/>
  <c r="AD310" i="1" s="1"/>
  <c r="AD311" i="1" a="1"/>
  <c r="AD311" i="1" s="1"/>
  <c r="AD312" i="1" a="1"/>
  <c r="AD312" i="1" s="1"/>
  <c r="AD313" i="1" a="1"/>
  <c r="AD313" i="1"/>
  <c r="AD314" i="1" a="1"/>
  <c r="AD314" i="1" s="1"/>
  <c r="AD315" i="1" a="1"/>
  <c r="AD315" i="1" s="1"/>
  <c r="AD316" i="1" a="1"/>
  <c r="AD316" i="1" s="1"/>
  <c r="AD317" i="1" a="1"/>
  <c r="AD317" i="1" s="1"/>
  <c r="AD318" i="1" a="1"/>
  <c r="AD318" i="1" s="1"/>
  <c r="AD319" i="1" a="1"/>
  <c r="AD319" i="1"/>
  <c r="AD320" i="1" a="1"/>
  <c r="AD320" i="1" s="1"/>
  <c r="AD321" i="1" a="1"/>
  <c r="AD321" i="1" s="1"/>
  <c r="AD322" i="1" a="1"/>
  <c r="AD322" i="1" s="1"/>
  <c r="AD323" i="1" a="1"/>
  <c r="AD323" i="1" s="1"/>
  <c r="AD324" i="1" a="1"/>
  <c r="AD324" i="1" s="1"/>
  <c r="AD325" i="1" a="1"/>
  <c r="AD325" i="1" s="1"/>
  <c r="AD326" i="1" a="1"/>
  <c r="AD326" i="1" s="1"/>
  <c r="AD327" i="1" a="1"/>
  <c r="AD327" i="1" s="1"/>
  <c r="AD328" i="1" a="1"/>
  <c r="AD328" i="1" s="1"/>
  <c r="AD329" i="1" a="1"/>
  <c r="AD329" i="1" s="1"/>
  <c r="AD330" i="1" a="1"/>
  <c r="AD330" i="1" s="1"/>
  <c r="AD331" i="1" a="1"/>
  <c r="AD331" i="1"/>
  <c r="AD332" i="1" a="1"/>
  <c r="AD332" i="1" s="1"/>
  <c r="AD333" i="1" a="1"/>
  <c r="AD333" i="1" s="1"/>
  <c r="AD334" i="1" a="1"/>
  <c r="AD334" i="1" s="1"/>
  <c r="AD335" i="1" a="1"/>
  <c r="AD335" i="1" s="1"/>
  <c r="AD336" i="1" a="1"/>
  <c r="AD336" i="1" s="1"/>
  <c r="AD337" i="1" a="1"/>
  <c r="AD337" i="1"/>
  <c r="AD338" i="1" a="1"/>
  <c r="AD338" i="1" s="1"/>
  <c r="AD339" i="1" a="1"/>
  <c r="AD339" i="1" s="1"/>
  <c r="AD340" i="1" a="1"/>
  <c r="AD340" i="1" s="1"/>
  <c r="AD341" i="1" a="1"/>
  <c r="AD341" i="1" s="1"/>
  <c r="AD342" i="1" a="1"/>
  <c r="AD342" i="1" s="1"/>
  <c r="AD343" i="1" a="1"/>
  <c r="AD343" i="1" s="1"/>
  <c r="AD344" i="1" a="1"/>
  <c r="AD344" i="1" s="1"/>
  <c r="AD345" i="1" a="1"/>
  <c r="AD345" i="1" s="1"/>
  <c r="AD346" i="1" a="1"/>
  <c r="AD346" i="1" s="1"/>
  <c r="AD347" i="1" a="1"/>
  <c r="AD347" i="1" s="1"/>
  <c r="AD348" i="1" a="1"/>
  <c r="AD348" i="1" s="1"/>
  <c r="AD349" i="1" a="1"/>
  <c r="AD349" i="1"/>
  <c r="AD350" i="1" a="1"/>
  <c r="AD350" i="1" s="1"/>
  <c r="AD351" i="1" a="1"/>
  <c r="AD351" i="1" s="1"/>
  <c r="AD352" i="1" a="1"/>
  <c r="AD352" i="1" s="1"/>
  <c r="AD353" i="1" a="1"/>
  <c r="AD353" i="1" s="1"/>
  <c r="AD354" i="1" a="1"/>
  <c r="AD354" i="1" s="1"/>
  <c r="AD355" i="1" a="1"/>
  <c r="AD355" i="1"/>
  <c r="AD356" i="1" a="1"/>
  <c r="AD356" i="1" s="1"/>
  <c r="AD357" i="1" a="1"/>
  <c r="AD357" i="1" s="1"/>
  <c r="AD358" i="1" a="1"/>
  <c r="AD358" i="1" s="1"/>
  <c r="AD359" i="1" a="1"/>
  <c r="AD359" i="1" s="1"/>
  <c r="AD360" i="1" a="1"/>
  <c r="AD360" i="1" s="1"/>
  <c r="AD361" i="1" a="1"/>
  <c r="AD361" i="1" s="1"/>
  <c r="AD362" i="1" a="1"/>
  <c r="AD362" i="1" s="1"/>
  <c r="AD363" i="1" a="1"/>
  <c r="AD363" i="1" s="1"/>
  <c r="AD364" i="1" a="1"/>
  <c r="AD364" i="1" s="1"/>
  <c r="AD365" i="1" a="1"/>
  <c r="AD365" i="1" s="1"/>
  <c r="AD366" i="1" a="1"/>
  <c r="AD366" i="1" s="1"/>
  <c r="AD367" i="1" a="1"/>
  <c r="AD367" i="1"/>
  <c r="AD368" i="1" a="1"/>
  <c r="AD368" i="1" s="1"/>
  <c r="AD369" i="1" a="1"/>
  <c r="AD369" i="1" s="1"/>
  <c r="AD370" i="1" a="1"/>
  <c r="AD370" i="1" s="1"/>
  <c r="AD371" i="1" a="1"/>
  <c r="AD371" i="1" s="1"/>
  <c r="AD372" i="1" a="1"/>
  <c r="AD372" i="1" s="1"/>
  <c r="AD373" i="1" a="1"/>
  <c r="AD373" i="1" s="1"/>
  <c r="AD374" i="1" a="1"/>
  <c r="AD374" i="1" s="1"/>
  <c r="AD375" i="1" a="1"/>
  <c r="AD375" i="1" s="1"/>
  <c r="AD376" i="1" a="1"/>
  <c r="AD376" i="1" s="1"/>
  <c r="AD377" i="1" a="1"/>
  <c r="AD377" i="1" s="1"/>
  <c r="AD378" i="1" a="1"/>
  <c r="AD378" i="1" s="1"/>
  <c r="AD379" i="1" a="1"/>
  <c r="AD379" i="1" s="1"/>
  <c r="AD380" i="1" a="1"/>
  <c r="AD380" i="1" s="1"/>
  <c r="AD381" i="1" a="1"/>
  <c r="AD381" i="1" s="1"/>
  <c r="AD382" i="1" a="1"/>
  <c r="AD382" i="1" s="1"/>
  <c r="AD383" i="1" a="1"/>
  <c r="AD383" i="1" s="1"/>
  <c r="AD384" i="1" a="1"/>
  <c r="AD384" i="1" s="1"/>
  <c r="AD385" i="1" a="1"/>
  <c r="AD385" i="1"/>
  <c r="AD386" i="1" a="1"/>
  <c r="AD386" i="1" s="1"/>
  <c r="AD387" i="1" a="1"/>
  <c r="AD387" i="1" s="1"/>
  <c r="AD388" i="1" a="1"/>
  <c r="AD388" i="1" s="1"/>
  <c r="AD389" i="1" a="1"/>
  <c r="AD389" i="1" s="1"/>
  <c r="AD390" i="1" a="1"/>
  <c r="AD390" i="1" s="1"/>
  <c r="AD391" i="1" a="1"/>
  <c r="AD391" i="1"/>
  <c r="AD392" i="1" a="1"/>
  <c r="AD392" i="1" s="1"/>
  <c r="AD393" i="1" a="1"/>
  <c r="AD393" i="1" s="1"/>
  <c r="AD394" i="1" a="1"/>
  <c r="AD394" i="1" s="1"/>
  <c r="AD395" i="1" a="1"/>
  <c r="AD395" i="1" s="1"/>
  <c r="AD396" i="1" a="1"/>
  <c r="AD396" i="1" s="1"/>
  <c r="AD397" i="1" a="1"/>
  <c r="AD397" i="1" s="1"/>
  <c r="AD398" i="1" a="1"/>
  <c r="AD398" i="1" s="1"/>
  <c r="AD399" i="1" a="1"/>
  <c r="AD399" i="1" s="1"/>
  <c r="AD400" i="1" a="1"/>
  <c r="AD400" i="1" s="1"/>
  <c r="AD401" i="1" a="1"/>
  <c r="AD401" i="1" s="1"/>
  <c r="AD402" i="1" a="1"/>
  <c r="AD402" i="1" s="1"/>
  <c r="AD403" i="1" a="1"/>
  <c r="AD403" i="1"/>
  <c r="AD404" i="1" a="1"/>
  <c r="AD404" i="1" s="1"/>
  <c r="AD405" i="1" a="1"/>
  <c r="AD405" i="1" s="1"/>
  <c r="AD406" i="1" a="1"/>
  <c r="AD406" i="1" s="1"/>
  <c r="AD407" i="1" a="1"/>
  <c r="AD407" i="1" s="1"/>
  <c r="AD408" i="1" a="1"/>
  <c r="AD408" i="1" s="1"/>
  <c r="AD409" i="1" a="1"/>
  <c r="AD409" i="1"/>
  <c r="AD410" i="1" a="1"/>
  <c r="AD410" i="1" s="1"/>
  <c r="AD411" i="1" a="1"/>
  <c r="AD411" i="1" s="1"/>
  <c r="AD412" i="1" a="1"/>
  <c r="AD412" i="1" s="1"/>
  <c r="AD413" i="1" a="1"/>
  <c r="AD413" i="1" s="1"/>
  <c r="AD414" i="1" a="1"/>
  <c r="AD414" i="1" s="1"/>
  <c r="AD415" i="1" a="1"/>
  <c r="AD415" i="1" s="1"/>
  <c r="AD416" i="1" a="1"/>
  <c r="AD416" i="1" s="1"/>
  <c r="AD417" i="1" a="1"/>
  <c r="AD417" i="1" s="1"/>
  <c r="AD418" i="1" a="1"/>
  <c r="AD418" i="1" s="1"/>
  <c r="AD419" i="1" a="1"/>
  <c r="AD419" i="1" s="1"/>
  <c r="AD420" i="1" a="1"/>
  <c r="AD420" i="1" s="1"/>
  <c r="AD421" i="1" a="1"/>
  <c r="AD421" i="1"/>
  <c r="AD422" i="1" a="1"/>
  <c r="AD422" i="1" s="1"/>
  <c r="AD423" i="1" a="1"/>
  <c r="AD423" i="1" s="1"/>
  <c r="AD424" i="1" a="1"/>
  <c r="AD424" i="1" s="1"/>
  <c r="AD425" i="1" a="1"/>
  <c r="AD425" i="1" s="1"/>
  <c r="AD426" i="1" a="1"/>
  <c r="AD426" i="1" s="1"/>
  <c r="AD427" i="1" a="1"/>
  <c r="AD427" i="1"/>
  <c r="AD428" i="1" a="1"/>
  <c r="AD428" i="1" s="1"/>
  <c r="AD429" i="1" a="1"/>
  <c r="AD429" i="1" s="1"/>
  <c r="AD430" i="1" a="1"/>
  <c r="AD430" i="1" s="1"/>
  <c r="AD431" i="1" a="1"/>
  <c r="AD431" i="1" s="1"/>
  <c r="AD432" i="1" a="1"/>
  <c r="AD432" i="1" s="1"/>
  <c r="AD433" i="1" a="1"/>
  <c r="AD433" i="1" s="1"/>
  <c r="AD434" i="1" a="1"/>
  <c r="AD434" i="1" s="1"/>
  <c r="AD435" i="1" a="1"/>
  <c r="AD435" i="1" s="1"/>
  <c r="AD436" i="1" a="1"/>
  <c r="AD436" i="1" s="1"/>
  <c r="AD437" i="1" a="1"/>
  <c r="AD437" i="1" s="1"/>
  <c r="AD438" i="1" a="1"/>
  <c r="AD438" i="1" s="1"/>
  <c r="AD439" i="1" a="1"/>
  <c r="AD439" i="1"/>
  <c r="AD440" i="1" a="1"/>
  <c r="AD440" i="1" s="1"/>
  <c r="AD441" i="1" a="1"/>
  <c r="AD441" i="1" s="1"/>
  <c r="AD442" i="1" a="1"/>
  <c r="AD442" i="1" s="1"/>
  <c r="AD443" i="1" a="1"/>
  <c r="AD443" i="1" s="1"/>
  <c r="AD444" i="1" a="1"/>
  <c r="AD444" i="1" s="1"/>
  <c r="AD445" i="1" a="1"/>
  <c r="AD445" i="1" s="1"/>
  <c r="AD446" i="1" a="1"/>
  <c r="AD446" i="1" s="1"/>
  <c r="AD447" i="1" a="1"/>
  <c r="AD447" i="1" s="1"/>
  <c r="AD448" i="1" a="1"/>
  <c r="AD448" i="1" s="1"/>
  <c r="AD449" i="1" a="1"/>
  <c r="AD449" i="1" s="1"/>
  <c r="AD450" i="1" a="1"/>
  <c r="AD450" i="1" s="1"/>
  <c r="AD451" i="1" a="1"/>
  <c r="AD451" i="1" s="1"/>
  <c r="AD452" i="1" a="1"/>
  <c r="AD452" i="1" s="1"/>
  <c r="AD453" i="1" a="1"/>
  <c r="AD453" i="1" s="1"/>
  <c r="AD454" i="1" a="1"/>
  <c r="AD454" i="1" s="1"/>
  <c r="AD455" i="1" a="1"/>
  <c r="AD455" i="1" s="1"/>
  <c r="AD456" i="1" a="1"/>
  <c r="AD456" i="1" s="1"/>
  <c r="AD457" i="1" a="1"/>
  <c r="AD457" i="1"/>
  <c r="AD458" i="1" a="1"/>
  <c r="AD458" i="1" s="1"/>
  <c r="AD459" i="1" a="1"/>
  <c r="AD459" i="1" s="1"/>
  <c r="AD460" i="1" a="1"/>
  <c r="AD460" i="1" s="1"/>
  <c r="AD461" i="1" a="1"/>
  <c r="AD461" i="1" s="1"/>
  <c r="AD462" i="1" a="1"/>
  <c r="AD462" i="1" s="1"/>
  <c r="AD463" i="1" a="1"/>
  <c r="AD463" i="1" s="1"/>
  <c r="AD464" i="1" a="1"/>
  <c r="AD464" i="1" s="1"/>
  <c r="AD465" i="1" a="1"/>
  <c r="AD465" i="1" s="1"/>
  <c r="AD466" i="1" a="1"/>
  <c r="AD466" i="1" s="1"/>
  <c r="AD467" i="1" a="1"/>
  <c r="AD467" i="1" s="1"/>
  <c r="AD468" i="1" a="1"/>
  <c r="AD468" i="1" s="1"/>
  <c r="AD469" i="1" a="1"/>
  <c r="AD469" i="1" s="1"/>
  <c r="AD470" i="1" a="1"/>
  <c r="AD470" i="1" s="1"/>
  <c r="AD471" i="1" a="1"/>
  <c r="AD471" i="1" s="1"/>
  <c r="AD472" i="1" a="1"/>
  <c r="AD472" i="1" s="1"/>
  <c r="AD473" i="1" a="1"/>
  <c r="AD473" i="1" s="1"/>
  <c r="AD474" i="1" a="1"/>
  <c r="AD474" i="1" s="1"/>
  <c r="AD475" i="1" a="1"/>
  <c r="AD475" i="1"/>
  <c r="AD476" i="1" a="1"/>
  <c r="AD476" i="1" s="1"/>
  <c r="AD477" i="1" a="1"/>
  <c r="AD477" i="1" s="1"/>
  <c r="AD478" i="1" a="1"/>
  <c r="AD478" i="1" s="1"/>
  <c r="AD479" i="1" a="1"/>
  <c r="AD479" i="1" s="1"/>
  <c r="AD480" i="1" a="1"/>
  <c r="AD480" i="1" s="1"/>
  <c r="AD481" i="1" a="1"/>
  <c r="AD481" i="1"/>
  <c r="AD482" i="1" a="1"/>
  <c r="AD482" i="1" s="1"/>
  <c r="AD483" i="1" a="1"/>
  <c r="AD483" i="1" s="1"/>
  <c r="AD484" i="1" a="1"/>
  <c r="AD484" i="1" s="1"/>
  <c r="AD485" i="1" a="1"/>
  <c r="AD485" i="1" s="1"/>
  <c r="AD486" i="1" a="1"/>
  <c r="AD486" i="1" s="1"/>
  <c r="AD487" i="1" a="1"/>
  <c r="AD487" i="1" s="1"/>
  <c r="AD488" i="1" a="1"/>
  <c r="AD488" i="1" s="1"/>
  <c r="AD489" i="1" a="1"/>
  <c r="AD489" i="1" s="1"/>
  <c r="AD490" i="1" a="1"/>
  <c r="AD490" i="1" s="1"/>
  <c r="AD491" i="1" a="1"/>
  <c r="AD491" i="1" s="1"/>
  <c r="AD492" i="1" a="1"/>
  <c r="AD492" i="1" s="1"/>
  <c r="AD493" i="1" a="1"/>
  <c r="AD493" i="1"/>
  <c r="AD494" i="1" a="1"/>
  <c r="AD494" i="1" s="1"/>
  <c r="AD495" i="1" a="1"/>
  <c r="AD495" i="1" s="1"/>
  <c r="AD496" i="1" a="1"/>
  <c r="AD496" i="1" s="1"/>
  <c r="AD497" i="1" a="1"/>
  <c r="AD497" i="1" s="1"/>
  <c r="AD498" i="1" a="1"/>
  <c r="AD498" i="1" s="1"/>
  <c r="AD499" i="1" a="1"/>
  <c r="AD499" i="1"/>
  <c r="AD500" i="1" a="1"/>
  <c r="AD500" i="1" s="1"/>
  <c r="AD501" i="1" a="1"/>
  <c r="AD501" i="1" s="1"/>
  <c r="AD502" i="1" a="1"/>
  <c r="AD502" i="1" s="1"/>
  <c r="AD503" i="1" a="1"/>
  <c r="AD503" i="1" s="1"/>
  <c r="AD504" i="1" a="1"/>
  <c r="AD504" i="1" s="1"/>
  <c r="AD505" i="1" a="1"/>
  <c r="AD505" i="1" s="1"/>
  <c r="AD506" i="1" a="1"/>
  <c r="AD506" i="1" s="1"/>
  <c r="AD507" i="1" a="1"/>
  <c r="AD507" i="1" s="1"/>
  <c r="AD508" i="1" a="1"/>
  <c r="AD508" i="1" s="1"/>
  <c r="AD509" i="1" a="1"/>
  <c r="AD509" i="1" s="1"/>
  <c r="AD510" i="1" a="1"/>
  <c r="AD510" i="1" s="1"/>
  <c r="AD511" i="1" a="1"/>
  <c r="AD511" i="1"/>
  <c r="AD512" i="1" a="1"/>
  <c r="AD512" i="1" s="1"/>
  <c r="AD513" i="1" a="1"/>
  <c r="AD513" i="1" s="1"/>
  <c r="AD514" i="1" a="1"/>
  <c r="AD514" i="1"/>
  <c r="AD515" i="1" a="1"/>
  <c r="AD515" i="1" s="1"/>
  <c r="AD516" i="1" a="1"/>
  <c r="AD516" i="1"/>
  <c r="AD517" i="1" a="1"/>
  <c r="AD517" i="1"/>
  <c r="AD518" i="1" a="1"/>
  <c r="AD518" i="1" s="1"/>
  <c r="AD519" i="1" a="1"/>
  <c r="AD519" i="1" s="1"/>
  <c r="AD520" i="1" a="1"/>
  <c r="AD520" i="1"/>
  <c r="AD521" i="1" a="1"/>
  <c r="AD521" i="1" s="1"/>
  <c r="AD522" i="1" a="1"/>
  <c r="AD522" i="1"/>
  <c r="AD523" i="1" a="1"/>
  <c r="AD523" i="1"/>
  <c r="AD524" i="1" a="1"/>
  <c r="AD524" i="1" s="1"/>
  <c r="AD525" i="1" a="1"/>
  <c r="AD525" i="1"/>
  <c r="AD526" i="1" a="1"/>
  <c r="AD526" i="1"/>
  <c r="AD527" i="1" a="1"/>
  <c r="AD527" i="1" s="1"/>
  <c r="AD528" i="1" a="1"/>
  <c r="AD528" i="1"/>
  <c r="AD529" i="1" a="1"/>
  <c r="AD529" i="1"/>
  <c r="AD530" i="1" a="1"/>
  <c r="AD530" i="1" s="1"/>
  <c r="AD531" i="1" a="1"/>
  <c r="AD531" i="1"/>
  <c r="AD532" i="1" a="1"/>
  <c r="AD532" i="1"/>
  <c r="AD533" i="1" a="1"/>
  <c r="AD533" i="1" s="1"/>
  <c r="AD534" i="1" a="1"/>
  <c r="AD534" i="1"/>
  <c r="AD535" i="1" a="1"/>
  <c r="AD535" i="1"/>
  <c r="AD536" i="1" a="1"/>
  <c r="AD536" i="1" s="1"/>
  <c r="AD537" i="1" a="1"/>
  <c r="AD537" i="1" s="1"/>
  <c r="AD538" i="1" a="1"/>
  <c r="AD538" i="1"/>
  <c r="AD539" i="1" a="1"/>
  <c r="AD539" i="1" s="1"/>
  <c r="AD540" i="1" a="1"/>
  <c r="AD540" i="1"/>
  <c r="AD541" i="1" a="1"/>
  <c r="AD541" i="1"/>
  <c r="AD542" i="1" a="1"/>
  <c r="AD542" i="1" s="1"/>
  <c r="AD543" i="1" a="1"/>
  <c r="AD543" i="1"/>
  <c r="AD544" i="1" a="1"/>
  <c r="AD544" i="1"/>
  <c r="AD545" i="1" a="1"/>
  <c r="AD545" i="1" s="1"/>
  <c r="AD546" i="1" a="1"/>
  <c r="AD546" i="1"/>
  <c r="AD547" i="1" a="1"/>
  <c r="AD547" i="1"/>
  <c r="AD548" i="1" a="1"/>
  <c r="AD548" i="1" s="1"/>
  <c r="AD549" i="1" a="1"/>
  <c r="AD549" i="1" s="1"/>
  <c r="AD550" i="1" a="1"/>
  <c r="AD550" i="1"/>
  <c r="AD551" i="1" a="1"/>
  <c r="AD551" i="1" s="1"/>
  <c r="AD552" i="1" a="1"/>
  <c r="AD552" i="1"/>
  <c r="AD553" i="1" a="1"/>
  <c r="AD553" i="1"/>
  <c r="AD554" i="1" a="1"/>
  <c r="AD554" i="1" s="1"/>
  <c r="AD555" i="1" a="1"/>
  <c r="AD555" i="1" s="1"/>
  <c r="AD556" i="1" a="1"/>
  <c r="AD556" i="1"/>
  <c r="AD557" i="1" a="1"/>
  <c r="AD557" i="1" s="1"/>
  <c r="AD558" i="1" a="1"/>
  <c r="AD558" i="1"/>
  <c r="AD559" i="1" a="1"/>
  <c r="AD559" i="1"/>
  <c r="AD560" i="1" a="1"/>
  <c r="AD560" i="1" s="1"/>
  <c r="AD561" i="1" a="1"/>
  <c r="AD561" i="1" s="1"/>
  <c r="AD562" i="1" a="1"/>
  <c r="AD562" i="1"/>
  <c r="AD563" i="1" a="1"/>
  <c r="AD563" i="1" s="1"/>
  <c r="AD564" i="1" a="1"/>
  <c r="AD564" i="1"/>
  <c r="AD565" i="1" a="1"/>
  <c r="AD565" i="1"/>
  <c r="AD566" i="1" a="1"/>
  <c r="AD566" i="1" s="1"/>
  <c r="AD567" i="1" a="1"/>
  <c r="AD567" i="1"/>
  <c r="AD568" i="1" a="1"/>
  <c r="AD568" i="1"/>
  <c r="AD569" i="1" a="1"/>
  <c r="AD569" i="1" s="1"/>
  <c r="AD570" i="1" a="1"/>
  <c r="AD570" i="1"/>
  <c r="AD571" i="1" a="1"/>
  <c r="AD571" i="1" s="1"/>
  <c r="AD572" i="1" a="1"/>
  <c r="AD572" i="1" s="1"/>
  <c r="AD573" i="1" a="1"/>
  <c r="AD573" i="1" s="1"/>
  <c r="AD574" i="1" a="1"/>
  <c r="AD574" i="1"/>
  <c r="AD575" i="1" a="1"/>
  <c r="AD575" i="1" s="1"/>
  <c r="AD576" i="1" a="1"/>
  <c r="AD576" i="1"/>
  <c r="AD577" i="1" a="1"/>
  <c r="AD577" i="1" s="1"/>
  <c r="AD578" i="1" a="1"/>
  <c r="AD578" i="1" s="1"/>
  <c r="AD579" i="1" a="1"/>
  <c r="AD579" i="1" s="1"/>
  <c r="AD580" i="1" a="1"/>
  <c r="AD580" i="1"/>
  <c r="AD581" i="1" a="1"/>
  <c r="AD581" i="1" s="1"/>
  <c r="AD582" i="1" a="1"/>
  <c r="AD582" i="1"/>
  <c r="AD583" i="1" a="1"/>
  <c r="AD583" i="1" s="1"/>
  <c r="AD584" i="1" a="1"/>
  <c r="AD584" i="1" s="1"/>
  <c r="AD585" i="1" a="1"/>
  <c r="AD585" i="1"/>
  <c r="AD586" i="1" a="1"/>
  <c r="AD586" i="1"/>
  <c r="AD587" i="1" a="1"/>
  <c r="AD587" i="1" s="1"/>
  <c r="AD588" i="1" a="1"/>
  <c r="AD588" i="1"/>
  <c r="AD589" i="1" a="1"/>
  <c r="AD589" i="1" s="1"/>
  <c r="AD590" i="1" a="1"/>
  <c r="AD590" i="1" s="1"/>
  <c r="AD591" i="1" a="1"/>
  <c r="AD591" i="1" s="1"/>
  <c r="AD592" i="1" a="1"/>
  <c r="AD592" i="1"/>
  <c r="AD593" i="1" a="1"/>
  <c r="AD593" i="1" s="1"/>
  <c r="AD594" i="1" a="1"/>
  <c r="AD594" i="1"/>
  <c r="AD595" i="1" a="1"/>
  <c r="AD595" i="1" s="1"/>
  <c r="AD596" i="1" a="1"/>
  <c r="AD596" i="1" s="1"/>
  <c r="AD597" i="1" a="1"/>
  <c r="AD597" i="1" s="1"/>
  <c r="AD598" i="1" a="1"/>
  <c r="AD598" i="1"/>
  <c r="AD599" i="1" a="1"/>
  <c r="AD599" i="1" s="1"/>
  <c r="AD600" i="1" a="1"/>
  <c r="AD600" i="1"/>
  <c r="AD601" i="1" a="1"/>
  <c r="AD601" i="1" s="1"/>
  <c r="AD602" i="1" a="1"/>
  <c r="AD602" i="1" s="1"/>
  <c r="AD603" i="1" a="1"/>
  <c r="AD603" i="1" s="1"/>
  <c r="AD604" i="1" a="1"/>
  <c r="AD604" i="1"/>
  <c r="AD605" i="1" a="1"/>
  <c r="AD605" i="1" s="1"/>
  <c r="AD606" i="1" a="1"/>
  <c r="AD606" i="1"/>
  <c r="AD607" i="1" a="1"/>
  <c r="AD607" i="1" s="1"/>
  <c r="AD608" i="1" a="1"/>
  <c r="AD608" i="1" s="1"/>
  <c r="AD609" i="1" a="1"/>
  <c r="AD609" i="1"/>
  <c r="AD610" i="1" a="1"/>
  <c r="AD610" i="1" s="1"/>
  <c r="AD611" i="1" a="1"/>
  <c r="AD611" i="1" s="1"/>
  <c r="AD612" i="1" a="1"/>
  <c r="AD612" i="1"/>
  <c r="AD613" i="1" a="1"/>
  <c r="AD613" i="1" s="1"/>
  <c r="AD614" i="1" a="1"/>
  <c r="AD614" i="1" s="1"/>
  <c r="AD615" i="1" a="1"/>
  <c r="AD615" i="1"/>
  <c r="AD616" i="1" a="1"/>
  <c r="AD616" i="1" s="1"/>
  <c r="AD617" i="1" a="1"/>
  <c r="AD617" i="1" s="1"/>
  <c r="AD618" i="1" a="1"/>
  <c r="AD618" i="1"/>
  <c r="AD619" i="1" a="1"/>
  <c r="AD619" i="1" s="1"/>
  <c r="AD620" i="1" a="1"/>
  <c r="AD620" i="1" s="1"/>
  <c r="AD621" i="1" a="1"/>
  <c r="AD621" i="1" s="1"/>
  <c r="AD622" i="1" a="1"/>
  <c r="AD622" i="1" s="1"/>
  <c r="AD623" i="1" a="1"/>
  <c r="AD623" i="1" s="1"/>
  <c r="AD624" i="1" a="1"/>
  <c r="AD624" i="1" s="1"/>
  <c r="AD625" i="1" a="1"/>
  <c r="AD625" i="1" s="1"/>
  <c r="AD626" i="1" a="1"/>
  <c r="AD626" i="1" s="1"/>
  <c r="AD627" i="1" a="1"/>
  <c r="AD627" i="1"/>
  <c r="AD628" i="1" a="1"/>
  <c r="AD628" i="1" s="1"/>
  <c r="AD629" i="1" a="1"/>
  <c r="AD629" i="1" s="1"/>
  <c r="AD630" i="1" a="1"/>
  <c r="AD630" i="1" s="1"/>
  <c r="AD631" i="1" a="1"/>
  <c r="AD631" i="1" s="1"/>
  <c r="AD632" i="1" a="1"/>
  <c r="AD632" i="1" s="1"/>
  <c r="AD633" i="1" a="1"/>
  <c r="AD633" i="1" s="1"/>
  <c r="AD634" i="1" a="1"/>
  <c r="AD634" i="1" s="1"/>
  <c r="AD635" i="1" a="1"/>
  <c r="AD635" i="1" s="1"/>
  <c r="AD636" i="1" a="1"/>
  <c r="AD636" i="1"/>
  <c r="AD637" i="1" a="1"/>
  <c r="AD637" i="1" s="1"/>
  <c r="AD638" i="1" a="1"/>
  <c r="AD638" i="1" s="1"/>
  <c r="AD639" i="1" a="1"/>
  <c r="AD639" i="1" s="1"/>
  <c r="AD640" i="1" a="1"/>
  <c r="AD640" i="1" s="1"/>
  <c r="AD641" i="1" a="1"/>
  <c r="AD641" i="1" s="1"/>
  <c r="AD642" i="1" a="1"/>
  <c r="AD642" i="1" s="1"/>
  <c r="AD643" i="1" a="1"/>
  <c r="AD643" i="1" s="1"/>
  <c r="AD644" i="1" a="1"/>
  <c r="AD644" i="1" s="1"/>
  <c r="AD645" i="1" a="1"/>
  <c r="AD645" i="1"/>
  <c r="AD646" i="1" a="1"/>
  <c r="AD646" i="1" s="1"/>
  <c r="AD647" i="1" a="1"/>
  <c r="AD647" i="1" s="1"/>
  <c r="AD648" i="1" a="1"/>
  <c r="AD648" i="1" s="1"/>
  <c r="AD649" i="1" a="1"/>
  <c r="AD649" i="1" s="1"/>
  <c r="AD650" i="1" a="1"/>
  <c r="AD650" i="1" s="1"/>
  <c r="AD651" i="1" a="1"/>
  <c r="AD651" i="1" s="1"/>
  <c r="AD652" i="1" a="1"/>
  <c r="AD652" i="1" s="1"/>
  <c r="AD653" i="1" a="1"/>
  <c r="AD653" i="1" s="1"/>
  <c r="AD654" i="1" a="1"/>
  <c r="AD654" i="1"/>
  <c r="AD655" i="1" a="1"/>
  <c r="AD655" i="1" s="1"/>
  <c r="AD656" i="1" a="1"/>
  <c r="AD656" i="1" s="1"/>
  <c r="AD657" i="1" a="1"/>
  <c r="AD657" i="1" s="1"/>
  <c r="AD658" i="1" a="1"/>
  <c r="AD658" i="1" s="1"/>
  <c r="AD659" i="1" a="1"/>
  <c r="AD659" i="1" s="1"/>
  <c r="AD660" i="1" a="1"/>
  <c r="AD660" i="1" s="1"/>
  <c r="AD661" i="1" a="1"/>
  <c r="AD661" i="1" s="1"/>
  <c r="AD662" i="1" a="1"/>
  <c r="AD662" i="1" s="1"/>
  <c r="AD663" i="1" a="1"/>
  <c r="AD663" i="1"/>
  <c r="AD664" i="1" a="1"/>
  <c r="AD664" i="1" s="1"/>
  <c r="AD665" i="1" a="1"/>
  <c r="AD665" i="1" s="1"/>
  <c r="AD666" i="1" a="1"/>
  <c r="AD666" i="1" s="1"/>
  <c r="AD667" i="1" a="1"/>
  <c r="AD667" i="1" s="1"/>
  <c r="AD668" i="1" a="1"/>
  <c r="AD668" i="1" s="1"/>
  <c r="AD669" i="1" a="1"/>
  <c r="AD669" i="1" s="1"/>
  <c r="AD670" i="1" a="1"/>
  <c r="AD670" i="1" s="1"/>
  <c r="AD671" i="1" a="1"/>
  <c r="AD671" i="1" s="1"/>
  <c r="AD672" i="1" a="1"/>
  <c r="AD672" i="1"/>
  <c r="AD673" i="1" a="1"/>
  <c r="AD673" i="1" s="1"/>
  <c r="AD674" i="1" a="1"/>
  <c r="AD674" i="1" s="1"/>
  <c r="AD675" i="1" a="1"/>
  <c r="AD675" i="1" s="1"/>
  <c r="AD676" i="1" a="1"/>
  <c r="AD676" i="1" s="1"/>
  <c r="AD677" i="1" a="1"/>
  <c r="AD677" i="1" s="1"/>
  <c r="AD678" i="1" a="1"/>
  <c r="AD678" i="1" s="1"/>
  <c r="AD679" i="1" a="1"/>
  <c r="AD679" i="1" s="1"/>
  <c r="AD680" i="1" a="1"/>
  <c r="AD680" i="1" s="1"/>
  <c r="AD681" i="1" a="1"/>
  <c r="AD681" i="1"/>
  <c r="AD682" i="1" a="1"/>
  <c r="AD682" i="1" s="1"/>
  <c r="AD683" i="1" a="1"/>
  <c r="AD683" i="1" s="1"/>
  <c r="AD684" i="1" a="1"/>
  <c r="AD684" i="1" s="1"/>
  <c r="AD685" i="1" a="1"/>
  <c r="AD685" i="1" s="1"/>
  <c r="AD686" i="1" a="1"/>
  <c r="AD686" i="1" s="1"/>
  <c r="AD687" i="1" a="1"/>
  <c r="AD687" i="1" s="1"/>
  <c r="AD688" i="1" a="1"/>
  <c r="AD688" i="1" s="1"/>
  <c r="AD689" i="1" a="1"/>
  <c r="AD689" i="1" s="1"/>
  <c r="AD690" i="1" a="1"/>
  <c r="AD690" i="1"/>
  <c r="AD691" i="1" a="1"/>
  <c r="AD691" i="1" s="1"/>
  <c r="AD692" i="1" a="1"/>
  <c r="AD692" i="1" s="1"/>
  <c r="AD693" i="1" a="1"/>
  <c r="AD693" i="1" s="1"/>
  <c r="AD694" i="1" a="1"/>
  <c r="AD694" i="1" s="1"/>
  <c r="AD695" i="1" a="1"/>
  <c r="AD695" i="1" s="1"/>
  <c r="AD696" i="1" a="1"/>
  <c r="AD696" i="1" s="1"/>
  <c r="AD697" i="1" a="1"/>
  <c r="AD697" i="1" s="1"/>
  <c r="AD698" i="1" a="1"/>
  <c r="AD698" i="1" s="1"/>
  <c r="AD699" i="1" a="1"/>
  <c r="AD699" i="1"/>
  <c r="AD700" i="1" a="1"/>
  <c r="AD700" i="1" s="1"/>
  <c r="AD701" i="1" a="1"/>
  <c r="AD701" i="1" s="1"/>
  <c r="AD702" i="1" a="1"/>
  <c r="AD702" i="1" s="1"/>
  <c r="AD703" i="1" a="1"/>
  <c r="AD703" i="1" s="1"/>
  <c r="AD704" i="1" a="1"/>
  <c r="AD704" i="1" s="1"/>
  <c r="AD705" i="1" a="1"/>
  <c r="AD705" i="1" s="1"/>
  <c r="AD706" i="1" a="1"/>
  <c r="AD706" i="1" s="1"/>
  <c r="AD707" i="1" a="1"/>
  <c r="AD707" i="1" s="1"/>
  <c r="AD708" i="1" a="1"/>
  <c r="AD708" i="1" s="1"/>
  <c r="AD709" i="1" a="1"/>
  <c r="AD709" i="1" s="1"/>
  <c r="AD710" i="1" a="1"/>
  <c r="AD710" i="1" s="1"/>
  <c r="AD711" i="1" a="1"/>
  <c r="AD711" i="1" s="1"/>
  <c r="AD712" i="1" a="1"/>
  <c r="AD712" i="1" s="1"/>
  <c r="AD713" i="1" a="1"/>
  <c r="AD713" i="1" s="1"/>
  <c r="AD714" i="1" a="1"/>
  <c r="AD714" i="1" s="1"/>
  <c r="AD715" i="1" a="1"/>
  <c r="AD715" i="1" s="1"/>
  <c r="AD716" i="1" a="1"/>
  <c r="AD716" i="1" s="1"/>
  <c r="AD717" i="1" a="1"/>
  <c r="AD717" i="1" s="1"/>
  <c r="AD718" i="1" a="1"/>
  <c r="AD718" i="1" s="1"/>
  <c r="AD719" i="1" a="1"/>
  <c r="AD719" i="1" s="1"/>
  <c r="AD720" i="1" a="1"/>
  <c r="AD720" i="1" s="1"/>
  <c r="AD721" i="1" a="1"/>
  <c r="AD721" i="1" s="1"/>
  <c r="AD722" i="1" a="1"/>
  <c r="AD722" i="1" s="1"/>
  <c r="AD723" i="1" a="1"/>
  <c r="AD723" i="1" s="1"/>
  <c r="AD724" i="1" a="1"/>
  <c r="AD724" i="1" s="1"/>
  <c r="AD725" i="1" a="1"/>
  <c r="AD725" i="1" s="1"/>
  <c r="AD726" i="1" a="1"/>
  <c r="AD726" i="1" s="1"/>
  <c r="AD727" i="1" a="1"/>
  <c r="AD727" i="1" s="1"/>
  <c r="AD728" i="1" a="1"/>
  <c r="AD728" i="1" s="1"/>
  <c r="AD729" i="1" a="1"/>
  <c r="AD729" i="1" s="1"/>
  <c r="AD730" i="1" a="1"/>
  <c r="AD730" i="1" s="1"/>
  <c r="AD731" i="1" a="1"/>
  <c r="AD731" i="1" s="1"/>
  <c r="AD732" i="1" a="1"/>
  <c r="AD732" i="1" s="1"/>
  <c r="AD733" i="1" a="1"/>
  <c r="AD733" i="1" s="1"/>
  <c r="AD734" i="1" a="1"/>
  <c r="AD734" i="1" s="1"/>
  <c r="AD735" i="1" a="1"/>
  <c r="AD735" i="1" s="1"/>
  <c r="AD736" i="1" a="1"/>
  <c r="AD736" i="1" s="1"/>
  <c r="AD737" i="1" a="1"/>
  <c r="AD737" i="1" s="1"/>
  <c r="AD738" i="1" a="1"/>
  <c r="AD738" i="1" s="1"/>
  <c r="AD739" i="1" a="1"/>
  <c r="AD739" i="1" s="1"/>
  <c r="AD740" i="1" a="1"/>
  <c r="AD740" i="1" s="1"/>
  <c r="AD741" i="1" a="1"/>
  <c r="AD741" i="1" s="1"/>
  <c r="AD742" i="1" a="1"/>
  <c r="AD742" i="1" s="1"/>
  <c r="AD743" i="1" a="1"/>
  <c r="AD743" i="1" s="1"/>
  <c r="AD744" i="1" a="1"/>
  <c r="AD744" i="1" s="1"/>
  <c r="AD745" i="1" a="1"/>
  <c r="AD745" i="1" s="1"/>
  <c r="AD746" i="1" a="1"/>
  <c r="AD746" i="1" s="1"/>
  <c r="AD747" i="1" a="1"/>
  <c r="AD747" i="1" s="1"/>
  <c r="AD748" i="1" a="1"/>
  <c r="AD748" i="1" s="1"/>
  <c r="AD749" i="1" a="1"/>
  <c r="AD749" i="1" s="1"/>
  <c r="AD750" i="1" a="1"/>
  <c r="AD750" i="1" s="1"/>
  <c r="AD751" i="1" a="1"/>
  <c r="AD751" i="1" s="1"/>
  <c r="AD752" i="1" a="1"/>
  <c r="AD752" i="1" s="1"/>
  <c r="AD753" i="1" a="1"/>
  <c r="AD753" i="1" s="1"/>
  <c r="AD754" i="1" a="1"/>
  <c r="AD754" i="1" s="1"/>
  <c r="AD755" i="1" a="1"/>
  <c r="AD755" i="1" s="1"/>
  <c r="AD756" i="1" a="1"/>
  <c r="AD756" i="1" s="1"/>
  <c r="AD757" i="1" a="1"/>
  <c r="AD757" i="1" s="1"/>
  <c r="AD758" i="1" a="1"/>
  <c r="AD758" i="1" s="1"/>
  <c r="AD759" i="1" a="1"/>
  <c r="AD759" i="1" s="1"/>
  <c r="AD760" i="1" a="1"/>
  <c r="AD760" i="1" s="1"/>
  <c r="AD761" i="1" a="1"/>
  <c r="AD761" i="1" s="1"/>
  <c r="AD762" i="1" a="1"/>
  <c r="AD762" i="1" s="1"/>
  <c r="AD763" i="1" a="1"/>
  <c r="AD763" i="1" s="1"/>
  <c r="AD764" i="1" a="1"/>
  <c r="AD764" i="1" s="1"/>
  <c r="AD765" i="1" a="1"/>
  <c r="AD765" i="1" s="1"/>
  <c r="AD766" i="1" a="1"/>
  <c r="AD766" i="1" s="1"/>
  <c r="AD767" i="1" a="1"/>
  <c r="AD767" i="1" s="1"/>
  <c r="AD768" i="1" a="1"/>
  <c r="AD768" i="1" s="1"/>
  <c r="AD769" i="1" a="1"/>
  <c r="AD769" i="1" s="1"/>
  <c r="AD770" i="1" a="1"/>
  <c r="AD770" i="1" s="1"/>
  <c r="AD771" i="1" a="1"/>
  <c r="AD771" i="1" s="1"/>
  <c r="AD772" i="1" a="1"/>
  <c r="AD772" i="1" s="1"/>
  <c r="AD773" i="1" a="1"/>
  <c r="AD773" i="1" s="1"/>
  <c r="AD774" i="1" a="1"/>
  <c r="AD774" i="1" s="1"/>
  <c r="AD775" i="1" a="1"/>
  <c r="AD775" i="1" s="1"/>
  <c r="AD776" i="1" a="1"/>
  <c r="AD776" i="1" s="1"/>
  <c r="AD777" i="1" a="1"/>
  <c r="AD777" i="1" s="1"/>
  <c r="AD778" i="1" a="1"/>
  <c r="AD778" i="1" s="1"/>
  <c r="AD779" i="1" a="1"/>
  <c r="AD779" i="1" s="1"/>
  <c r="AD780" i="1" a="1"/>
  <c r="AD780" i="1" s="1"/>
  <c r="AD781" i="1" a="1"/>
  <c r="AD781" i="1" s="1"/>
  <c r="AD782" i="1" a="1"/>
  <c r="AD782" i="1" s="1"/>
  <c r="AD783" i="1" a="1"/>
  <c r="AD783" i="1" s="1"/>
  <c r="AD784" i="1" a="1"/>
  <c r="AD784" i="1" s="1"/>
  <c r="AD785" i="1" a="1"/>
  <c r="AD785" i="1" s="1"/>
  <c r="AD786" i="1" a="1"/>
  <c r="AD786" i="1" s="1"/>
  <c r="AD787" i="1" a="1"/>
  <c r="AD787" i="1" s="1"/>
  <c r="AD788" i="1" a="1"/>
  <c r="AD788" i="1" s="1"/>
  <c r="AD789" i="1" a="1"/>
  <c r="AD789" i="1" s="1"/>
  <c r="AD790" i="1" a="1"/>
  <c r="AD790" i="1" s="1"/>
  <c r="AD791" i="1" a="1"/>
  <c r="AD791" i="1" s="1"/>
  <c r="AD792" i="1" a="1"/>
  <c r="AD792" i="1" s="1"/>
  <c r="AD793" i="1" a="1"/>
  <c r="AD793" i="1" s="1"/>
  <c r="AD794" i="1" a="1"/>
  <c r="AD794" i="1" s="1"/>
  <c r="AD795" i="1" a="1"/>
  <c r="AD795" i="1" s="1"/>
  <c r="AD796" i="1" a="1"/>
  <c r="AD796" i="1" s="1"/>
  <c r="AD797" i="1" a="1"/>
  <c r="AD797" i="1" s="1"/>
  <c r="AD798" i="1" a="1"/>
  <c r="AD798" i="1" s="1"/>
  <c r="AD799" i="1" a="1"/>
  <c r="AD799" i="1" s="1"/>
  <c r="AD800" i="1" a="1"/>
  <c r="AD800" i="1" s="1"/>
  <c r="AD801" i="1" a="1"/>
  <c r="AD801" i="1" s="1"/>
  <c r="AD802" i="1" a="1"/>
  <c r="AD802" i="1" s="1"/>
  <c r="AD803" i="1" a="1"/>
  <c r="AD803" i="1" s="1"/>
  <c r="AD804" i="1" a="1"/>
  <c r="AD804" i="1" s="1"/>
  <c r="AD805" i="1" a="1"/>
  <c r="AD805" i="1" s="1"/>
  <c r="AD806" i="1" a="1"/>
  <c r="AD806" i="1" s="1"/>
  <c r="AD807" i="1" a="1"/>
  <c r="AD807" i="1" s="1"/>
  <c r="AD808" i="1" a="1"/>
  <c r="AD808" i="1" s="1"/>
  <c r="AD809" i="1" a="1"/>
  <c r="AD809" i="1" s="1"/>
  <c r="AD810" i="1" a="1"/>
  <c r="AD810" i="1" s="1"/>
  <c r="AD811" i="1" a="1"/>
  <c r="AD811" i="1" s="1"/>
  <c r="AD812" i="1" a="1"/>
  <c r="AD812" i="1" s="1"/>
  <c r="AD813" i="1" a="1"/>
  <c r="AD813" i="1" s="1"/>
  <c r="AD814" i="1" a="1"/>
  <c r="AD814" i="1" s="1"/>
  <c r="AD815" i="1" a="1"/>
  <c r="AD815" i="1" s="1"/>
  <c r="AD816" i="1" a="1"/>
  <c r="AD816" i="1" s="1"/>
  <c r="AD817" i="1" a="1"/>
  <c r="AD817" i="1" s="1"/>
  <c r="AD818" i="1" a="1"/>
  <c r="AD818" i="1" s="1"/>
  <c r="AD819" i="1" a="1"/>
  <c r="AD819" i="1" s="1"/>
  <c r="AD820" i="1" a="1"/>
  <c r="AD820" i="1" s="1"/>
  <c r="AD821" i="1" a="1"/>
  <c r="AD821" i="1" s="1"/>
  <c r="AD822" i="1" a="1"/>
  <c r="AD822" i="1" s="1"/>
  <c r="AD823" i="1" a="1"/>
  <c r="AD823" i="1" s="1"/>
  <c r="AD824" i="1" a="1"/>
  <c r="AD824" i="1" s="1"/>
  <c r="AD825" i="1" a="1"/>
  <c r="AD825" i="1" s="1"/>
  <c r="AD826" i="1" a="1"/>
  <c r="AD826" i="1" s="1"/>
  <c r="AD827" i="1" a="1"/>
  <c r="AD827" i="1" s="1"/>
  <c r="AD828" i="1" a="1"/>
  <c r="AD828" i="1" s="1"/>
  <c r="AD829" i="1" a="1"/>
  <c r="AD829" i="1" s="1"/>
  <c r="AD830" i="1" a="1"/>
  <c r="AD830" i="1" s="1"/>
  <c r="AD831" i="1" a="1"/>
  <c r="AD831" i="1" s="1"/>
  <c r="AD832" i="1" a="1"/>
  <c r="AD832" i="1" s="1"/>
  <c r="AD833" i="1" a="1"/>
  <c r="AD833" i="1" s="1"/>
  <c r="AD834" i="1" a="1"/>
  <c r="AD834" i="1" s="1"/>
  <c r="AD835" i="1" a="1"/>
  <c r="AD835" i="1" s="1"/>
  <c r="AD836" i="1" a="1"/>
  <c r="AD836" i="1" s="1"/>
  <c r="AD837" i="1" a="1"/>
  <c r="AD837" i="1" s="1"/>
  <c r="AD838" i="1" a="1"/>
  <c r="AD838" i="1" s="1"/>
  <c r="AD839" i="1" a="1"/>
  <c r="AD839" i="1" s="1"/>
  <c r="AD840" i="1" a="1"/>
  <c r="AD840" i="1" s="1"/>
  <c r="AD841" i="1" a="1"/>
  <c r="AD841" i="1" s="1"/>
  <c r="AD842" i="1" a="1"/>
  <c r="AD842" i="1" s="1"/>
  <c r="AD843" i="1" a="1"/>
  <c r="AD843" i="1" s="1"/>
  <c r="AD844" i="1" a="1"/>
  <c r="AD844" i="1" s="1"/>
  <c r="AD845" i="1" a="1"/>
  <c r="AD845" i="1" s="1"/>
  <c r="AD846" i="1" a="1"/>
  <c r="AD846" i="1" s="1"/>
  <c r="AD847" i="1" a="1"/>
  <c r="AD847" i="1" s="1"/>
  <c r="AD848" i="1" a="1"/>
  <c r="AD848" i="1" s="1"/>
  <c r="AD849" i="1" a="1"/>
  <c r="AD849" i="1" s="1"/>
  <c r="AD850" i="1" a="1"/>
  <c r="AD850" i="1" s="1"/>
  <c r="AD851" i="1" a="1"/>
  <c r="AD851" i="1" s="1"/>
  <c r="AD852" i="1" a="1"/>
  <c r="AD852" i="1" s="1"/>
  <c r="AD853" i="1" a="1"/>
  <c r="AD853" i="1" s="1"/>
  <c r="AD854" i="1" a="1"/>
  <c r="AD854" i="1" s="1"/>
  <c r="AD855" i="1" a="1"/>
  <c r="AD855" i="1" s="1"/>
  <c r="AD856" i="1" a="1"/>
  <c r="AD856" i="1" s="1"/>
  <c r="AD857" i="1" a="1"/>
  <c r="AD857" i="1" s="1"/>
  <c r="AD858" i="1" a="1"/>
  <c r="AD858" i="1" s="1"/>
  <c r="AD859" i="1" a="1"/>
  <c r="AD859" i="1" s="1"/>
  <c r="AD860" i="1" a="1"/>
  <c r="AD860" i="1" s="1"/>
  <c r="AD861" i="1" a="1"/>
  <c r="AD861" i="1" s="1"/>
  <c r="AD862" i="1" a="1"/>
  <c r="AD862" i="1" s="1"/>
  <c r="AD863" i="1" a="1"/>
  <c r="AD863" i="1" s="1"/>
  <c r="AD864" i="1" a="1"/>
  <c r="AD864" i="1" s="1"/>
  <c r="AD865" i="1" a="1"/>
  <c r="AD865" i="1" s="1"/>
  <c r="AD866" i="1" a="1"/>
  <c r="AD866" i="1" s="1"/>
  <c r="AD867" i="1" a="1"/>
  <c r="AD867" i="1" s="1"/>
  <c r="AD868" i="1" a="1"/>
  <c r="AD868" i="1" s="1"/>
  <c r="AD869" i="1" a="1"/>
  <c r="AD869" i="1" s="1"/>
  <c r="AD870" i="1" a="1"/>
  <c r="AD870" i="1" s="1"/>
  <c r="AD871" i="1" a="1"/>
  <c r="AD871" i="1" s="1"/>
  <c r="AD872" i="1" a="1"/>
  <c r="AD872" i="1" s="1"/>
  <c r="AD873" i="1" a="1"/>
  <c r="AD873" i="1" s="1"/>
  <c r="AD874" i="1" a="1"/>
  <c r="AD874" i="1" s="1"/>
  <c r="AD875" i="1" a="1"/>
  <c r="AD875" i="1" s="1"/>
  <c r="AD876" i="1" a="1"/>
  <c r="AD876" i="1" s="1"/>
  <c r="AD877" i="1" a="1"/>
  <c r="AD877" i="1" s="1"/>
  <c r="AD878" i="1" a="1"/>
  <c r="AD878" i="1" s="1"/>
  <c r="AD879" i="1" a="1"/>
  <c r="AD879" i="1" s="1"/>
  <c r="AD880" i="1" a="1"/>
  <c r="AD880" i="1" s="1"/>
  <c r="AD881" i="1" a="1"/>
  <c r="AD881" i="1" s="1"/>
  <c r="AD882" i="1" a="1"/>
  <c r="AD882" i="1" s="1"/>
  <c r="AD883" i="1" a="1"/>
  <c r="AD883" i="1" s="1"/>
  <c r="AD884" i="1" a="1"/>
  <c r="AD884" i="1" s="1"/>
  <c r="AD885" i="1" a="1"/>
  <c r="AD885" i="1" s="1"/>
  <c r="AD886" i="1" a="1"/>
  <c r="AD886" i="1" s="1"/>
  <c r="AD887" i="1" a="1"/>
  <c r="AD887" i="1" s="1"/>
  <c r="AD888" i="1" a="1"/>
  <c r="AD888" i="1" s="1"/>
  <c r="AD889" i="1" a="1"/>
  <c r="AD889" i="1" s="1"/>
  <c r="AD890" i="1" a="1"/>
  <c r="AD890" i="1" s="1"/>
  <c r="AD891" i="1" a="1"/>
  <c r="AD891" i="1" s="1"/>
  <c r="AD892" i="1" a="1"/>
  <c r="AD892" i="1" s="1"/>
  <c r="AD893" i="1" a="1"/>
  <c r="AD893" i="1" s="1"/>
  <c r="AD894" i="1" a="1"/>
  <c r="AD894" i="1" s="1"/>
  <c r="AD895" i="1" a="1"/>
  <c r="AD895" i="1" s="1"/>
  <c r="AD896" i="1" a="1"/>
  <c r="AD896" i="1" s="1"/>
  <c r="AD897" i="1" a="1"/>
  <c r="AD897" i="1" s="1"/>
  <c r="AD898" i="1" a="1"/>
  <c r="AD898" i="1" s="1"/>
  <c r="AD899" i="1" a="1"/>
  <c r="AD899" i="1" s="1"/>
  <c r="AD900" i="1" a="1"/>
  <c r="AD900" i="1" s="1"/>
  <c r="AD901" i="1" a="1"/>
  <c r="AD901" i="1" s="1"/>
  <c r="AD902" i="1" a="1"/>
  <c r="AD902" i="1" s="1"/>
  <c r="AD903" i="1" a="1"/>
  <c r="AD903" i="1" s="1"/>
  <c r="AD904" i="1" a="1"/>
  <c r="AD904" i="1"/>
  <c r="AD905" i="1" a="1"/>
  <c r="AD905" i="1" s="1"/>
  <c r="AD906" i="1" a="1"/>
  <c r="AD906" i="1"/>
  <c r="AD907" i="1" a="1"/>
  <c r="AD907" i="1" s="1"/>
  <c r="AD908" i="1" a="1"/>
  <c r="AD908" i="1" s="1"/>
  <c r="AD909" i="1" a="1"/>
  <c r="AD909" i="1"/>
  <c r="AD910" i="1" a="1"/>
  <c r="AD910" i="1" s="1"/>
  <c r="AD911" i="1" a="1"/>
  <c r="AD911" i="1" s="1"/>
  <c r="AD912" i="1" a="1"/>
  <c r="AD912" i="1"/>
  <c r="AD913" i="1" a="1"/>
  <c r="AD913" i="1" s="1"/>
  <c r="AD914" i="1" a="1"/>
  <c r="AD914" i="1" s="1"/>
  <c r="AD915" i="1" a="1"/>
  <c r="AD915" i="1"/>
  <c r="AD916" i="1" a="1"/>
  <c r="AD916" i="1" s="1"/>
  <c r="AD917" i="1" a="1"/>
  <c r="AD917" i="1" s="1"/>
  <c r="AD918" i="1" a="1"/>
  <c r="AD918" i="1" s="1"/>
  <c r="AD919" i="1" a="1"/>
  <c r="AD919" i="1" s="1"/>
  <c r="AD920" i="1" a="1"/>
  <c r="AD920" i="1" s="1"/>
  <c r="AD921" i="1" a="1"/>
  <c r="AD921" i="1" s="1"/>
  <c r="AD922" i="1" a="1"/>
  <c r="AD922" i="1"/>
  <c r="AD923" i="1" a="1"/>
  <c r="AD923" i="1" s="1"/>
  <c r="AD924" i="1" a="1"/>
  <c r="AD924" i="1" s="1"/>
  <c r="AD925" i="1" a="1"/>
  <c r="AD925" i="1" s="1"/>
  <c r="AD926" i="1" a="1"/>
  <c r="AD926" i="1" s="1"/>
  <c r="AD927" i="1" a="1"/>
  <c r="AD927" i="1" s="1"/>
  <c r="AD928" i="1" a="1"/>
  <c r="AD928" i="1"/>
  <c r="AD929" i="1" a="1"/>
  <c r="AD929" i="1" s="1"/>
  <c r="AD930" i="1" a="1"/>
  <c r="AD930" i="1"/>
  <c r="AD931" i="1" a="1"/>
  <c r="AD931" i="1" s="1"/>
  <c r="AD932" i="1" a="1"/>
  <c r="AD932" i="1" s="1"/>
  <c r="AD933" i="1" a="1"/>
  <c r="AD933" i="1"/>
  <c r="AD934" i="1" a="1"/>
  <c r="AD934" i="1" s="1"/>
  <c r="AD935" i="1" a="1"/>
  <c r="AD935" i="1" s="1"/>
  <c r="AD936" i="1" a="1"/>
  <c r="AD936" i="1"/>
  <c r="AD937" i="1" a="1"/>
  <c r="AD937" i="1" s="1"/>
  <c r="AD938" i="1" a="1"/>
  <c r="AD938" i="1" s="1"/>
  <c r="AD939" i="1" a="1"/>
  <c r="AD939" i="1"/>
  <c r="AD940" i="1" a="1"/>
  <c r="AD940" i="1" s="1"/>
  <c r="AD941" i="1" a="1"/>
  <c r="AD941" i="1" s="1"/>
  <c r="AD942" i="1" a="1"/>
  <c r="AD942" i="1" s="1"/>
  <c r="AD943" i="1" a="1"/>
  <c r="AD943" i="1" s="1"/>
  <c r="AD944" i="1" a="1"/>
  <c r="AD944" i="1" s="1"/>
  <c r="AD945" i="1" a="1"/>
  <c r="AD945" i="1" s="1"/>
  <c r="AD946" i="1" a="1"/>
  <c r="AD946" i="1"/>
  <c r="AD947" i="1" a="1"/>
  <c r="AD947" i="1" s="1"/>
  <c r="AD948" i="1" a="1"/>
  <c r="AD948" i="1" s="1"/>
  <c r="AD949" i="1" a="1"/>
  <c r="AD949" i="1" s="1"/>
  <c r="AD950" i="1" a="1"/>
  <c r="AD950" i="1" s="1"/>
  <c r="AD951" i="1" a="1"/>
  <c r="AD951" i="1" s="1"/>
  <c r="AD952" i="1" a="1"/>
  <c r="AD952" i="1"/>
  <c r="AD953" i="1" a="1"/>
  <c r="AD953" i="1" s="1"/>
  <c r="AD954" i="1" a="1"/>
  <c r="AD954" i="1"/>
  <c r="AD955" i="1" a="1"/>
  <c r="AD955" i="1" s="1"/>
  <c r="AD956" i="1" a="1"/>
  <c r="AD956" i="1" s="1"/>
  <c r="AD957" i="1" a="1"/>
  <c r="AD957" i="1"/>
  <c r="AD958" i="1" a="1"/>
  <c r="AD958" i="1" s="1"/>
  <c r="AD959" i="1" a="1"/>
  <c r="AD959" i="1" s="1"/>
  <c r="AD960" i="1" a="1"/>
  <c r="AD960" i="1"/>
  <c r="AD961" i="1" a="1"/>
  <c r="AD961" i="1" s="1"/>
  <c r="AD962" i="1" a="1"/>
  <c r="AD962" i="1" s="1"/>
  <c r="AD963" i="1" a="1"/>
  <c r="AD963" i="1"/>
  <c r="AD964" i="1" a="1"/>
  <c r="AD964" i="1" s="1"/>
  <c r="AD965" i="1" a="1"/>
  <c r="AD965" i="1" s="1"/>
  <c r="AD966" i="1" a="1"/>
  <c r="AD966" i="1" s="1"/>
  <c r="AD967" i="1" a="1"/>
  <c r="AD967" i="1" s="1"/>
  <c r="AD968" i="1" a="1"/>
  <c r="AD968" i="1" s="1"/>
  <c r="AD969" i="1" a="1"/>
  <c r="AD969" i="1" s="1"/>
  <c r="AD970" i="1" a="1"/>
  <c r="AD970" i="1" s="1"/>
  <c r="AD971" i="1" a="1"/>
  <c r="AD971" i="1" s="1"/>
  <c r="AD972" i="1" a="1"/>
  <c r="AD972" i="1" s="1"/>
  <c r="AD973" i="1" a="1"/>
  <c r="AD973" i="1" s="1"/>
  <c r="AD974" i="1" a="1"/>
  <c r="AD974" i="1" s="1"/>
  <c r="AD975" i="1" a="1"/>
  <c r="AD975" i="1" s="1"/>
  <c r="AD976" i="1" a="1"/>
  <c r="AD976" i="1"/>
  <c r="AD977" i="1" a="1"/>
  <c r="AD977" i="1" s="1"/>
  <c r="AD978" i="1" a="1"/>
  <c r="AD978" i="1" s="1"/>
  <c r="AD979" i="1" a="1"/>
  <c r="AD979" i="1" s="1"/>
  <c r="AD980" i="1" a="1"/>
  <c r="AD980" i="1" s="1"/>
  <c r="AD981" i="1" a="1"/>
  <c r="AD981" i="1"/>
  <c r="AD982" i="1" a="1"/>
  <c r="AD982" i="1" s="1"/>
  <c r="AD983" i="1" a="1"/>
  <c r="AD983" i="1" s="1"/>
  <c r="AD984" i="1" a="1"/>
  <c r="AD984" i="1"/>
  <c r="AD985" i="1" a="1"/>
  <c r="AD985" i="1" s="1"/>
  <c r="AD986" i="1" a="1"/>
  <c r="AD986" i="1" s="1"/>
  <c r="AD987" i="1" a="1"/>
  <c r="AD987" i="1"/>
  <c r="AD988" i="1" a="1"/>
  <c r="AD988" i="1" s="1"/>
  <c r="AD989" i="1" a="1"/>
  <c r="AD989" i="1" s="1"/>
  <c r="AD990" i="1" a="1"/>
  <c r="AD990" i="1" s="1"/>
  <c r="AD991" i="1" a="1"/>
  <c r="AD991" i="1" s="1"/>
  <c r="AD992" i="1" a="1"/>
  <c r="AD992" i="1"/>
  <c r="AD993" i="1" a="1"/>
  <c r="AD993" i="1" s="1"/>
  <c r="AD994" i="1" a="1"/>
  <c r="AD994" i="1"/>
  <c r="AD995" i="1" a="1"/>
  <c r="AD995" i="1" s="1"/>
  <c r="AD996" i="1" a="1"/>
  <c r="AD996" i="1" s="1"/>
  <c r="AD997" i="1" a="1"/>
  <c r="AD997" i="1" s="1"/>
  <c r="AD998" i="1" a="1"/>
  <c r="AD998" i="1" s="1"/>
  <c r="AD999" i="1" a="1"/>
  <c r="AD999" i="1" s="1"/>
  <c r="AD1000" i="1" a="1"/>
  <c r="AD1000" i="1"/>
  <c r="AD1001" i="1" a="1"/>
  <c r="AD1001" i="1" s="1"/>
  <c r="AD1002" i="1" a="1"/>
  <c r="AD1002" i="1"/>
  <c r="AD1003" i="1" a="1"/>
  <c r="AD1003" i="1" s="1"/>
  <c r="AD1004" i="1" a="1"/>
  <c r="AD1004" i="1" s="1"/>
  <c r="AD1005" i="1" a="1"/>
  <c r="AD1005" i="1" s="1"/>
  <c r="AD1006" i="1" a="1"/>
  <c r="AD1006" i="1"/>
  <c r="AD1007" i="1" a="1"/>
  <c r="AD1007" i="1" s="1"/>
  <c r="AD1008" i="1" a="1"/>
  <c r="AD1008" i="1" s="1"/>
  <c r="AD1009" i="1" a="1"/>
  <c r="AD1009" i="1" s="1"/>
  <c r="AD1010" i="1" a="1"/>
  <c r="AD1010" i="1" s="1"/>
  <c r="AD1011" i="1" a="1"/>
  <c r="AD1011" i="1" s="1"/>
  <c r="AD1012" i="1" a="1"/>
  <c r="AD1012" i="1"/>
  <c r="AD1013" i="1" a="1"/>
  <c r="AD1013" i="1" s="1"/>
  <c r="AD1014" i="1" a="1"/>
  <c r="AD1014" i="1" s="1"/>
  <c r="AD1015" i="1" a="1"/>
  <c r="AD1015" i="1" s="1"/>
  <c r="AD1016" i="1" a="1"/>
  <c r="AD1016" i="1" s="1"/>
  <c r="AD1017" i="1" a="1"/>
  <c r="AD1017" i="1" s="1"/>
  <c r="AD1018" i="1" a="1"/>
  <c r="AD1018" i="1"/>
  <c r="AD1019" i="1" a="1"/>
  <c r="AD1019" i="1" s="1"/>
  <c r="AD1020" i="1" a="1"/>
  <c r="AD1020" i="1"/>
  <c r="AD1021" i="1" a="1"/>
  <c r="AD1021" i="1" s="1"/>
  <c r="AD1022" i="1" a="1"/>
  <c r="AD1022" i="1" s="1"/>
  <c r="AD1023" i="1" a="1"/>
  <c r="AD1023" i="1" s="1"/>
  <c r="AD1024" i="1" a="1"/>
  <c r="AD1024" i="1"/>
  <c r="AD1025" i="1" a="1"/>
  <c r="AD1025" i="1" s="1"/>
  <c r="AD1026" i="1" a="1"/>
  <c r="AD1026" i="1" s="1"/>
  <c r="AD1027" i="1" a="1"/>
  <c r="AD1027" i="1" s="1"/>
  <c r="AD1028" i="1" a="1"/>
  <c r="AD1028" i="1" s="1"/>
  <c r="AD1029" i="1" a="1"/>
  <c r="AD1029" i="1" s="1"/>
  <c r="AD1030" i="1" a="1"/>
  <c r="AD1030" i="1"/>
  <c r="AD1031" i="1" a="1"/>
  <c r="AD1031" i="1" s="1"/>
  <c r="AD1032" i="1" a="1"/>
  <c r="AD1032" i="1" s="1"/>
  <c r="AD1033" i="1" a="1"/>
  <c r="AD1033" i="1" s="1"/>
  <c r="AD1034" i="1" a="1"/>
  <c r="AD1034" i="1" s="1"/>
  <c r="AD1035" i="1" a="1"/>
  <c r="AD1035" i="1" s="1"/>
  <c r="AD1036" i="1" a="1"/>
  <c r="AD1036" i="1"/>
  <c r="AD1037" i="1" a="1"/>
  <c r="AD1037" i="1" s="1"/>
  <c r="AD1038" i="1" a="1"/>
  <c r="AD1038" i="1"/>
  <c r="AD1039" i="1" a="1"/>
  <c r="AD1039" i="1" s="1"/>
  <c r="AD1040" i="1" a="1"/>
  <c r="AD1040" i="1" s="1"/>
  <c r="AD1041" i="1" a="1"/>
  <c r="AD1041" i="1" s="1"/>
  <c r="AD1042" i="1" a="1"/>
  <c r="AD1042" i="1"/>
  <c r="AD1043" i="1" a="1"/>
  <c r="AD1043" i="1" s="1"/>
  <c r="AD1044" i="1" a="1"/>
  <c r="AD1044" i="1" s="1"/>
  <c r="AD1045" i="1" a="1"/>
  <c r="AD1045" i="1" s="1"/>
  <c r="AD1046" i="1" a="1"/>
  <c r="AD1046" i="1" s="1"/>
  <c r="AD1047" i="1" a="1"/>
  <c r="AD1047" i="1" s="1"/>
  <c r="AD1048" i="1" a="1"/>
  <c r="AD1048" i="1"/>
  <c r="AD1049" i="1" a="1"/>
  <c r="AD1049" i="1" s="1"/>
  <c r="AD1050" i="1" a="1"/>
  <c r="AD1050" i="1" s="1"/>
  <c r="AD1051" i="1" a="1"/>
  <c r="AD1051" i="1" s="1"/>
  <c r="AD1052" i="1" a="1"/>
  <c r="AD1052" i="1" s="1"/>
  <c r="AD1053" i="1" a="1"/>
  <c r="AD1053" i="1" s="1"/>
  <c r="AD1054" i="1" a="1"/>
  <c r="AD1054" i="1"/>
  <c r="AD1055" i="1" a="1"/>
  <c r="AD1055" i="1" s="1"/>
  <c r="AD1056" i="1" a="1"/>
  <c r="AD1056" i="1"/>
  <c r="AD1057" i="1" a="1"/>
  <c r="AD1057" i="1" s="1"/>
  <c r="AD1058" i="1" a="1"/>
  <c r="AD1058" i="1" s="1"/>
  <c r="AD1059" i="1" a="1"/>
  <c r="AD1059" i="1" s="1"/>
  <c r="AD1060" i="1" a="1"/>
  <c r="AD1060" i="1"/>
  <c r="AD1061" i="1" a="1"/>
  <c r="AD1061" i="1" s="1"/>
  <c r="AD1062" i="1" a="1"/>
  <c r="AD1062" i="1" s="1"/>
  <c r="AD1063" i="1" a="1"/>
  <c r="AD1063" i="1" s="1"/>
  <c r="AD1064" i="1" a="1"/>
  <c r="AD1064" i="1" s="1"/>
  <c r="AD1065" i="1" a="1"/>
  <c r="AD1065" i="1" s="1"/>
  <c r="AD1066" i="1" a="1"/>
  <c r="AD1066" i="1"/>
  <c r="AD1067" i="1" a="1"/>
  <c r="AD1067" i="1" s="1"/>
  <c r="AD1068" i="1" a="1"/>
  <c r="AD1068" i="1" s="1"/>
  <c r="AD1069" i="1" a="1"/>
  <c r="AD1069" i="1" s="1"/>
  <c r="AD1070" i="1" a="1"/>
  <c r="AD1070" i="1" s="1"/>
  <c r="AD1071" i="1" a="1"/>
  <c r="AD1071" i="1" s="1"/>
  <c r="AD1072" i="1" a="1"/>
  <c r="AD1072" i="1"/>
  <c r="AD1073" i="1" a="1"/>
  <c r="AD1073" i="1" s="1"/>
  <c r="AD1074" i="1" a="1"/>
  <c r="AD1074" i="1"/>
  <c r="AD1075" i="1" a="1"/>
  <c r="AD1075" i="1" s="1"/>
  <c r="AD1076" i="1" a="1"/>
  <c r="AD1076" i="1" s="1"/>
  <c r="AD1077" i="1" a="1"/>
  <c r="AD1077" i="1" s="1"/>
  <c r="AD1078" i="1" a="1"/>
  <c r="AD1078" i="1"/>
  <c r="AD1079" i="1" a="1"/>
  <c r="AD1079" i="1" s="1"/>
  <c r="AD1080" i="1" a="1"/>
  <c r="AD1080" i="1" s="1"/>
  <c r="AD1081" i="1" a="1"/>
  <c r="AD1081" i="1" s="1"/>
  <c r="AD1082" i="1" a="1"/>
  <c r="AD1082" i="1" s="1"/>
  <c r="AD1083" i="1" a="1"/>
  <c r="AD1083" i="1" s="1"/>
  <c r="AD1084" i="1" a="1"/>
  <c r="AD1084" i="1" s="1"/>
  <c r="AD1085" i="1" a="1"/>
  <c r="AD1085" i="1" s="1"/>
  <c r="AD1086" i="1" a="1"/>
  <c r="AD1086" i="1" s="1"/>
  <c r="AD1087" i="1" a="1"/>
  <c r="AD1087" i="1" s="1"/>
  <c r="AD1088" i="1" a="1"/>
  <c r="AD1088" i="1" s="1"/>
  <c r="AD1089" i="1" a="1"/>
  <c r="AD1089" i="1" s="1"/>
  <c r="AD1090" i="1" a="1"/>
  <c r="AD1090" i="1"/>
  <c r="AD1091" i="1" a="1"/>
  <c r="AD1091" i="1" s="1"/>
  <c r="AD1092" i="1" a="1"/>
  <c r="AD1092" i="1"/>
  <c r="AD1093" i="1" a="1"/>
  <c r="AD1093" i="1" s="1"/>
  <c r="AD1094" i="1" a="1"/>
  <c r="AD1094" i="1" s="1"/>
  <c r="AD1095" i="1" a="1"/>
  <c r="AD1095" i="1" s="1"/>
  <c r="AD1096" i="1" a="1"/>
  <c r="AD1096" i="1"/>
  <c r="AD1097" i="1" a="1"/>
  <c r="AD1097" i="1" s="1"/>
  <c r="AD1098" i="1" a="1"/>
  <c r="AD1098" i="1" s="1"/>
  <c r="AD1099" i="1" a="1"/>
  <c r="AD1099" i="1" s="1"/>
  <c r="AD1100" i="1" a="1"/>
  <c r="AD1100" i="1" s="1"/>
  <c r="AD1101" i="1" a="1"/>
  <c r="AD1101" i="1" s="1"/>
  <c r="AD1102" i="1" a="1"/>
  <c r="AD1102" i="1" s="1"/>
  <c r="AD1103" i="1" a="1"/>
  <c r="AD1103" i="1" s="1"/>
  <c r="AD1104" i="1" a="1"/>
  <c r="AD1104" i="1" s="1"/>
  <c r="AD1105" i="1" a="1"/>
  <c r="AD1105" i="1" s="1"/>
  <c r="AD1106" i="1" a="1"/>
  <c r="AD1106" i="1" s="1"/>
  <c r="AD1107" i="1" a="1"/>
  <c r="AD1107" i="1" s="1"/>
  <c r="AD1108" i="1" a="1"/>
  <c r="AD1108" i="1"/>
  <c r="AD1109" i="1" a="1"/>
  <c r="AD1109" i="1" s="1"/>
  <c r="AD1110" i="1" a="1"/>
  <c r="AD1110" i="1"/>
  <c r="AD1111" i="1" a="1"/>
  <c r="AD1111" i="1" s="1"/>
  <c r="AD1112" i="1" a="1"/>
  <c r="AD1112" i="1" s="1"/>
  <c r="AD1113" i="1" a="1"/>
  <c r="AD1113" i="1" s="1"/>
  <c r="AD1114" i="1" a="1"/>
  <c r="AD1114" i="1"/>
  <c r="AD1115" i="1" a="1"/>
  <c r="AD1115" i="1" s="1"/>
  <c r="AD1116" i="1" a="1"/>
  <c r="AD1116" i="1" s="1"/>
  <c r="AD1117" i="1" a="1"/>
  <c r="AD1117" i="1" s="1"/>
  <c r="AD1118" i="1" a="1"/>
  <c r="AD1118" i="1" s="1"/>
  <c r="AD1119" i="1" a="1"/>
  <c r="AD1119" i="1" s="1"/>
  <c r="AD1120" i="1" a="1"/>
  <c r="AD1120" i="1" s="1"/>
  <c r="AD1121" i="1" a="1"/>
  <c r="AD1121" i="1" s="1"/>
  <c r="AD1122" i="1" a="1"/>
  <c r="AD1122" i="1" s="1"/>
  <c r="AD1123" i="1" a="1"/>
  <c r="AD1123" i="1" s="1"/>
  <c r="AD1124" i="1" a="1"/>
  <c r="AD1124" i="1" s="1"/>
  <c r="AD1125" i="1" a="1"/>
  <c r="AD1125" i="1" s="1"/>
  <c r="AD1126" i="1" a="1"/>
  <c r="AD1126" i="1"/>
  <c r="AD1127" i="1" a="1"/>
  <c r="AD1127" i="1" s="1"/>
  <c r="AD1128" i="1" a="1"/>
  <c r="AD1128" i="1"/>
  <c r="AD1129" i="1" a="1"/>
  <c r="AD1129" i="1" s="1"/>
  <c r="AD1130" i="1" a="1"/>
  <c r="AD1130" i="1" s="1"/>
  <c r="AD1131" i="1" a="1"/>
  <c r="AD1131" i="1" s="1"/>
  <c r="AD1132" i="1" a="1"/>
  <c r="AD1132" i="1"/>
  <c r="AD1133" i="1" a="1"/>
  <c r="AD1133" i="1" s="1"/>
  <c r="AD1134" i="1" a="1"/>
  <c r="AD1134" i="1" s="1"/>
  <c r="AD1135" i="1" a="1"/>
  <c r="AD1135" i="1" s="1"/>
  <c r="AD1136" i="1" a="1"/>
  <c r="AD1136" i="1" s="1"/>
  <c r="AD1137" i="1" a="1"/>
  <c r="AD1137" i="1" s="1"/>
  <c r="AD1138" i="1" a="1"/>
  <c r="AD1138" i="1" s="1"/>
  <c r="AD1139" i="1" a="1"/>
  <c r="AD1139" i="1" s="1"/>
  <c r="AD1140" i="1" a="1"/>
  <c r="AD1140" i="1" s="1"/>
  <c r="AD1141" i="1" a="1"/>
  <c r="AD1141" i="1" s="1"/>
  <c r="AD1142" i="1" a="1"/>
  <c r="AD1142" i="1" s="1"/>
  <c r="AD1143" i="1" a="1"/>
  <c r="AD1143" i="1" s="1"/>
  <c r="AD1144" i="1" a="1"/>
  <c r="AD1144" i="1"/>
  <c r="AD1145" i="1" a="1"/>
  <c r="AD1145" i="1" s="1"/>
  <c r="AD1146" i="1" a="1"/>
  <c r="AD1146" i="1"/>
  <c r="AD1147" i="1" a="1"/>
  <c r="AD1147" i="1" s="1"/>
  <c r="AD1148" i="1" a="1"/>
  <c r="AD1148" i="1" s="1"/>
  <c r="AD1149" i="1" a="1"/>
  <c r="AD1149" i="1" s="1"/>
  <c r="AD1150" i="1" a="1"/>
  <c r="AD1150" i="1"/>
  <c r="AD1151" i="1" a="1"/>
  <c r="AD1151" i="1" s="1"/>
  <c r="AD1152" i="1" a="1"/>
  <c r="AD1152" i="1" s="1"/>
  <c r="AD1153" i="1" a="1"/>
  <c r="AD1153" i="1" s="1"/>
  <c r="AD1154" i="1" a="1"/>
  <c r="AD1154" i="1" s="1"/>
  <c r="AD1155" i="1" a="1"/>
  <c r="AD1155" i="1" s="1"/>
  <c r="AD1156" i="1" a="1"/>
  <c r="AD1156" i="1" s="1"/>
  <c r="AD1157" i="1" a="1"/>
  <c r="AD1157" i="1" s="1"/>
  <c r="AD1158" i="1" a="1"/>
  <c r="AD1158" i="1" s="1"/>
  <c r="AD1159" i="1" a="1"/>
  <c r="AD1159" i="1" s="1"/>
  <c r="AD1160" i="1" a="1"/>
  <c r="AD1160" i="1" s="1"/>
  <c r="AD1161" i="1" a="1"/>
  <c r="AD1161" i="1" s="1"/>
  <c r="AD1162" i="1" a="1"/>
  <c r="AD1162" i="1"/>
  <c r="AD1163" i="1" a="1"/>
  <c r="AD1163" i="1" s="1"/>
  <c r="AD1164" i="1" a="1"/>
  <c r="AD1164" i="1"/>
  <c r="AD1165" i="1" a="1"/>
  <c r="AD1165" i="1" s="1"/>
  <c r="AD1166" i="1" a="1"/>
  <c r="AD1166" i="1" s="1"/>
  <c r="AD1167" i="1" a="1"/>
  <c r="AD1167" i="1" s="1"/>
  <c r="AD1168" i="1" a="1"/>
  <c r="AD1168" i="1"/>
  <c r="AD1169" i="1" a="1"/>
  <c r="AD1169" i="1" s="1"/>
  <c r="AD1170" i="1" a="1"/>
  <c r="AD1170" i="1" s="1"/>
  <c r="AD1171" i="1" a="1"/>
  <c r="AD1171" i="1" s="1"/>
  <c r="AD1172" i="1" a="1"/>
  <c r="AD1172" i="1" s="1"/>
  <c r="AD1173" i="1" a="1"/>
  <c r="AD1173" i="1" s="1"/>
  <c r="AD1174" i="1" a="1"/>
  <c r="AD1174" i="1" s="1"/>
  <c r="AD1175" i="1" a="1"/>
  <c r="AD1175" i="1" s="1"/>
  <c r="AD1176" i="1" a="1"/>
  <c r="AD1176" i="1" s="1"/>
  <c r="AD1177" i="1" a="1"/>
  <c r="AD1177" i="1" s="1"/>
  <c r="AD1178" i="1" a="1"/>
  <c r="AD1178" i="1" s="1"/>
  <c r="AD1179" i="1" a="1"/>
  <c r="AD1179" i="1" s="1"/>
  <c r="AD1180" i="1" a="1"/>
  <c r="AD1180" i="1"/>
  <c r="AD1181" i="1" a="1"/>
  <c r="AD1181" i="1" s="1"/>
  <c r="AD1182" i="1" a="1"/>
  <c r="AD1182" i="1"/>
  <c r="AD1183" i="1" a="1"/>
  <c r="AD1183" i="1" s="1"/>
  <c r="AD1184" i="1" a="1"/>
  <c r="AD1184" i="1" s="1"/>
  <c r="AD1185" i="1" a="1"/>
  <c r="AD1185" i="1" s="1"/>
  <c r="AD1186" i="1" a="1"/>
  <c r="AD1186" i="1"/>
  <c r="AD1187" i="1" a="1"/>
  <c r="AD1187" i="1" s="1"/>
  <c r="AD1188" i="1" a="1"/>
  <c r="AD1188" i="1" s="1"/>
  <c r="AD1189" i="1" a="1"/>
  <c r="AD1189" i="1" s="1"/>
  <c r="AD1190" i="1" a="1"/>
  <c r="AD1190" i="1" s="1"/>
  <c r="AD1191" i="1" a="1"/>
  <c r="AD1191" i="1" s="1"/>
  <c r="AD1192" i="1" a="1"/>
  <c r="AD1192" i="1" s="1"/>
  <c r="AD1193" i="1" a="1"/>
  <c r="AD1193" i="1" s="1"/>
  <c r="AD1194" i="1" a="1"/>
  <c r="AD1194" i="1" s="1"/>
  <c r="AD1195" i="1" a="1"/>
  <c r="AD1195" i="1" s="1"/>
  <c r="AD1196" i="1" a="1"/>
  <c r="AD1196" i="1" s="1"/>
  <c r="AD1197" i="1" a="1"/>
  <c r="AD1197" i="1" s="1"/>
  <c r="AD1198" i="1" a="1"/>
  <c r="AD1198" i="1"/>
  <c r="AD1199" i="1" a="1"/>
  <c r="AD1199" i="1" s="1"/>
  <c r="AD1200" i="1" a="1"/>
  <c r="AD1200" i="1"/>
  <c r="AD1201" i="1" a="1"/>
  <c r="AD1201" i="1" s="1"/>
  <c r="AD1202" i="1" a="1"/>
  <c r="AD1202" i="1" s="1"/>
  <c r="AD1203" i="1" a="1"/>
  <c r="AD1203" i="1" s="1"/>
  <c r="AD1204" i="1" a="1"/>
  <c r="AD1204" i="1"/>
  <c r="AD1205" i="1" a="1"/>
  <c r="AD1205" i="1" s="1"/>
  <c r="AD1206" i="1" a="1"/>
  <c r="AD1206" i="1" s="1"/>
  <c r="AD1207" i="1" a="1"/>
  <c r="AD1207" i="1" s="1"/>
  <c r="AD1208" i="1" a="1"/>
  <c r="AD1208" i="1" s="1"/>
  <c r="AD1209" i="1" a="1"/>
  <c r="AD1209" i="1" s="1"/>
  <c r="AD1210" i="1" a="1"/>
  <c r="AD1210" i="1" s="1"/>
  <c r="AD1211" i="1" a="1"/>
  <c r="AD1211" i="1" s="1"/>
  <c r="AD1212" i="1" a="1"/>
  <c r="AD1212" i="1" s="1"/>
  <c r="AD1213" i="1" a="1"/>
  <c r="AD1213" i="1" s="1"/>
  <c r="AD1214" i="1" a="1"/>
  <c r="AD1214" i="1" s="1"/>
  <c r="AD1215" i="1" a="1"/>
  <c r="AD1215" i="1" s="1"/>
  <c r="AD1216" i="1" a="1"/>
  <c r="AD1216" i="1"/>
  <c r="AD1217" i="1" a="1"/>
  <c r="AD1217" i="1" s="1"/>
  <c r="AD1218" i="1" a="1"/>
  <c r="AD1218" i="1"/>
  <c r="AD1219" i="1" a="1"/>
  <c r="AD1219" i="1" s="1"/>
  <c r="AD1220" i="1" a="1"/>
  <c r="AD1220" i="1" s="1"/>
  <c r="AD1221" i="1" a="1"/>
  <c r="AD1221" i="1" s="1"/>
  <c r="AD1222" i="1" a="1"/>
  <c r="AD1222" i="1"/>
  <c r="AD1223" i="1" a="1"/>
  <c r="AD1223" i="1" s="1"/>
  <c r="AD1224" i="1" a="1"/>
  <c r="AD1224" i="1" s="1"/>
  <c r="AD1225" i="1" a="1"/>
  <c r="AD1225" i="1" s="1"/>
  <c r="AD1226" i="1" a="1"/>
  <c r="AD1226" i="1" s="1"/>
  <c r="AD1227" i="1" a="1"/>
  <c r="AD1227" i="1" s="1"/>
  <c r="AD1228" i="1" a="1"/>
  <c r="AD1228" i="1" s="1"/>
  <c r="AD1229" i="1" a="1"/>
  <c r="AD1229" i="1" s="1"/>
  <c r="AD1230" i="1" a="1"/>
  <c r="AD1230" i="1" s="1"/>
  <c r="AD1231" i="1" a="1"/>
  <c r="AD1231" i="1" s="1"/>
  <c r="AD1232" i="1" a="1"/>
  <c r="AD1232" i="1" s="1"/>
  <c r="AD1233" i="1" a="1"/>
  <c r="AD1233" i="1" s="1"/>
  <c r="AD1234" i="1" a="1"/>
  <c r="AD1234" i="1"/>
  <c r="AD1235" i="1" a="1"/>
  <c r="AD1235" i="1" s="1"/>
  <c r="AD1236" i="1" a="1"/>
  <c r="AD1236" i="1"/>
  <c r="AD1237" i="1" a="1"/>
  <c r="AD1237" i="1" s="1"/>
  <c r="AD1238" i="1" a="1"/>
  <c r="AD1238" i="1" s="1"/>
  <c r="AD1239" i="1" a="1"/>
  <c r="AD1239" i="1" s="1"/>
  <c r="AD1240" i="1" a="1"/>
  <c r="AD1240" i="1"/>
  <c r="AD1241" i="1" a="1"/>
  <c r="AD1241" i="1" s="1"/>
  <c r="AD1242" i="1" a="1"/>
  <c r="AD1242" i="1" s="1"/>
  <c r="AD1243" i="1" a="1"/>
  <c r="AD1243" i="1" s="1"/>
  <c r="AD1244" i="1" a="1"/>
  <c r="AD1244" i="1" s="1"/>
  <c r="AD1245" i="1" a="1"/>
  <c r="AD1245" i="1" s="1"/>
  <c r="AD1246" i="1" a="1"/>
  <c r="AD1246" i="1" s="1"/>
  <c r="AD1247" i="1" a="1"/>
  <c r="AD1247" i="1" s="1"/>
  <c r="AD1248" i="1" a="1"/>
  <c r="AD1248" i="1" s="1"/>
  <c r="AD1249" i="1" a="1"/>
  <c r="AD1249" i="1" s="1"/>
  <c r="AD1250" i="1" a="1"/>
  <c r="AD1250" i="1" s="1"/>
  <c r="AD1251" i="1" a="1"/>
  <c r="AD1251" i="1" s="1"/>
  <c r="AD1252" i="1" a="1"/>
  <c r="AD1252" i="1"/>
  <c r="AD1253" i="1" a="1"/>
  <c r="AD1253" i="1" s="1"/>
  <c r="AD1254" i="1" a="1"/>
  <c r="AD1254" i="1"/>
  <c r="AD1255" i="1" a="1"/>
  <c r="AD1255" i="1" s="1"/>
  <c r="AD1256" i="1" a="1"/>
  <c r="AD1256" i="1" s="1"/>
  <c r="AD1257" i="1" a="1"/>
  <c r="AD1257" i="1" s="1"/>
  <c r="AD1258" i="1" a="1"/>
  <c r="AD1258" i="1"/>
  <c r="AD1259" i="1" a="1"/>
  <c r="AD1259" i="1" s="1"/>
  <c r="AD1260" i="1" a="1"/>
  <c r="AD1260" i="1" s="1"/>
  <c r="AD1261" i="1" a="1"/>
  <c r="AD1261" i="1" s="1"/>
  <c r="AD1262" i="1" a="1"/>
  <c r="AD1262" i="1" s="1"/>
  <c r="AD1263" i="1" a="1"/>
  <c r="AD1263" i="1" s="1"/>
  <c r="AD1264" i="1" a="1"/>
  <c r="AD1264" i="1" s="1"/>
  <c r="AD1265" i="1" a="1"/>
  <c r="AD1265" i="1" s="1"/>
  <c r="AD1266" i="1" a="1"/>
  <c r="AD1266" i="1" s="1"/>
  <c r="AD1267" i="1" a="1"/>
  <c r="AD1267" i="1" s="1"/>
  <c r="AD1268" i="1" a="1"/>
  <c r="AD1268" i="1" s="1"/>
  <c r="AD1269" i="1" a="1"/>
  <c r="AD1269" i="1" s="1"/>
  <c r="AD1270" i="1" a="1"/>
  <c r="AD1270" i="1"/>
  <c r="AD1271" i="1" a="1"/>
  <c r="AD1271" i="1" s="1"/>
  <c r="AD1272" i="1" a="1"/>
  <c r="AD1272" i="1"/>
  <c r="AD1273" i="1" a="1"/>
  <c r="AD1273" i="1" s="1"/>
  <c r="AD1274" i="1" a="1"/>
  <c r="AD1274" i="1" s="1"/>
  <c r="AD1275" i="1" a="1"/>
  <c r="AD1275" i="1" s="1"/>
  <c r="AD1276" i="1" a="1"/>
  <c r="AD1276" i="1"/>
  <c r="AD1277" i="1" a="1"/>
  <c r="AD1277" i="1" s="1"/>
  <c r="AD1278" i="1" a="1"/>
  <c r="AD1278" i="1" s="1"/>
  <c r="AD1279" i="1" a="1"/>
  <c r="AD1279" i="1" s="1"/>
  <c r="AD1280" i="1" a="1"/>
  <c r="AD1280" i="1" s="1"/>
  <c r="AD1281" i="1" a="1"/>
  <c r="AD1281" i="1" s="1"/>
  <c r="AD1282" i="1" a="1"/>
  <c r="AD1282" i="1" s="1"/>
  <c r="AD1283" i="1" a="1"/>
  <c r="AD1283" i="1" s="1"/>
  <c r="AD1284" i="1" a="1"/>
  <c r="AD1284" i="1" s="1"/>
  <c r="AD1285" i="1" a="1"/>
  <c r="AD1285" i="1" s="1"/>
  <c r="AD1286" i="1" a="1"/>
  <c r="AD1286" i="1" s="1"/>
  <c r="AD1287" i="1" a="1"/>
  <c r="AD1287" i="1" s="1"/>
  <c r="AD1288" i="1" a="1"/>
  <c r="AD1288" i="1"/>
  <c r="AD1289" i="1" a="1"/>
  <c r="AD1289" i="1" s="1"/>
  <c r="AD1290" i="1" a="1"/>
  <c r="AD1290" i="1"/>
  <c r="AD1291" i="1" a="1"/>
  <c r="AD1291" i="1" s="1"/>
  <c r="AD1292" i="1" a="1"/>
  <c r="AD1292" i="1" s="1"/>
  <c r="AD1293" i="1" a="1"/>
  <c r="AD1293" i="1" s="1"/>
  <c r="AD1294" i="1" a="1"/>
  <c r="AD1294" i="1"/>
  <c r="AD1295" i="1" a="1"/>
  <c r="AD1295" i="1" s="1"/>
  <c r="AD1296" i="1" a="1"/>
  <c r="AD1296" i="1" s="1"/>
  <c r="AD1297" i="1" a="1"/>
  <c r="AD1297" i="1" s="1"/>
  <c r="AD1298" i="1" a="1"/>
  <c r="AD1298" i="1" s="1"/>
  <c r="AD1299" i="1" a="1"/>
  <c r="AD1299" i="1" s="1"/>
  <c r="AD1300" i="1" a="1"/>
  <c r="AD1300" i="1" s="1"/>
  <c r="AD1301" i="1" a="1"/>
  <c r="AD1301" i="1" s="1"/>
  <c r="AD1302" i="1" a="1"/>
  <c r="AD1302" i="1" s="1"/>
  <c r="AD1303" i="1" a="1"/>
  <c r="AD1303" i="1" s="1"/>
  <c r="AD1304" i="1" a="1"/>
  <c r="AD1304" i="1" s="1"/>
  <c r="AD1305" i="1" a="1"/>
  <c r="AD1305" i="1" s="1"/>
  <c r="AD1306" i="1" a="1"/>
  <c r="AD1306" i="1"/>
  <c r="AD1307" i="1" a="1"/>
  <c r="AD1307" i="1" s="1"/>
  <c r="AD1308" i="1" a="1"/>
  <c r="AD1308" i="1"/>
  <c r="AD1309" i="1" a="1"/>
  <c r="AD1309" i="1" s="1"/>
  <c r="AD1310" i="1" a="1"/>
  <c r="AD1310" i="1" s="1"/>
  <c r="AD1311" i="1" a="1"/>
  <c r="AD1311" i="1" s="1"/>
  <c r="AD1312" i="1" a="1"/>
  <c r="AD1312" i="1"/>
  <c r="AD1313" i="1" a="1"/>
  <c r="AD1313" i="1" s="1"/>
  <c r="AD1314" i="1" a="1"/>
  <c r="AD1314" i="1" s="1"/>
  <c r="AD1315" i="1" a="1"/>
  <c r="AD1315" i="1" s="1"/>
  <c r="AD1316" i="1" a="1"/>
  <c r="AD1316" i="1" s="1"/>
  <c r="AD1317" i="1" a="1"/>
  <c r="AD1317" i="1" s="1"/>
  <c r="AD1318" i="1" a="1"/>
  <c r="AD1318" i="1" s="1"/>
  <c r="AD1319" i="1" a="1"/>
  <c r="AD1319" i="1" s="1"/>
  <c r="AD1320" i="1" a="1"/>
  <c r="AD1320" i="1" s="1"/>
  <c r="AD1321" i="1" a="1"/>
  <c r="AD1321" i="1" s="1"/>
  <c r="AD1322" i="1" a="1"/>
  <c r="AD1322" i="1" s="1"/>
  <c r="AD1323" i="1" a="1"/>
  <c r="AD1323" i="1" s="1"/>
  <c r="AD1324" i="1" a="1"/>
  <c r="AD1324" i="1"/>
  <c r="AD1325" i="1" a="1"/>
  <c r="AD1325" i="1" s="1"/>
  <c r="AD1326" i="1" a="1"/>
  <c r="AD1326" i="1"/>
  <c r="AD1327" i="1" a="1"/>
  <c r="AD1327" i="1" s="1"/>
  <c r="AD1328" i="1" a="1"/>
  <c r="AD1328" i="1" s="1"/>
  <c r="AD1329" i="1" a="1"/>
  <c r="AD1329" i="1" s="1"/>
  <c r="AD1330" i="1" a="1"/>
  <c r="AD1330" i="1"/>
  <c r="AD1331" i="1" a="1"/>
  <c r="AD1331" i="1" s="1"/>
  <c r="AD1332" i="1" a="1"/>
  <c r="AD1332" i="1" s="1"/>
  <c r="AD1333" i="1" a="1"/>
  <c r="AD1333" i="1" s="1"/>
  <c r="AD1334" i="1" a="1"/>
  <c r="AD1334" i="1" s="1"/>
  <c r="AD1335" i="1" a="1"/>
  <c r="AD1335" i="1" s="1"/>
  <c r="AD1336" i="1" a="1"/>
  <c r="AD1336" i="1" s="1"/>
  <c r="AD1337" i="1" a="1"/>
  <c r="AD1337" i="1" s="1"/>
  <c r="AD1338" i="1" a="1"/>
  <c r="AD1338" i="1" s="1"/>
  <c r="AD1339" i="1" a="1"/>
  <c r="AD1339" i="1" s="1"/>
  <c r="AD1340" i="1" a="1"/>
  <c r="AD1340" i="1" s="1"/>
  <c r="AD1341" i="1" a="1"/>
  <c r="AD1341" i="1" s="1"/>
  <c r="AD1342" i="1" a="1"/>
  <c r="AD1342" i="1"/>
  <c r="AD1343" i="1" a="1"/>
  <c r="AD1343" i="1" s="1"/>
  <c r="AD1344" i="1" a="1"/>
  <c r="AD1344" i="1"/>
  <c r="AD1345" i="1" a="1"/>
  <c r="AD1345" i="1" s="1"/>
  <c r="AD1346" i="1" a="1"/>
  <c r="AD1346" i="1" s="1"/>
  <c r="AD1347" i="1" a="1"/>
  <c r="AD1347" i="1" s="1"/>
  <c r="AD1348" i="1" a="1"/>
  <c r="AD1348" i="1"/>
  <c r="AD1349" i="1" a="1"/>
  <c r="AD1349" i="1" s="1"/>
  <c r="AD1350" i="1" a="1"/>
  <c r="AD1350" i="1" s="1"/>
  <c r="AD1351" i="1" a="1"/>
  <c r="AD1351" i="1" s="1"/>
  <c r="AD1352" i="1" a="1"/>
  <c r="AD1352" i="1" s="1"/>
  <c r="AD1353" i="1" a="1"/>
  <c r="AD1353" i="1" s="1"/>
  <c r="AD1354" i="1" a="1"/>
  <c r="AD1354" i="1" s="1"/>
  <c r="AD1355" i="1" a="1"/>
  <c r="AD1355" i="1" s="1"/>
  <c r="AD1356" i="1" a="1"/>
  <c r="AD1356" i="1" s="1"/>
  <c r="AD1357" i="1" a="1"/>
  <c r="AD1357" i="1" s="1"/>
  <c r="AD1358" i="1" a="1"/>
  <c r="AD1358" i="1" s="1"/>
  <c r="AD1359" i="1" a="1"/>
  <c r="AD1359" i="1" s="1"/>
  <c r="AD1360" i="1" a="1"/>
  <c r="AD1360" i="1"/>
  <c r="AD1361" i="1" a="1"/>
  <c r="AD1361" i="1" s="1"/>
  <c r="AD1362" i="1" a="1"/>
  <c r="AD1362" i="1"/>
  <c r="AD1363" i="1" a="1"/>
  <c r="AD1363" i="1" s="1"/>
  <c r="AD1364" i="1" a="1"/>
  <c r="AD1364" i="1" s="1"/>
  <c r="AD1365" i="1" a="1"/>
  <c r="AD1365" i="1" s="1"/>
  <c r="AD1366" i="1" a="1"/>
  <c r="AD1366" i="1"/>
  <c r="AD1367" i="1" a="1"/>
  <c r="AD1367" i="1" s="1"/>
  <c r="AD1368" i="1" a="1"/>
  <c r="AD1368" i="1" s="1"/>
  <c r="AD1369" i="1" a="1"/>
  <c r="AD1369" i="1" s="1"/>
  <c r="AD1370" i="1" a="1"/>
  <c r="AD1370" i="1" s="1"/>
  <c r="AD1371" i="1" a="1"/>
  <c r="AD1371" i="1"/>
  <c r="AD1372" i="1" a="1"/>
  <c r="AD1372" i="1"/>
  <c r="AD1373" i="1" a="1"/>
  <c r="AD1373" i="1" s="1"/>
  <c r="AD1374" i="1" a="1"/>
  <c r="AD1374" i="1"/>
  <c r="AD1375" i="1" a="1"/>
  <c r="AD1375" i="1" s="1"/>
  <c r="AD1376" i="1" a="1"/>
  <c r="AD1376" i="1" s="1"/>
  <c r="AD1377" i="1" a="1"/>
  <c r="AD1377" i="1"/>
  <c r="AD1378" i="1" a="1"/>
  <c r="AD1378" i="1"/>
  <c r="AD1379" i="1" a="1"/>
  <c r="AD1379" i="1" s="1"/>
  <c r="AD1380" i="1" a="1"/>
  <c r="AD1380" i="1"/>
  <c r="AD1381" i="1" a="1"/>
  <c r="AD1381" i="1" s="1"/>
  <c r="AD1382" i="1" a="1"/>
  <c r="AD1382" i="1" s="1"/>
  <c r="AD1383" i="1" a="1"/>
  <c r="AD1383" i="1"/>
  <c r="AD1384" i="1" a="1"/>
  <c r="AD1384" i="1" s="1"/>
  <c r="AD1385" i="1" a="1"/>
  <c r="AD1385" i="1" s="1"/>
  <c r="AD1386" i="1" a="1"/>
  <c r="AD1386" i="1"/>
  <c r="AD1387" i="1" a="1"/>
  <c r="AD1387" i="1" s="1"/>
  <c r="AD1388" i="1" a="1"/>
  <c r="AD1388" i="1" s="1"/>
  <c r="AD1389" i="1" a="1"/>
  <c r="AD1389" i="1" s="1"/>
  <c r="AD1390" i="1" a="1"/>
  <c r="AD1390" i="1"/>
  <c r="AD1391" i="1" a="1"/>
  <c r="AD1391" i="1" s="1"/>
  <c r="AD1392" i="1" a="1"/>
  <c r="AD1392" i="1" s="1"/>
  <c r="AD1393" i="1" a="1"/>
  <c r="AD1393" i="1" s="1"/>
  <c r="AD1394" i="1" a="1"/>
  <c r="AD1394" i="1" s="1"/>
  <c r="AD1395" i="1" a="1"/>
  <c r="AD1395" i="1"/>
  <c r="AD1396" i="1" a="1"/>
  <c r="AD1396" i="1"/>
  <c r="AD1397" i="1" a="1"/>
  <c r="AD1397" i="1" s="1"/>
  <c r="AD1398" i="1" a="1"/>
  <c r="AD1398" i="1"/>
  <c r="AD1399" i="1" a="1"/>
  <c r="AD1399" i="1" s="1"/>
  <c r="AD1400" i="1" a="1"/>
  <c r="AD1400" i="1" s="1"/>
  <c r="AD1401" i="1" a="1"/>
  <c r="AD1401" i="1"/>
  <c r="AD1402" i="1" a="1"/>
  <c r="AD1402" i="1"/>
  <c r="AD1403" i="1" a="1"/>
  <c r="AD1403" i="1" s="1"/>
  <c r="AD1404" i="1" a="1"/>
  <c r="AD1404" i="1"/>
  <c r="AD1405" i="1" a="1"/>
  <c r="AD1405" i="1" s="1"/>
  <c r="AD1406" i="1" a="1"/>
  <c r="AD1406" i="1" s="1"/>
  <c r="AD1407" i="1" a="1"/>
  <c r="AD1407" i="1"/>
  <c r="AD1408" i="1" a="1"/>
  <c r="AD1408" i="1" s="1"/>
  <c r="AD1409" i="1" a="1"/>
  <c r="AD1409" i="1" s="1"/>
  <c r="AD1410" i="1" a="1"/>
  <c r="AD1410" i="1"/>
  <c r="AD1411" i="1" a="1"/>
  <c r="AD1411" i="1" s="1"/>
  <c r="AD1412" i="1" a="1"/>
  <c r="AD1412" i="1" s="1"/>
  <c r="AD1413" i="1" a="1"/>
  <c r="AD1413" i="1" s="1"/>
  <c r="AD1414" i="1" a="1"/>
  <c r="AD1414" i="1"/>
  <c r="AD1415" i="1" a="1"/>
  <c r="AD1415" i="1" s="1"/>
  <c r="AD1416" i="1" a="1"/>
  <c r="AD1416" i="1"/>
  <c r="AD1417" i="1" a="1"/>
  <c r="AD1417" i="1" s="1"/>
  <c r="AD1418" i="1" a="1"/>
  <c r="AD1418" i="1"/>
  <c r="AD1419" i="1" a="1"/>
  <c r="AD1419" i="1"/>
  <c r="AD1420" i="1" a="1"/>
  <c r="AD1420" i="1" s="1"/>
  <c r="AD1421" i="1" a="1"/>
  <c r="AD1421" i="1"/>
  <c r="AD1422" i="1" a="1"/>
  <c r="AD1422" i="1" s="1"/>
  <c r="AD1423" i="1" a="1"/>
  <c r="AD1423" i="1"/>
  <c r="AD1424" i="1" a="1"/>
  <c r="AD1424" i="1"/>
  <c r="AD1425" i="1" a="1"/>
  <c r="AD1425" i="1"/>
  <c r="AD1426" i="1" a="1"/>
  <c r="AD1426" i="1" s="1"/>
  <c r="AD1427" i="1" a="1"/>
  <c r="AD1427" i="1"/>
  <c r="AD1428" i="1" a="1"/>
  <c r="AD1428" i="1" s="1"/>
  <c r="AD1429" i="1" a="1"/>
  <c r="AD1429" i="1"/>
  <c r="AD1430" i="1" a="1"/>
  <c r="AD1430" i="1"/>
  <c r="AD1431" i="1" a="1"/>
  <c r="AD1431" i="1"/>
  <c r="AD1432" i="1" a="1"/>
  <c r="AD1432" i="1" s="1"/>
  <c r="AD1433" i="1" a="1"/>
  <c r="AD1433" i="1"/>
  <c r="AD1434" i="1" a="1"/>
  <c r="AD1434" i="1" s="1"/>
  <c r="AD1435" i="1" a="1"/>
  <c r="AD1435" i="1"/>
  <c r="AD1436" i="1" a="1"/>
  <c r="AD1436" i="1"/>
  <c r="AD1437" i="1" a="1"/>
  <c r="AD1437" i="1"/>
  <c r="AD1438" i="1" a="1"/>
  <c r="AD1438" i="1" s="1"/>
  <c r="AD1439" i="1" a="1"/>
  <c r="AD1439" i="1"/>
  <c r="AD1440" i="1" a="1"/>
  <c r="AD1440" i="1" s="1"/>
  <c r="AD1441" i="1" a="1"/>
  <c r="AD1441" i="1"/>
  <c r="AD1442" i="1" a="1"/>
  <c r="AD1442" i="1"/>
  <c r="AD1443" i="1" a="1"/>
  <c r="AD1443" i="1"/>
  <c r="AD1444" i="1" a="1"/>
  <c r="AD1444" i="1" s="1"/>
  <c r="AD1445" i="1" a="1"/>
  <c r="AD1445" i="1"/>
  <c r="AD1446" i="1" a="1"/>
  <c r="AD1446" i="1" s="1"/>
  <c r="AD1447" i="1" a="1"/>
  <c r="AD1447" i="1"/>
  <c r="AD1448" i="1" a="1"/>
  <c r="AD1448" i="1"/>
  <c r="AD1449" i="1" a="1"/>
  <c r="AD1449" i="1"/>
  <c r="AD1450" i="1" a="1"/>
  <c r="AD1450" i="1" s="1"/>
  <c r="AD1451" i="1" a="1"/>
  <c r="AD1451" i="1"/>
  <c r="AD1452" i="1" a="1"/>
  <c r="AD1452" i="1" s="1"/>
  <c r="AD1453" i="1" a="1"/>
  <c r="AD1453" i="1"/>
  <c r="AD1454" i="1" a="1"/>
  <c r="AD1454" i="1"/>
  <c r="AD1455" i="1" a="1"/>
  <c r="AD1455" i="1"/>
  <c r="AD1456" i="1" a="1"/>
  <c r="AD1456" i="1" s="1"/>
  <c r="AD1457" i="1" a="1"/>
  <c r="AD1457" i="1"/>
  <c r="AD1458" i="1" a="1"/>
  <c r="AD1458" i="1" s="1"/>
  <c r="AD1459" i="1" a="1"/>
  <c r="AD1459" i="1"/>
  <c r="AD1460" i="1" a="1"/>
  <c r="AD1460" i="1"/>
  <c r="AD1461" i="1" a="1"/>
  <c r="AD1461" i="1"/>
  <c r="AD1462" i="1" a="1"/>
  <c r="AD1462" i="1" s="1"/>
  <c r="AD1463" i="1" a="1"/>
  <c r="AD1463" i="1"/>
  <c r="AD1464" i="1" a="1"/>
  <c r="AD1464" i="1" s="1"/>
  <c r="AD1465" i="1" a="1"/>
  <c r="AD1465" i="1"/>
  <c r="AD1466" i="1" a="1"/>
  <c r="AD1466" i="1"/>
  <c r="AD1467" i="1" a="1"/>
  <c r="AD1467" i="1"/>
  <c r="AD1468" i="1" a="1"/>
  <c r="AD1468" i="1" s="1"/>
  <c r="AD1469" i="1" a="1"/>
  <c r="AD1469" i="1"/>
  <c r="AD1470" i="1" a="1"/>
  <c r="AD1470" i="1" s="1"/>
  <c r="AD1471" i="1" a="1"/>
  <c r="AD1471" i="1"/>
  <c r="B2" i="1" a="1"/>
  <c r="B2" i="1" s="1"/>
  <c r="B3" i="1" a="1"/>
  <c r="B3" i="1" s="1"/>
  <c r="B4" i="1" a="1"/>
  <c r="B4" i="1" s="1"/>
  <c r="B5" i="1" a="1"/>
  <c r="B5" i="1" s="1"/>
  <c r="B6" i="1" a="1"/>
  <c r="B6" i="1" s="1"/>
  <c r="B7" i="1" a="1"/>
  <c r="B7" i="1" s="1"/>
  <c r="B8" i="1" a="1"/>
  <c r="B8" i="1" s="1"/>
  <c r="B9" i="1" a="1"/>
  <c r="B9" i="1" s="1"/>
  <c r="B10" i="1" a="1"/>
  <c r="B10" i="1" s="1"/>
  <c r="B11" i="1" a="1"/>
  <c r="B11" i="1" s="1"/>
  <c r="B12" i="1" a="1"/>
  <c r="B12" i="1" s="1"/>
  <c r="B13" i="1" a="1"/>
  <c r="B13" i="1" s="1"/>
  <c r="B14" i="1" a="1"/>
  <c r="B14" i="1" s="1"/>
  <c r="B15" i="1" a="1"/>
  <c r="B15" i="1" s="1"/>
  <c r="B16" i="1" a="1"/>
  <c r="B16" i="1" s="1"/>
  <c r="B17" i="1" a="1"/>
  <c r="B17" i="1" s="1"/>
  <c r="B18" i="1" a="1"/>
  <c r="B18" i="1" s="1"/>
  <c r="B19" i="1" a="1"/>
  <c r="B19" i="1" s="1"/>
  <c r="B20" i="1" a="1"/>
  <c r="B20" i="1" s="1"/>
  <c r="B21" i="1" a="1"/>
  <c r="B21" i="1" s="1"/>
  <c r="B22" i="1" a="1"/>
  <c r="B22" i="1" s="1"/>
  <c r="B23" i="1" a="1"/>
  <c r="B23" i="1" s="1"/>
  <c r="B24" i="1" a="1"/>
  <c r="B24" i="1"/>
  <c r="B25" i="1" a="1"/>
  <c r="B25" i="1" s="1"/>
  <c r="B26" i="1" a="1"/>
  <c r="B26" i="1" s="1"/>
  <c r="B27" i="1" a="1"/>
  <c r="B27" i="1" s="1"/>
  <c r="B28" i="1" a="1"/>
  <c r="B28" i="1" s="1"/>
  <c r="B29" i="1" a="1"/>
  <c r="B29" i="1" s="1"/>
  <c r="B30" i="1" a="1"/>
  <c r="B30" i="1" s="1"/>
  <c r="B31" i="1" a="1"/>
  <c r="B31" i="1" s="1"/>
  <c r="B32" i="1" a="1"/>
  <c r="B32" i="1" s="1"/>
  <c r="B33" i="1" a="1"/>
  <c r="B33" i="1" s="1"/>
  <c r="B34" i="1" a="1"/>
  <c r="B34" i="1" s="1"/>
  <c r="B35" i="1" a="1"/>
  <c r="B35" i="1" s="1"/>
  <c r="B36" i="1" a="1"/>
  <c r="B36" i="1" s="1"/>
  <c r="B37" i="1" a="1"/>
  <c r="B37" i="1" s="1"/>
  <c r="B38" i="1" a="1"/>
  <c r="B38" i="1" s="1"/>
  <c r="B39" i="1" a="1"/>
  <c r="B39" i="1" s="1"/>
  <c r="B40" i="1" a="1"/>
  <c r="B40" i="1" s="1"/>
  <c r="B41" i="1" a="1"/>
  <c r="B41" i="1" s="1"/>
  <c r="B42" i="1" a="1"/>
  <c r="B42" i="1" s="1"/>
  <c r="B43" i="1" a="1"/>
  <c r="B43" i="1" s="1"/>
  <c r="B44" i="1" a="1"/>
  <c r="B44" i="1" s="1"/>
  <c r="B45" i="1" a="1"/>
  <c r="B45" i="1" s="1"/>
  <c r="B46" i="1" a="1"/>
  <c r="B46" i="1" s="1"/>
  <c r="B47" i="1" a="1"/>
  <c r="B47" i="1" s="1"/>
  <c r="B48" i="1" a="1"/>
  <c r="B48" i="1" s="1"/>
  <c r="B49" i="1" a="1"/>
  <c r="B49" i="1" s="1"/>
  <c r="B50" i="1" a="1"/>
  <c r="B50" i="1" s="1"/>
  <c r="B51" i="1" a="1"/>
  <c r="B51" i="1" s="1"/>
  <c r="B52" i="1" a="1"/>
  <c r="B52" i="1" s="1"/>
  <c r="B53" i="1" a="1"/>
  <c r="B53" i="1" s="1"/>
  <c r="B54" i="1" a="1"/>
  <c r="B54" i="1" s="1"/>
  <c r="B55" i="1" a="1"/>
  <c r="B55" i="1" s="1"/>
  <c r="B56" i="1" a="1"/>
  <c r="B56" i="1" s="1"/>
  <c r="B57" i="1" a="1"/>
  <c r="B57" i="1" s="1"/>
  <c r="B58" i="1" a="1"/>
  <c r="B58" i="1" s="1"/>
  <c r="B59" i="1" a="1"/>
  <c r="B59" i="1" s="1"/>
  <c r="B60" i="1" a="1"/>
  <c r="B60" i="1" s="1"/>
  <c r="B61" i="1" a="1"/>
  <c r="B61" i="1" s="1"/>
  <c r="B62" i="1" a="1"/>
  <c r="B62" i="1" s="1"/>
  <c r="B63" i="1" a="1"/>
  <c r="B63" i="1" s="1"/>
  <c r="B64" i="1" a="1"/>
  <c r="B64" i="1" s="1"/>
  <c r="B65" i="1" a="1"/>
  <c r="B65" i="1" s="1"/>
  <c r="B66" i="1" a="1"/>
  <c r="B66" i="1" s="1"/>
  <c r="B67" i="1" a="1"/>
  <c r="B67" i="1" s="1"/>
  <c r="B68" i="1" a="1"/>
  <c r="B68" i="1" s="1"/>
  <c r="B69" i="1" a="1"/>
  <c r="B69" i="1" s="1"/>
  <c r="B70" i="1" a="1"/>
  <c r="B70" i="1" s="1"/>
  <c r="B71" i="1" a="1"/>
  <c r="B71" i="1" s="1"/>
  <c r="B72" i="1" a="1"/>
  <c r="B72" i="1" s="1"/>
  <c r="B73" i="1" a="1"/>
  <c r="B73" i="1" s="1"/>
  <c r="B74" i="1" a="1"/>
  <c r="B74" i="1" s="1"/>
  <c r="B75" i="1" a="1"/>
  <c r="B75" i="1" s="1"/>
  <c r="B76" i="1" a="1"/>
  <c r="B76" i="1" s="1"/>
  <c r="B77" i="1" a="1"/>
  <c r="B77" i="1" s="1"/>
  <c r="B78" i="1" a="1"/>
  <c r="B78" i="1" s="1"/>
  <c r="B79" i="1" a="1"/>
  <c r="B79" i="1" s="1"/>
  <c r="B80" i="1" a="1"/>
  <c r="B80" i="1" s="1"/>
  <c r="B81" i="1" a="1"/>
  <c r="B81" i="1" s="1"/>
  <c r="B82" i="1" a="1"/>
  <c r="B82" i="1" s="1"/>
  <c r="B83" i="1" a="1"/>
  <c r="B83" i="1" s="1"/>
  <c r="B84" i="1" a="1"/>
  <c r="B84" i="1" s="1"/>
  <c r="B85" i="1" a="1"/>
  <c r="B85" i="1" s="1"/>
  <c r="B86" i="1" a="1"/>
  <c r="B86" i="1" s="1"/>
  <c r="B87" i="1" a="1"/>
  <c r="B87" i="1" s="1"/>
  <c r="B88" i="1" a="1"/>
  <c r="B88" i="1" s="1"/>
  <c r="B89" i="1" a="1"/>
  <c r="B89" i="1" s="1"/>
  <c r="B90" i="1" a="1"/>
  <c r="B90" i="1" s="1"/>
  <c r="B91" i="1" a="1"/>
  <c r="B91" i="1" s="1"/>
  <c r="B92" i="1" a="1"/>
  <c r="B92" i="1" s="1"/>
  <c r="B93" i="1" a="1"/>
  <c r="B93" i="1" s="1"/>
  <c r="B94" i="1" a="1"/>
  <c r="B94" i="1" s="1"/>
  <c r="B95" i="1" a="1"/>
  <c r="B95" i="1" s="1"/>
  <c r="B96" i="1" a="1"/>
  <c r="B96" i="1" s="1"/>
  <c r="B97" i="1" a="1"/>
  <c r="B97" i="1" s="1"/>
  <c r="B98" i="1" a="1"/>
  <c r="B98" i="1" s="1"/>
  <c r="B99" i="1" a="1"/>
  <c r="B99" i="1" s="1"/>
  <c r="B100" i="1" a="1"/>
  <c r="B100" i="1" s="1"/>
  <c r="B101" i="1" a="1"/>
  <c r="B101" i="1" s="1"/>
  <c r="B102" i="1" a="1"/>
  <c r="B102" i="1" s="1"/>
  <c r="B103" i="1" a="1"/>
  <c r="B103" i="1" s="1"/>
  <c r="B104" i="1" a="1"/>
  <c r="B104" i="1" s="1"/>
  <c r="B105" i="1" a="1"/>
  <c r="B105" i="1" s="1"/>
  <c r="B106" i="1" a="1"/>
  <c r="B106" i="1" s="1"/>
  <c r="B107" i="1" a="1"/>
  <c r="B107" i="1" s="1"/>
  <c r="B108" i="1" a="1"/>
  <c r="B108" i="1" s="1"/>
  <c r="B109" i="1" a="1"/>
  <c r="B109" i="1" s="1"/>
  <c r="B110" i="1" a="1"/>
  <c r="B110" i="1" s="1"/>
  <c r="B111" i="1" a="1"/>
  <c r="B111" i="1" s="1"/>
  <c r="B112" i="1" a="1"/>
  <c r="B112" i="1" s="1"/>
  <c r="B113" i="1" a="1"/>
  <c r="B113" i="1" s="1"/>
  <c r="B114" i="1" a="1"/>
  <c r="B114" i="1" s="1"/>
  <c r="B115" i="1" a="1"/>
  <c r="B115" i="1" s="1"/>
  <c r="B116" i="1" a="1"/>
  <c r="B116" i="1" s="1"/>
  <c r="B117" i="1" a="1"/>
  <c r="B117" i="1" s="1"/>
  <c r="B118" i="1" a="1"/>
  <c r="B118" i="1" s="1"/>
  <c r="B119" i="1" a="1"/>
  <c r="B119" i="1" s="1"/>
  <c r="B120" i="1" a="1"/>
  <c r="B120" i="1"/>
  <c r="B121" i="1" a="1"/>
  <c r="B121" i="1" s="1"/>
  <c r="B122" i="1" a="1"/>
  <c r="B122" i="1" s="1"/>
  <c r="B123" i="1" a="1"/>
  <c r="B123" i="1" s="1"/>
  <c r="B124" i="1" a="1"/>
  <c r="B124" i="1" s="1"/>
  <c r="B125" i="1" a="1"/>
  <c r="B125" i="1" s="1"/>
  <c r="B126" i="1" a="1"/>
  <c r="B126" i="1" s="1"/>
  <c r="B127" i="1" a="1"/>
  <c r="B127" i="1" s="1"/>
  <c r="B128" i="1" a="1"/>
  <c r="B128" i="1" s="1"/>
  <c r="B129" i="1" a="1"/>
  <c r="B129" i="1" s="1"/>
  <c r="B130" i="1" a="1"/>
  <c r="B130" i="1" s="1"/>
  <c r="B131" i="1" a="1"/>
  <c r="B131" i="1" s="1"/>
  <c r="B132" i="1" a="1"/>
  <c r="B132" i="1" s="1"/>
  <c r="B133" i="1" a="1"/>
  <c r="B133" i="1" s="1"/>
  <c r="B134" i="1" a="1"/>
  <c r="B134" i="1" s="1"/>
  <c r="B135" i="1" a="1"/>
  <c r="B135" i="1" s="1"/>
  <c r="B136" i="1" a="1"/>
  <c r="B136" i="1" s="1"/>
  <c r="B137" i="1" a="1"/>
  <c r="B137" i="1" s="1"/>
  <c r="B138" i="1" a="1"/>
  <c r="B138" i="1" s="1"/>
  <c r="B139" i="1" a="1"/>
  <c r="B139" i="1" s="1"/>
  <c r="B140" i="1" a="1"/>
  <c r="B140" i="1" s="1"/>
  <c r="B141" i="1" a="1"/>
  <c r="B141" i="1" s="1"/>
  <c r="B142" i="1" a="1"/>
  <c r="B142" i="1" s="1"/>
  <c r="B143" i="1" a="1"/>
  <c r="B143" i="1" s="1"/>
  <c r="B144" i="1" a="1"/>
  <c r="B144" i="1" s="1"/>
  <c r="B145" i="1" a="1"/>
  <c r="B145" i="1" s="1"/>
  <c r="B146" i="1" a="1"/>
  <c r="B146" i="1" s="1"/>
  <c r="B147" i="1" a="1"/>
  <c r="B147" i="1" s="1"/>
  <c r="B148" i="1" a="1"/>
  <c r="B148" i="1" s="1"/>
  <c r="B149" i="1" a="1"/>
  <c r="B149" i="1" s="1"/>
  <c r="B150" i="1" a="1"/>
  <c r="B150" i="1" s="1"/>
  <c r="B151" i="1" a="1"/>
  <c r="B151" i="1" s="1"/>
  <c r="B152" i="1" a="1"/>
  <c r="B152" i="1" s="1"/>
  <c r="B153" i="1" a="1"/>
  <c r="B153" i="1" s="1"/>
  <c r="B154" i="1" a="1"/>
  <c r="B154" i="1"/>
  <c r="B155" i="1" a="1"/>
  <c r="B155" i="1" s="1"/>
  <c r="B156" i="1" a="1"/>
  <c r="B156" i="1" s="1"/>
  <c r="B157" i="1" a="1"/>
  <c r="B157" i="1" s="1"/>
  <c r="B158" i="1" a="1"/>
  <c r="B158" i="1" s="1"/>
  <c r="B159" i="1" a="1"/>
  <c r="B159" i="1" s="1"/>
  <c r="B160" i="1" a="1"/>
  <c r="B160" i="1" s="1"/>
  <c r="B161" i="1" a="1"/>
  <c r="B161" i="1" s="1"/>
  <c r="B162" i="1" a="1"/>
  <c r="B162" i="1" s="1"/>
  <c r="B163" i="1" a="1"/>
  <c r="B163" i="1" s="1"/>
  <c r="B164" i="1" a="1"/>
  <c r="B164" i="1" s="1"/>
  <c r="B165" i="1" a="1"/>
  <c r="B165" i="1" s="1"/>
  <c r="B166" i="1" a="1"/>
  <c r="B166" i="1" s="1"/>
  <c r="B167" i="1" a="1"/>
  <c r="B167" i="1" s="1"/>
  <c r="B168" i="1" a="1"/>
  <c r="B168" i="1"/>
  <c r="B169" i="1" a="1"/>
  <c r="B169" i="1" s="1"/>
  <c r="B170" i="1" a="1"/>
  <c r="B170" i="1" s="1"/>
  <c r="B171" i="1" a="1"/>
  <c r="B171" i="1" s="1"/>
  <c r="B172" i="1" a="1"/>
  <c r="B172" i="1" s="1"/>
  <c r="B173" i="1" a="1"/>
  <c r="B173" i="1" s="1"/>
  <c r="B174" i="1" a="1"/>
  <c r="B174" i="1" s="1"/>
  <c r="B175" i="1" a="1"/>
  <c r="B175" i="1" s="1"/>
  <c r="B176" i="1" a="1"/>
  <c r="B176" i="1" s="1"/>
  <c r="B177" i="1" a="1"/>
  <c r="B177" i="1" s="1"/>
  <c r="B178" i="1" a="1"/>
  <c r="B178" i="1" s="1"/>
  <c r="B179" i="1" a="1"/>
  <c r="B179" i="1" s="1"/>
  <c r="B180" i="1" a="1"/>
  <c r="B180" i="1" s="1"/>
  <c r="B181" i="1" a="1"/>
  <c r="B181" i="1" s="1"/>
  <c r="B182" i="1" a="1"/>
  <c r="B182" i="1" s="1"/>
  <c r="B183" i="1" a="1"/>
  <c r="B183" i="1" s="1"/>
  <c r="B184" i="1" a="1"/>
  <c r="B184" i="1" s="1"/>
  <c r="B185" i="1" a="1"/>
  <c r="B185" i="1" s="1"/>
  <c r="B186" i="1" a="1"/>
  <c r="B186" i="1" s="1"/>
  <c r="B187" i="1" a="1"/>
  <c r="B187" i="1" s="1"/>
  <c r="B188" i="1" a="1"/>
  <c r="B188" i="1" s="1"/>
  <c r="B189" i="1" a="1"/>
  <c r="B189" i="1" s="1"/>
  <c r="B190" i="1" a="1"/>
  <c r="B190" i="1" s="1"/>
  <c r="B191" i="1" a="1"/>
  <c r="B191" i="1" s="1"/>
  <c r="B192" i="1" a="1"/>
  <c r="B192" i="1" s="1"/>
  <c r="B193" i="1" a="1"/>
  <c r="B193" i="1" s="1"/>
  <c r="B194" i="1" a="1"/>
  <c r="B194" i="1" s="1"/>
  <c r="B195" i="1" a="1"/>
  <c r="B195" i="1" s="1"/>
  <c r="B196" i="1" a="1"/>
  <c r="B196" i="1" s="1"/>
  <c r="B197" i="1" a="1"/>
  <c r="B197" i="1" s="1"/>
  <c r="B198" i="1" a="1"/>
  <c r="B198" i="1" s="1"/>
  <c r="B199" i="1" a="1"/>
  <c r="B199" i="1" s="1"/>
  <c r="B200" i="1" a="1"/>
  <c r="B200" i="1" s="1"/>
  <c r="B201" i="1" a="1"/>
  <c r="B201" i="1" s="1"/>
  <c r="B202" i="1" a="1"/>
  <c r="B202" i="1" s="1"/>
  <c r="B203" i="1" a="1"/>
  <c r="B203" i="1" s="1"/>
  <c r="B204" i="1" a="1"/>
  <c r="B204" i="1" s="1"/>
  <c r="B205" i="1" a="1"/>
  <c r="B205" i="1" s="1"/>
  <c r="B206" i="1" a="1"/>
  <c r="B206" i="1" s="1"/>
  <c r="B207" i="1" a="1"/>
  <c r="B207" i="1" s="1"/>
  <c r="B208" i="1" a="1"/>
  <c r="B208" i="1" s="1"/>
  <c r="B209" i="1" a="1"/>
  <c r="B209" i="1" s="1"/>
  <c r="B210" i="1" a="1"/>
  <c r="B210" i="1" s="1"/>
  <c r="B211" i="1" a="1"/>
  <c r="B211" i="1" s="1"/>
  <c r="B212" i="1" a="1"/>
  <c r="B212" i="1" s="1"/>
  <c r="B213" i="1" a="1"/>
  <c r="B213" i="1" s="1"/>
  <c r="B214" i="1" a="1"/>
  <c r="B214" i="1" s="1"/>
  <c r="B215" i="1" a="1"/>
  <c r="B215" i="1" s="1"/>
  <c r="B216" i="1" a="1"/>
  <c r="B216" i="1" s="1"/>
  <c r="B217" i="1" a="1"/>
  <c r="B217" i="1" s="1"/>
  <c r="B218" i="1" a="1"/>
  <c r="B218" i="1" s="1"/>
  <c r="B219" i="1" a="1"/>
  <c r="B219" i="1" s="1"/>
  <c r="B220" i="1" a="1"/>
  <c r="B220" i="1" s="1"/>
  <c r="B221" i="1" a="1"/>
  <c r="B221" i="1" s="1"/>
  <c r="B222" i="1" a="1"/>
  <c r="B222" i="1" s="1"/>
  <c r="B223" i="1" a="1"/>
  <c r="B223" i="1" s="1"/>
  <c r="B224" i="1" a="1"/>
  <c r="B224" i="1" s="1"/>
  <c r="B225" i="1" a="1"/>
  <c r="B225" i="1" s="1"/>
  <c r="B226" i="1" a="1"/>
  <c r="B226" i="1" s="1"/>
  <c r="B227" i="1" a="1"/>
  <c r="B227" i="1" s="1"/>
  <c r="B228" i="1" a="1"/>
  <c r="B228" i="1" s="1"/>
  <c r="B229" i="1" a="1"/>
  <c r="B229" i="1" s="1"/>
  <c r="B230" i="1" a="1"/>
  <c r="B230" i="1" s="1"/>
  <c r="B231" i="1" a="1"/>
  <c r="B231" i="1" s="1"/>
  <c r="B232" i="1" a="1"/>
  <c r="B232" i="1" s="1"/>
  <c r="B233" i="1" a="1"/>
  <c r="B233" i="1"/>
  <c r="B234" i="1" a="1"/>
  <c r="B234" i="1" s="1"/>
  <c r="B235" i="1" a="1"/>
  <c r="B235" i="1" s="1"/>
  <c r="B236" i="1" a="1"/>
  <c r="B236" i="1" s="1"/>
  <c r="B237" i="1" a="1"/>
  <c r="B237" i="1" s="1"/>
  <c r="B238" i="1" a="1"/>
  <c r="B238" i="1" s="1"/>
  <c r="B239" i="1" a="1"/>
  <c r="B239" i="1" s="1"/>
  <c r="B240" i="1" a="1"/>
  <c r="B240" i="1" s="1"/>
  <c r="B241" i="1" a="1"/>
  <c r="B241" i="1" s="1"/>
  <c r="B242" i="1" a="1"/>
  <c r="B242" i="1" s="1"/>
  <c r="B243" i="1" a="1"/>
  <c r="B243" i="1" s="1"/>
  <c r="B244" i="1" a="1"/>
  <c r="B244" i="1" s="1"/>
  <c r="B245" i="1" a="1"/>
  <c r="B245" i="1" s="1"/>
  <c r="B246" i="1" a="1"/>
  <c r="B246" i="1" s="1"/>
  <c r="B247" i="1" a="1"/>
  <c r="B247" i="1" s="1"/>
  <c r="B248" i="1" a="1"/>
  <c r="B248" i="1" s="1"/>
  <c r="B249" i="1" a="1"/>
  <c r="B249" i="1" s="1"/>
  <c r="B250" i="1" a="1"/>
  <c r="B250" i="1" s="1"/>
  <c r="B251" i="1" a="1"/>
  <c r="B251" i="1" s="1"/>
  <c r="B252" i="1" a="1"/>
  <c r="B252" i="1" s="1"/>
  <c r="B253" i="1" a="1"/>
  <c r="B253" i="1" s="1"/>
  <c r="B254" i="1" a="1"/>
  <c r="B254" i="1" s="1"/>
  <c r="B255" i="1" a="1"/>
  <c r="B255" i="1" s="1"/>
  <c r="B256" i="1" a="1"/>
  <c r="B256" i="1" s="1"/>
  <c r="B257" i="1" a="1"/>
  <c r="B257" i="1" s="1"/>
  <c r="B258" i="1" a="1"/>
  <c r="B258" i="1" s="1"/>
  <c r="B259" i="1" a="1"/>
  <c r="B259" i="1" s="1"/>
  <c r="B260" i="1" a="1"/>
  <c r="B260" i="1" s="1"/>
  <c r="B261" i="1" a="1"/>
  <c r="B261" i="1" s="1"/>
  <c r="B262" i="1" a="1"/>
  <c r="B262" i="1" s="1"/>
  <c r="B263" i="1" a="1"/>
  <c r="B263" i="1" s="1"/>
  <c r="B264" i="1" a="1"/>
  <c r="B264" i="1" s="1"/>
  <c r="B265" i="1" a="1"/>
  <c r="B265" i="1" s="1"/>
  <c r="B266" i="1" a="1"/>
  <c r="B266" i="1" s="1"/>
  <c r="B267" i="1" a="1"/>
  <c r="B267" i="1" s="1"/>
  <c r="B268" i="1" a="1"/>
  <c r="B268" i="1" s="1"/>
  <c r="B269" i="1" a="1"/>
  <c r="B269" i="1" s="1"/>
  <c r="B270" i="1" a="1"/>
  <c r="B270" i="1" s="1"/>
  <c r="B271" i="1" a="1"/>
  <c r="B271" i="1" s="1"/>
  <c r="B272" i="1" a="1"/>
  <c r="B272" i="1" s="1"/>
  <c r="B273" i="1" a="1"/>
  <c r="B273" i="1" s="1"/>
  <c r="B274" i="1" a="1"/>
  <c r="B274" i="1" s="1"/>
  <c r="B275" i="1" a="1"/>
  <c r="B275" i="1" s="1"/>
  <c r="B276" i="1" a="1"/>
  <c r="B276" i="1" s="1"/>
  <c r="B277" i="1" a="1"/>
  <c r="B277" i="1" s="1"/>
  <c r="B278" i="1" a="1"/>
  <c r="B278" i="1" s="1"/>
  <c r="B279" i="1" a="1"/>
  <c r="B279" i="1" s="1"/>
  <c r="B280" i="1" a="1"/>
  <c r="B280" i="1" s="1"/>
  <c r="B281" i="1" a="1"/>
  <c r="B281" i="1" s="1"/>
  <c r="B282" i="1" a="1"/>
  <c r="B282" i="1" s="1"/>
  <c r="B283" i="1" a="1"/>
  <c r="B283" i="1" s="1"/>
  <c r="B284" i="1" a="1"/>
  <c r="B284" i="1" s="1"/>
  <c r="B285" i="1" a="1"/>
  <c r="B285" i="1" s="1"/>
  <c r="B286" i="1" a="1"/>
  <c r="B286" i="1" s="1"/>
  <c r="B287" i="1" a="1"/>
  <c r="B287" i="1" s="1"/>
  <c r="B288" i="1" a="1"/>
  <c r="B288" i="1" s="1"/>
  <c r="B289" i="1" a="1"/>
  <c r="B289" i="1" s="1"/>
  <c r="B290" i="1" a="1"/>
  <c r="B290" i="1" s="1"/>
  <c r="B291" i="1" a="1"/>
  <c r="B291" i="1" s="1"/>
  <c r="B292" i="1" a="1"/>
  <c r="B292" i="1" s="1"/>
  <c r="B293" i="1" a="1"/>
  <c r="B293" i="1" s="1"/>
  <c r="B294" i="1" a="1"/>
  <c r="B294" i="1" s="1"/>
  <c r="B295" i="1" a="1"/>
  <c r="B295" i="1" s="1"/>
  <c r="B296" i="1" a="1"/>
  <c r="B296" i="1" s="1"/>
  <c r="B297" i="1" a="1"/>
  <c r="B297" i="1" s="1"/>
  <c r="B298" i="1" a="1"/>
  <c r="B298" i="1" s="1"/>
  <c r="B299" i="1" a="1"/>
  <c r="B299" i="1"/>
  <c r="B300" i="1" a="1"/>
  <c r="B300" i="1" s="1"/>
  <c r="B301" i="1" a="1"/>
  <c r="B301" i="1" s="1"/>
  <c r="B302" i="1" a="1"/>
  <c r="B302" i="1" s="1"/>
  <c r="B303" i="1" a="1"/>
  <c r="B303" i="1" s="1"/>
  <c r="B304" i="1" a="1"/>
  <c r="B304" i="1" s="1"/>
  <c r="B305" i="1" a="1"/>
  <c r="B305" i="1" s="1"/>
  <c r="B306" i="1" a="1"/>
  <c r="B306" i="1" s="1"/>
  <c r="B307" i="1" a="1"/>
  <c r="B307" i="1" s="1"/>
  <c r="B308" i="1" a="1"/>
  <c r="B308" i="1" s="1"/>
  <c r="B309" i="1" a="1"/>
  <c r="B309" i="1" s="1"/>
  <c r="B310" i="1" a="1"/>
  <c r="B310" i="1" s="1"/>
  <c r="B311" i="1" a="1"/>
  <c r="B311" i="1" s="1"/>
  <c r="B312" i="1" a="1"/>
  <c r="B312" i="1" s="1"/>
  <c r="B313" i="1" a="1"/>
  <c r="B313" i="1" s="1"/>
  <c r="B314" i="1" a="1"/>
  <c r="B314" i="1"/>
  <c r="B315" i="1" a="1"/>
  <c r="B315" i="1" s="1"/>
  <c r="B316" i="1" a="1"/>
  <c r="B316" i="1" s="1"/>
  <c r="B317" i="1" a="1"/>
  <c r="B317" i="1" s="1"/>
  <c r="B318" i="1" a="1"/>
  <c r="B318" i="1" s="1"/>
  <c r="B319" i="1" a="1"/>
  <c r="B319" i="1" s="1"/>
  <c r="B320" i="1" a="1"/>
  <c r="B320" i="1" s="1"/>
  <c r="B321" i="1" a="1"/>
  <c r="B321" i="1" s="1"/>
  <c r="B322" i="1" a="1"/>
  <c r="B322" i="1" s="1"/>
  <c r="B323" i="1" a="1"/>
  <c r="B323" i="1" s="1"/>
  <c r="B324" i="1" a="1"/>
  <c r="B324" i="1" s="1"/>
  <c r="B325" i="1" a="1"/>
  <c r="B325" i="1" s="1"/>
  <c r="B326" i="1" a="1"/>
  <c r="B326" i="1" s="1"/>
  <c r="B327" i="1" a="1"/>
  <c r="B327" i="1" s="1"/>
  <c r="B328" i="1" a="1"/>
  <c r="B328" i="1" s="1"/>
  <c r="B329" i="1" a="1"/>
  <c r="B329" i="1" s="1"/>
  <c r="B330" i="1" a="1"/>
  <c r="B330" i="1" s="1"/>
  <c r="B331" i="1" a="1"/>
  <c r="B331" i="1" s="1"/>
  <c r="B332" i="1" a="1"/>
  <c r="B332" i="1" s="1"/>
  <c r="B333" i="1" a="1"/>
  <c r="B333" i="1" s="1"/>
  <c r="B334" i="1" a="1"/>
  <c r="B334" i="1" s="1"/>
  <c r="B335" i="1" a="1"/>
  <c r="B335" i="1" s="1"/>
  <c r="B336" i="1" a="1"/>
  <c r="B336" i="1" s="1"/>
  <c r="B337" i="1" a="1"/>
  <c r="B337" i="1" s="1"/>
  <c r="B338" i="1" a="1"/>
  <c r="B338" i="1" s="1"/>
  <c r="B339" i="1" a="1"/>
  <c r="B339" i="1" s="1"/>
  <c r="B340" i="1" a="1"/>
  <c r="B340" i="1" s="1"/>
  <c r="B341" i="1" a="1"/>
  <c r="B341" i="1" s="1"/>
  <c r="B342" i="1" a="1"/>
  <c r="B342" i="1" s="1"/>
  <c r="B343" i="1" a="1"/>
  <c r="B343" i="1" s="1"/>
  <c r="B344" i="1" a="1"/>
  <c r="B344" i="1" s="1"/>
  <c r="B345" i="1" a="1"/>
  <c r="B345" i="1" s="1"/>
  <c r="B346" i="1" a="1"/>
  <c r="B346" i="1"/>
  <c r="B347" i="1" a="1"/>
  <c r="B347" i="1" s="1"/>
  <c r="B348" i="1" a="1"/>
  <c r="B348" i="1" s="1"/>
  <c r="B349" i="1" a="1"/>
  <c r="B349" i="1" s="1"/>
  <c r="B350" i="1" a="1"/>
  <c r="B350" i="1" s="1"/>
  <c r="B351" i="1" a="1"/>
  <c r="B351" i="1" s="1"/>
  <c r="B352" i="1" a="1"/>
  <c r="B352" i="1" s="1"/>
  <c r="B353" i="1" a="1"/>
  <c r="B353" i="1" s="1"/>
  <c r="B354" i="1" a="1"/>
  <c r="B354" i="1"/>
  <c r="B355" i="1" a="1"/>
  <c r="B355" i="1" s="1"/>
  <c r="B356" i="1" a="1"/>
  <c r="B356" i="1" s="1"/>
  <c r="B357" i="1" a="1"/>
  <c r="B357" i="1" s="1"/>
  <c r="B358" i="1" a="1"/>
  <c r="B358" i="1"/>
  <c r="B359" i="1" a="1"/>
  <c r="B359" i="1" s="1"/>
  <c r="B360" i="1" a="1"/>
  <c r="B360" i="1" s="1"/>
  <c r="B361" i="1" a="1"/>
  <c r="B361" i="1" s="1"/>
  <c r="B362" i="1" a="1"/>
  <c r="B362" i="1" s="1"/>
  <c r="B363" i="1" a="1"/>
  <c r="B363" i="1" s="1"/>
  <c r="B364" i="1" a="1"/>
  <c r="B364" i="1" s="1"/>
  <c r="B365" i="1" a="1"/>
  <c r="B365" i="1" s="1"/>
  <c r="B366" i="1" a="1"/>
  <c r="B366" i="1" s="1"/>
  <c r="B367" i="1" a="1"/>
  <c r="B367" i="1" s="1"/>
  <c r="B368" i="1" a="1"/>
  <c r="B368" i="1" s="1"/>
  <c r="B369" i="1" a="1"/>
  <c r="B369" i="1" s="1"/>
  <c r="B370" i="1" a="1"/>
  <c r="B370" i="1" s="1"/>
  <c r="B371" i="1" a="1"/>
  <c r="B371" i="1" s="1"/>
  <c r="B372" i="1" a="1"/>
  <c r="B372" i="1" s="1"/>
  <c r="B373" i="1" a="1"/>
  <c r="B373" i="1" s="1"/>
  <c r="B374" i="1" a="1"/>
  <c r="B374" i="1" s="1"/>
  <c r="B375" i="1" a="1"/>
  <c r="B375" i="1" s="1"/>
  <c r="B376" i="1" a="1"/>
  <c r="B376" i="1" s="1"/>
  <c r="B377" i="1" a="1"/>
  <c r="B377" i="1" s="1"/>
  <c r="B378" i="1" a="1"/>
  <c r="B378" i="1" s="1"/>
  <c r="B379" i="1" a="1"/>
  <c r="B379" i="1" s="1"/>
  <c r="B380" i="1" a="1"/>
  <c r="B380" i="1" s="1"/>
  <c r="B381" i="1" a="1"/>
  <c r="B381" i="1" s="1"/>
  <c r="B382" i="1" a="1"/>
  <c r="B382" i="1" s="1"/>
  <c r="B383" i="1" a="1"/>
  <c r="B383" i="1" s="1"/>
  <c r="B384" i="1" a="1"/>
  <c r="B384" i="1" s="1"/>
  <c r="B385" i="1" a="1"/>
  <c r="B385" i="1" s="1"/>
  <c r="B386" i="1" a="1"/>
  <c r="B386" i="1" s="1"/>
  <c r="B387" i="1" a="1"/>
  <c r="B387" i="1" s="1"/>
  <c r="B388" i="1" a="1"/>
  <c r="B388" i="1" s="1"/>
  <c r="B389" i="1" a="1"/>
  <c r="B389" i="1" s="1"/>
  <c r="B390" i="1" a="1"/>
  <c r="B390" i="1" s="1"/>
  <c r="B391" i="1" a="1"/>
  <c r="B391" i="1" s="1"/>
  <c r="B392" i="1" a="1"/>
  <c r="B392" i="1" s="1"/>
  <c r="B393" i="1" a="1"/>
  <c r="B393" i="1" s="1"/>
  <c r="B394" i="1" a="1"/>
  <c r="B394" i="1" s="1"/>
  <c r="B395" i="1" a="1"/>
  <c r="B395" i="1" s="1"/>
  <c r="B396" i="1" a="1"/>
  <c r="B396" i="1" s="1"/>
  <c r="B397" i="1" a="1"/>
  <c r="B397" i="1" s="1"/>
  <c r="B398" i="1" a="1"/>
  <c r="B398" i="1" s="1"/>
  <c r="B399" i="1" a="1"/>
  <c r="B399" i="1" s="1"/>
  <c r="B400" i="1" a="1"/>
  <c r="B400" i="1" s="1"/>
  <c r="B401" i="1" a="1"/>
  <c r="B401" i="1" s="1"/>
  <c r="B402" i="1" a="1"/>
  <c r="B402" i="1" s="1"/>
  <c r="B403" i="1" a="1"/>
  <c r="B403" i="1" s="1"/>
  <c r="B404" i="1" a="1"/>
  <c r="B404" i="1" s="1"/>
  <c r="B405" i="1" a="1"/>
  <c r="B405" i="1" s="1"/>
  <c r="B406" i="1" a="1"/>
  <c r="B406" i="1" s="1"/>
  <c r="B407" i="1" a="1"/>
  <c r="B407" i="1" s="1"/>
  <c r="B408" i="1" a="1"/>
  <c r="B408" i="1" s="1"/>
  <c r="B409" i="1" a="1"/>
  <c r="B409" i="1" s="1"/>
  <c r="B410" i="1" a="1"/>
  <c r="B410" i="1" s="1"/>
  <c r="B411" i="1" a="1"/>
  <c r="B411" i="1" s="1"/>
  <c r="B412" i="1" a="1"/>
  <c r="B412" i="1"/>
  <c r="B413" i="1" a="1"/>
  <c r="B413" i="1" s="1"/>
  <c r="B414" i="1" a="1"/>
  <c r="B414" i="1" s="1"/>
  <c r="B415" i="1" a="1"/>
  <c r="B415" i="1" s="1"/>
  <c r="B416" i="1" a="1"/>
  <c r="B416" i="1" s="1"/>
  <c r="B417" i="1" a="1"/>
  <c r="B417" i="1" s="1"/>
  <c r="B418" i="1" a="1"/>
  <c r="B418" i="1" s="1"/>
  <c r="B419" i="1" a="1"/>
  <c r="B419" i="1" s="1"/>
  <c r="B420" i="1" a="1"/>
  <c r="B420" i="1" s="1"/>
  <c r="B421" i="1" a="1"/>
  <c r="B421" i="1" s="1"/>
  <c r="B422" i="1" a="1"/>
  <c r="B422" i="1" s="1"/>
  <c r="B423" i="1" a="1"/>
  <c r="B423" i="1" s="1"/>
  <c r="B424" i="1" a="1"/>
  <c r="B424" i="1" s="1"/>
  <c r="B425" i="1" a="1"/>
  <c r="B425" i="1" s="1"/>
  <c r="B426" i="1" a="1"/>
  <c r="B426" i="1" s="1"/>
  <c r="B427" i="1" a="1"/>
  <c r="B427" i="1" s="1"/>
  <c r="B428" i="1" a="1"/>
  <c r="B428" i="1" s="1"/>
  <c r="B429" i="1" a="1"/>
  <c r="B429" i="1" s="1"/>
  <c r="B430" i="1" a="1"/>
  <c r="B430" i="1" s="1"/>
  <c r="B431" i="1" a="1"/>
  <c r="B431" i="1" s="1"/>
  <c r="B432" i="1" a="1"/>
  <c r="B432" i="1"/>
  <c r="B433" i="1" a="1"/>
  <c r="B433" i="1" s="1"/>
  <c r="B434" i="1" a="1"/>
  <c r="B434" i="1" s="1"/>
  <c r="B435" i="1" a="1"/>
  <c r="B435" i="1" s="1"/>
  <c r="B436" i="1" a="1"/>
  <c r="B436" i="1" s="1"/>
  <c r="B437" i="1" a="1"/>
  <c r="B437" i="1" s="1"/>
  <c r="B438" i="1" a="1"/>
  <c r="B438" i="1" s="1"/>
  <c r="B439" i="1" a="1"/>
  <c r="B439" i="1" s="1"/>
  <c r="B440" i="1" a="1"/>
  <c r="B440" i="1" s="1"/>
  <c r="B441" i="1" a="1"/>
  <c r="B441" i="1" s="1"/>
  <c r="B442" i="1" a="1"/>
  <c r="B442" i="1" s="1"/>
  <c r="B443" i="1" a="1"/>
  <c r="B443" i="1" s="1"/>
  <c r="B444" i="1" a="1"/>
  <c r="B444" i="1" s="1"/>
  <c r="B445" i="1" a="1"/>
  <c r="B445" i="1" s="1"/>
  <c r="B446" i="1" a="1"/>
  <c r="B446" i="1" s="1"/>
  <c r="B447" i="1" a="1"/>
  <c r="B447" i="1" s="1"/>
  <c r="B448" i="1" a="1"/>
  <c r="B448" i="1" s="1"/>
  <c r="B449" i="1" a="1"/>
  <c r="B449" i="1" s="1"/>
  <c r="B450" i="1" a="1"/>
  <c r="B450" i="1" s="1"/>
  <c r="B451" i="1" a="1"/>
  <c r="B451" i="1" s="1"/>
  <c r="B452" i="1" a="1"/>
  <c r="B452" i="1" s="1"/>
  <c r="B453" i="1" a="1"/>
  <c r="B453" i="1" s="1"/>
  <c r="B454" i="1" a="1"/>
  <c r="B454" i="1" s="1"/>
  <c r="B455" i="1" a="1"/>
  <c r="B455" i="1" s="1"/>
  <c r="B456" i="1" a="1"/>
  <c r="B456" i="1" s="1"/>
  <c r="B457" i="1" a="1"/>
  <c r="B457" i="1" s="1"/>
  <c r="B458" i="1" a="1"/>
  <c r="B458" i="1" s="1"/>
  <c r="B459" i="1" a="1"/>
  <c r="B459" i="1" s="1"/>
  <c r="B460" i="1" a="1"/>
  <c r="B460" i="1" s="1"/>
  <c r="B461" i="1" a="1"/>
  <c r="B461" i="1"/>
  <c r="B462" i="1" a="1"/>
  <c r="B462" i="1" s="1"/>
  <c r="B463" i="1" a="1"/>
  <c r="B463" i="1" s="1"/>
  <c r="B464" i="1" a="1"/>
  <c r="B464" i="1" s="1"/>
  <c r="B465" i="1" a="1"/>
  <c r="B465" i="1" s="1"/>
  <c r="B466" i="1" a="1"/>
  <c r="B466" i="1" s="1"/>
  <c r="B467" i="1" a="1"/>
  <c r="B467" i="1" s="1"/>
  <c r="B468" i="1" a="1"/>
  <c r="B468" i="1" s="1"/>
  <c r="B469" i="1" a="1"/>
  <c r="B469" i="1" s="1"/>
  <c r="B470" i="1" a="1"/>
  <c r="B470" i="1" s="1"/>
  <c r="B471" i="1" a="1"/>
  <c r="B471" i="1" s="1"/>
  <c r="B472" i="1" a="1"/>
  <c r="B472" i="1" s="1"/>
  <c r="B473" i="1" a="1"/>
  <c r="B473" i="1" s="1"/>
  <c r="B474" i="1" a="1"/>
  <c r="B474" i="1" s="1"/>
  <c r="B475" i="1" a="1"/>
  <c r="B475" i="1" s="1"/>
  <c r="B476" i="1" a="1"/>
  <c r="B476" i="1" s="1"/>
  <c r="B477" i="1" a="1"/>
  <c r="B477" i="1" s="1"/>
  <c r="B478" i="1" a="1"/>
  <c r="B478" i="1" s="1"/>
  <c r="B479" i="1" a="1"/>
  <c r="B479" i="1" s="1"/>
  <c r="B480" i="1" a="1"/>
  <c r="B480" i="1" s="1"/>
  <c r="B481" i="1" a="1"/>
  <c r="B481" i="1" s="1"/>
  <c r="B482" i="1" a="1"/>
  <c r="B482" i="1" s="1"/>
  <c r="B483" i="1" a="1"/>
  <c r="B483" i="1" s="1"/>
  <c r="B484" i="1" a="1"/>
  <c r="B484" i="1" s="1"/>
  <c r="B485" i="1" a="1"/>
  <c r="B485" i="1" s="1"/>
  <c r="B486" i="1" a="1"/>
  <c r="B486" i="1" s="1"/>
  <c r="B487" i="1" a="1"/>
  <c r="B487" i="1" s="1"/>
  <c r="B488" i="1" a="1"/>
  <c r="B488" i="1" s="1"/>
  <c r="B489" i="1" a="1"/>
  <c r="B489" i="1" s="1"/>
  <c r="B490" i="1" a="1"/>
  <c r="B490" i="1" s="1"/>
  <c r="B491" i="1" a="1"/>
  <c r="B491" i="1" s="1"/>
  <c r="B492" i="1" a="1"/>
  <c r="B492" i="1" s="1"/>
  <c r="B493" i="1" a="1"/>
  <c r="B493" i="1" s="1"/>
  <c r="B494" i="1" a="1"/>
  <c r="B494" i="1" s="1"/>
  <c r="B495" i="1" a="1"/>
  <c r="B495" i="1" s="1"/>
  <c r="B496" i="1" a="1"/>
  <c r="B496" i="1" s="1"/>
  <c r="B497" i="1" a="1"/>
  <c r="B497" i="1" s="1"/>
  <c r="B498" i="1" a="1"/>
  <c r="B498" i="1" s="1"/>
  <c r="B499" i="1" a="1"/>
  <c r="B499" i="1" s="1"/>
  <c r="B500" i="1" a="1"/>
  <c r="B500" i="1" s="1"/>
  <c r="B501" i="1" a="1"/>
  <c r="B501" i="1" s="1"/>
  <c r="B502" i="1" a="1"/>
  <c r="B502" i="1" s="1"/>
  <c r="B503" i="1" a="1"/>
  <c r="B503" i="1" s="1"/>
  <c r="B504" i="1" a="1"/>
  <c r="B504" i="1" s="1"/>
  <c r="B505" i="1" a="1"/>
  <c r="B505" i="1" s="1"/>
  <c r="B506" i="1" a="1"/>
  <c r="B506" i="1" s="1"/>
  <c r="B507" i="1" a="1"/>
  <c r="B507" i="1" s="1"/>
  <c r="B508" i="1" a="1"/>
  <c r="B508" i="1" s="1"/>
  <c r="B509" i="1" a="1"/>
  <c r="B509" i="1" s="1"/>
  <c r="B510" i="1" a="1"/>
  <c r="B510" i="1" s="1"/>
  <c r="B511" i="1" a="1"/>
  <c r="B511" i="1" s="1"/>
  <c r="B512" i="1" a="1"/>
  <c r="B512" i="1" s="1"/>
  <c r="B513" i="1" a="1"/>
  <c r="B513" i="1" s="1"/>
  <c r="B514" i="1" a="1"/>
  <c r="B514" i="1" s="1"/>
  <c r="B515" i="1" a="1"/>
  <c r="B515" i="1" s="1"/>
  <c r="B516" i="1" a="1"/>
  <c r="B516" i="1" s="1"/>
  <c r="B517" i="1" a="1"/>
  <c r="B517" i="1" s="1"/>
  <c r="B518" i="1" a="1"/>
  <c r="B518" i="1" s="1"/>
  <c r="B519" i="1" a="1"/>
  <c r="B519" i="1" s="1"/>
  <c r="B520" i="1" a="1"/>
  <c r="B520" i="1" s="1"/>
  <c r="B521" i="1" a="1"/>
  <c r="B521" i="1" s="1"/>
  <c r="B522" i="1" a="1"/>
  <c r="B522" i="1" s="1"/>
  <c r="B523" i="1" a="1"/>
  <c r="B523" i="1" s="1"/>
  <c r="B524" i="1" a="1"/>
  <c r="B524" i="1" s="1"/>
  <c r="B525" i="1" a="1"/>
  <c r="B525" i="1" s="1"/>
  <c r="B526" i="1" a="1"/>
  <c r="B526" i="1" s="1"/>
  <c r="B527" i="1" a="1"/>
  <c r="B527" i="1" s="1"/>
  <c r="B528" i="1" a="1"/>
  <c r="B528" i="1" s="1"/>
  <c r="B529" i="1" a="1"/>
  <c r="B529" i="1" s="1"/>
  <c r="B530" i="1" a="1"/>
  <c r="B530" i="1" s="1"/>
  <c r="B531" i="1" a="1"/>
  <c r="B531" i="1" s="1"/>
  <c r="B532" i="1" a="1"/>
  <c r="B532" i="1" s="1"/>
  <c r="B533" i="1" a="1"/>
  <c r="B533" i="1" s="1"/>
  <c r="B534" i="1" a="1"/>
  <c r="B534" i="1" s="1"/>
  <c r="B535" i="1" a="1"/>
  <c r="B535" i="1" s="1"/>
  <c r="B536" i="1" a="1"/>
  <c r="B536" i="1" s="1"/>
  <c r="B537" i="1" a="1"/>
  <c r="B537" i="1" s="1"/>
  <c r="B538" i="1" a="1"/>
  <c r="B538" i="1" s="1"/>
  <c r="B539" i="1" a="1"/>
  <c r="B539" i="1" s="1"/>
  <c r="B540" i="1" a="1"/>
  <c r="B540" i="1" s="1"/>
  <c r="B541" i="1" a="1"/>
  <c r="B541" i="1" s="1"/>
  <c r="B542" i="1" a="1"/>
  <c r="B542" i="1" s="1"/>
  <c r="B543" i="1" a="1"/>
  <c r="B543" i="1" s="1"/>
  <c r="B544" i="1" a="1"/>
  <c r="B544" i="1" s="1"/>
  <c r="B545" i="1" a="1"/>
  <c r="B545" i="1" s="1"/>
  <c r="B546" i="1" a="1"/>
  <c r="B546" i="1" s="1"/>
  <c r="B547" i="1" a="1"/>
  <c r="B547" i="1" s="1"/>
  <c r="B548" i="1" a="1"/>
  <c r="B548" i="1" s="1"/>
  <c r="B549" i="1" a="1"/>
  <c r="B549" i="1" s="1"/>
  <c r="B550" i="1" a="1"/>
  <c r="B550" i="1" s="1"/>
  <c r="B551" i="1" a="1"/>
  <c r="B551" i="1" s="1"/>
  <c r="B552" i="1" a="1"/>
  <c r="B552" i="1" s="1"/>
  <c r="B553" i="1" a="1"/>
  <c r="B553" i="1" s="1"/>
  <c r="B554" i="1" a="1"/>
  <c r="B554" i="1" s="1"/>
  <c r="B555" i="1" a="1"/>
  <c r="B555" i="1" s="1"/>
  <c r="B556" i="1" a="1"/>
  <c r="B556" i="1" s="1"/>
  <c r="B557" i="1" a="1"/>
  <c r="B557" i="1" s="1"/>
  <c r="B558" i="1" a="1"/>
  <c r="B558" i="1" s="1"/>
  <c r="B559" i="1" a="1"/>
  <c r="B559" i="1" s="1"/>
  <c r="B560" i="1" a="1"/>
  <c r="B560" i="1" s="1"/>
  <c r="B561" i="1" a="1"/>
  <c r="B561" i="1" s="1"/>
  <c r="B562" i="1" a="1"/>
  <c r="B562" i="1" s="1"/>
  <c r="B563" i="1" a="1"/>
  <c r="B563" i="1" s="1"/>
  <c r="B564" i="1" a="1"/>
  <c r="B564" i="1" s="1"/>
  <c r="B565" i="1" a="1"/>
  <c r="B565" i="1" s="1"/>
  <c r="B566" i="1" a="1"/>
  <c r="B566" i="1" s="1"/>
  <c r="B567" i="1" a="1"/>
  <c r="B567" i="1" s="1"/>
  <c r="B568" i="1" a="1"/>
  <c r="B568" i="1" s="1"/>
  <c r="B569" i="1" a="1"/>
  <c r="B569" i="1" s="1"/>
  <c r="B570" i="1" a="1"/>
  <c r="B570" i="1" s="1"/>
  <c r="B571" i="1" a="1"/>
  <c r="B571" i="1" s="1"/>
  <c r="B572" i="1" a="1"/>
  <c r="B572" i="1" s="1"/>
  <c r="B573" i="1" a="1"/>
  <c r="B573" i="1" s="1"/>
  <c r="B574" i="1" a="1"/>
  <c r="B574" i="1" s="1"/>
  <c r="B575" i="1" a="1"/>
  <c r="B575" i="1" s="1"/>
  <c r="B576" i="1" a="1"/>
  <c r="B576" i="1" s="1"/>
  <c r="B577" i="1" a="1"/>
  <c r="B577" i="1" s="1"/>
  <c r="B578" i="1" a="1"/>
  <c r="B578" i="1" s="1"/>
  <c r="B579" i="1" a="1"/>
  <c r="B579" i="1" s="1"/>
  <c r="B580" i="1" a="1"/>
  <c r="B580" i="1" s="1"/>
  <c r="B581" i="1" a="1"/>
  <c r="B581" i="1" s="1"/>
  <c r="B582" i="1" a="1"/>
  <c r="B582" i="1" s="1"/>
  <c r="B583" i="1" a="1"/>
  <c r="B583" i="1" s="1"/>
  <c r="B584" i="1" a="1"/>
  <c r="B584" i="1" s="1"/>
  <c r="B585" i="1" a="1"/>
  <c r="B585" i="1" s="1"/>
  <c r="B586" i="1" a="1"/>
  <c r="B586" i="1"/>
  <c r="B587" i="1" a="1"/>
  <c r="B587" i="1" s="1"/>
  <c r="B588" i="1" a="1"/>
  <c r="B588" i="1" s="1"/>
  <c r="B589" i="1" a="1"/>
  <c r="B589" i="1" s="1"/>
  <c r="B590" i="1" a="1"/>
  <c r="B590" i="1" s="1"/>
  <c r="B591" i="1" a="1"/>
  <c r="B591" i="1" s="1"/>
  <c r="B592" i="1" a="1"/>
  <c r="B592" i="1" s="1"/>
  <c r="B593" i="1" a="1"/>
  <c r="B593" i="1" s="1"/>
  <c r="B594" i="1" a="1"/>
  <c r="B594" i="1" s="1"/>
  <c r="B595" i="1" a="1"/>
  <c r="B595" i="1" s="1"/>
  <c r="B596" i="1" a="1"/>
  <c r="B596" i="1" s="1"/>
  <c r="B597" i="1" a="1"/>
  <c r="B597" i="1" s="1"/>
  <c r="B598" i="1" a="1"/>
  <c r="B598" i="1" s="1"/>
  <c r="B599" i="1" a="1"/>
  <c r="B599" i="1" s="1"/>
  <c r="B600" i="1" a="1"/>
  <c r="B600" i="1" s="1"/>
  <c r="B601" i="1" a="1"/>
  <c r="B601" i="1" s="1"/>
  <c r="B602" i="1" a="1"/>
  <c r="B602" i="1" s="1"/>
  <c r="B603" i="1" a="1"/>
  <c r="B603" i="1" s="1"/>
  <c r="B604" i="1" a="1"/>
  <c r="B604" i="1" s="1"/>
  <c r="B605" i="1" a="1"/>
  <c r="B605" i="1" s="1"/>
  <c r="B606" i="1" a="1"/>
  <c r="B606" i="1" s="1"/>
  <c r="B607" i="1" a="1"/>
  <c r="B607" i="1" s="1"/>
  <c r="B608" i="1" a="1"/>
  <c r="B608" i="1" s="1"/>
  <c r="B609" i="1" a="1"/>
  <c r="B609" i="1" s="1"/>
  <c r="B610" i="1" a="1"/>
  <c r="B610" i="1" s="1"/>
  <c r="B611" i="1" a="1"/>
  <c r="B611" i="1" s="1"/>
  <c r="B612" i="1" a="1"/>
  <c r="B612" i="1" s="1"/>
  <c r="B613" i="1" a="1"/>
  <c r="B613" i="1" s="1"/>
  <c r="B614" i="1" a="1"/>
  <c r="B614" i="1" s="1"/>
  <c r="B615" i="1" a="1"/>
  <c r="B615" i="1" s="1"/>
  <c r="B616" i="1" a="1"/>
  <c r="B616" i="1" s="1"/>
  <c r="B617" i="1" a="1"/>
  <c r="B617" i="1" s="1"/>
  <c r="B618" i="1" a="1"/>
  <c r="B618" i="1" s="1"/>
  <c r="B619" i="1" a="1"/>
  <c r="B619" i="1" s="1"/>
  <c r="B620" i="1" a="1"/>
  <c r="B620" i="1" s="1"/>
  <c r="B621" i="1" a="1"/>
  <c r="B621" i="1" s="1"/>
  <c r="B622" i="1" a="1"/>
  <c r="B622" i="1" s="1"/>
  <c r="B623" i="1" a="1"/>
  <c r="B623" i="1" s="1"/>
  <c r="B624" i="1" a="1"/>
  <c r="B624" i="1" s="1"/>
  <c r="B625" i="1" a="1"/>
  <c r="B625" i="1" s="1"/>
  <c r="B626" i="1" a="1"/>
  <c r="B626" i="1" s="1"/>
  <c r="B627" i="1" a="1"/>
  <c r="B627" i="1" s="1"/>
  <c r="B628" i="1" a="1"/>
  <c r="B628" i="1" s="1"/>
  <c r="B629" i="1" a="1"/>
  <c r="B629" i="1" s="1"/>
  <c r="B630" i="1" a="1"/>
  <c r="B630" i="1" s="1"/>
  <c r="B631" i="1" a="1"/>
  <c r="B631" i="1" s="1"/>
  <c r="B632" i="1" a="1"/>
  <c r="B632" i="1" s="1"/>
  <c r="B633" i="1" a="1"/>
  <c r="B633" i="1" s="1"/>
  <c r="B634" i="1" a="1"/>
  <c r="B634" i="1" s="1"/>
  <c r="B635" i="1" a="1"/>
  <c r="B635" i="1" s="1"/>
  <c r="B636" i="1" a="1"/>
  <c r="B636" i="1" s="1"/>
  <c r="B637" i="1" a="1"/>
  <c r="B637" i="1" s="1"/>
  <c r="B638" i="1" a="1"/>
  <c r="B638" i="1" s="1"/>
  <c r="B639" i="1" a="1"/>
  <c r="B639" i="1" s="1"/>
  <c r="B640" i="1" a="1"/>
  <c r="B640" i="1"/>
  <c r="B641" i="1" a="1"/>
  <c r="B641" i="1" s="1"/>
  <c r="B642" i="1" a="1"/>
  <c r="B642" i="1" s="1"/>
  <c r="B643" i="1" a="1"/>
  <c r="B643" i="1" s="1"/>
  <c r="B644" i="1" a="1"/>
  <c r="B644" i="1" s="1"/>
  <c r="B645" i="1" a="1"/>
  <c r="B645" i="1" s="1"/>
  <c r="B646" i="1" a="1"/>
  <c r="B646" i="1" s="1"/>
  <c r="B647" i="1" a="1"/>
  <c r="B647" i="1" s="1"/>
  <c r="B648" i="1" a="1"/>
  <c r="B648" i="1" s="1"/>
  <c r="B649" i="1" a="1"/>
  <c r="B649" i="1" s="1"/>
  <c r="B650" i="1" a="1"/>
  <c r="B650" i="1" s="1"/>
  <c r="B651" i="1" a="1"/>
  <c r="B651" i="1" s="1"/>
  <c r="B652" i="1" a="1"/>
  <c r="B652" i="1" s="1"/>
  <c r="B653" i="1" a="1"/>
  <c r="B653" i="1" s="1"/>
  <c r="B654" i="1" a="1"/>
  <c r="B654" i="1" s="1"/>
  <c r="B655" i="1" a="1"/>
  <c r="B655" i="1" s="1"/>
  <c r="B656" i="1" a="1"/>
  <c r="B656" i="1" s="1"/>
  <c r="B657" i="1" a="1"/>
  <c r="B657" i="1" s="1"/>
  <c r="B658" i="1" a="1"/>
  <c r="B658" i="1" s="1"/>
  <c r="B659" i="1" a="1"/>
  <c r="B659" i="1" s="1"/>
  <c r="B660" i="1" a="1"/>
  <c r="B660" i="1" s="1"/>
  <c r="B661" i="1" a="1"/>
  <c r="B661" i="1" s="1"/>
  <c r="B662" i="1" a="1"/>
  <c r="B662" i="1" s="1"/>
  <c r="B663" i="1" a="1"/>
  <c r="B663" i="1" s="1"/>
  <c r="B664" i="1" a="1"/>
  <c r="B664" i="1" s="1"/>
  <c r="B665" i="1" a="1"/>
  <c r="B665" i="1" s="1"/>
  <c r="B666" i="1" a="1"/>
  <c r="B666" i="1" s="1"/>
  <c r="B667" i="1" a="1"/>
  <c r="B667" i="1" s="1"/>
  <c r="B668" i="1" a="1"/>
  <c r="B668" i="1" s="1"/>
  <c r="B669" i="1" a="1"/>
  <c r="B669" i="1" s="1"/>
  <c r="B670" i="1" a="1"/>
  <c r="B670" i="1" s="1"/>
  <c r="B671" i="1" a="1"/>
  <c r="B671" i="1" s="1"/>
  <c r="B672" i="1" a="1"/>
  <c r="B672" i="1" s="1"/>
  <c r="B673" i="1" a="1"/>
  <c r="B673" i="1" s="1"/>
  <c r="B674" i="1" a="1"/>
  <c r="B674" i="1" s="1"/>
  <c r="B675" i="1" a="1"/>
  <c r="B675" i="1" s="1"/>
  <c r="B676" i="1" a="1"/>
  <c r="B676" i="1" s="1"/>
  <c r="B677" i="1" a="1"/>
  <c r="B677" i="1" s="1"/>
  <c r="B678" i="1" a="1"/>
  <c r="B678" i="1" s="1"/>
  <c r="B679" i="1" a="1"/>
  <c r="B679" i="1" s="1"/>
  <c r="B680" i="1" a="1"/>
  <c r="B680" i="1" s="1"/>
  <c r="B681" i="1" a="1"/>
  <c r="B681" i="1" s="1"/>
  <c r="B682" i="1" a="1"/>
  <c r="B682" i="1" s="1"/>
  <c r="B683" i="1" a="1"/>
  <c r="B683" i="1" s="1"/>
  <c r="B684" i="1" a="1"/>
  <c r="B684" i="1" s="1"/>
  <c r="B685" i="1" a="1"/>
  <c r="B685" i="1" s="1"/>
  <c r="B686" i="1" a="1"/>
  <c r="B686" i="1" s="1"/>
  <c r="B687" i="1" a="1"/>
  <c r="B687" i="1" s="1"/>
  <c r="B688" i="1" a="1"/>
  <c r="B688" i="1" s="1"/>
  <c r="B689" i="1" a="1"/>
  <c r="B689" i="1" s="1"/>
  <c r="B690" i="1" a="1"/>
  <c r="B690" i="1" s="1"/>
  <c r="B691" i="1" a="1"/>
  <c r="B691" i="1" s="1"/>
  <c r="B692" i="1" a="1"/>
  <c r="B692" i="1" s="1"/>
  <c r="B693" i="1" a="1"/>
  <c r="B693" i="1" s="1"/>
  <c r="B694" i="1" a="1"/>
  <c r="B694" i="1" s="1"/>
  <c r="B695" i="1" a="1"/>
  <c r="B695" i="1" s="1"/>
  <c r="B696" i="1" a="1"/>
  <c r="B696" i="1" s="1"/>
  <c r="B697" i="1" a="1"/>
  <c r="B697" i="1" s="1"/>
  <c r="B698" i="1" a="1"/>
  <c r="B698" i="1" s="1"/>
  <c r="B699" i="1" a="1"/>
  <c r="B699" i="1" s="1"/>
  <c r="B700" i="1" a="1"/>
  <c r="B700" i="1" s="1"/>
  <c r="B701" i="1" a="1"/>
  <c r="B701" i="1" s="1"/>
  <c r="B702" i="1" a="1"/>
  <c r="B702" i="1" s="1"/>
  <c r="B703" i="1" a="1"/>
  <c r="B703" i="1" s="1"/>
  <c r="B704" i="1" a="1"/>
  <c r="B704" i="1" s="1"/>
  <c r="B705" i="1" a="1"/>
  <c r="B705" i="1" s="1"/>
  <c r="B706" i="1" a="1"/>
  <c r="B706" i="1" s="1"/>
  <c r="B707" i="1" a="1"/>
  <c r="B707" i="1" s="1"/>
  <c r="B708" i="1" a="1"/>
  <c r="B708" i="1" s="1"/>
  <c r="B709" i="1" a="1"/>
  <c r="B709" i="1" s="1"/>
  <c r="B710" i="1" a="1"/>
  <c r="B710" i="1" s="1"/>
  <c r="B711" i="1" a="1"/>
  <c r="B711" i="1" s="1"/>
  <c r="B712" i="1" a="1"/>
  <c r="B712" i="1" s="1"/>
  <c r="B713" i="1" a="1"/>
  <c r="B713" i="1" s="1"/>
  <c r="B714" i="1" a="1"/>
  <c r="B714" i="1" s="1"/>
  <c r="B715" i="1" a="1"/>
  <c r="B715" i="1" s="1"/>
  <c r="B716" i="1" a="1"/>
  <c r="B716" i="1" s="1"/>
  <c r="B717" i="1" a="1"/>
  <c r="B717" i="1" s="1"/>
  <c r="B718" i="1" a="1"/>
  <c r="B718" i="1" s="1"/>
  <c r="B719" i="1" a="1"/>
  <c r="B719" i="1" s="1"/>
  <c r="B720" i="1" a="1"/>
  <c r="B720" i="1" s="1"/>
  <c r="B721" i="1" a="1"/>
  <c r="B721" i="1" s="1"/>
  <c r="B722" i="1" a="1"/>
  <c r="B722" i="1" s="1"/>
  <c r="B723" i="1" a="1"/>
  <c r="B723" i="1" s="1"/>
  <c r="B724" i="1" a="1"/>
  <c r="B724" i="1" s="1"/>
  <c r="B725" i="1" a="1"/>
  <c r="B725" i="1" s="1"/>
  <c r="B726" i="1" a="1"/>
  <c r="B726" i="1" s="1"/>
  <c r="B727" i="1" a="1"/>
  <c r="B727" i="1" s="1"/>
  <c r="B728" i="1" a="1"/>
  <c r="B728" i="1" s="1"/>
  <c r="B729" i="1" a="1"/>
  <c r="B729" i="1" s="1"/>
  <c r="B730" i="1" a="1"/>
  <c r="B730" i="1" s="1"/>
  <c r="B731" i="1" a="1"/>
  <c r="B731" i="1" s="1"/>
  <c r="B732" i="1" a="1"/>
  <c r="B732" i="1" s="1"/>
  <c r="B733" i="1" a="1"/>
  <c r="B733" i="1" s="1"/>
  <c r="B734" i="1" a="1"/>
  <c r="B734" i="1" s="1"/>
  <c r="B735" i="1" a="1"/>
  <c r="B735" i="1" s="1"/>
  <c r="B736" i="1" a="1"/>
  <c r="B736" i="1" s="1"/>
  <c r="B737" i="1" a="1"/>
  <c r="B737" i="1" s="1"/>
  <c r="B738" i="1" a="1"/>
  <c r="B738" i="1" s="1"/>
  <c r="B739" i="1" a="1"/>
  <c r="B739" i="1" s="1"/>
  <c r="B740" i="1" a="1"/>
  <c r="B740" i="1" s="1"/>
  <c r="B741" i="1" a="1"/>
  <c r="B741" i="1" s="1"/>
  <c r="B742" i="1" a="1"/>
  <c r="B742" i="1" s="1"/>
  <c r="B743" i="1" a="1"/>
  <c r="B743" i="1" s="1"/>
  <c r="B744" i="1" a="1"/>
  <c r="B744" i="1" s="1"/>
  <c r="B745" i="1" a="1"/>
  <c r="B745" i="1" s="1"/>
  <c r="B746" i="1" a="1"/>
  <c r="B746" i="1" s="1"/>
  <c r="B747" i="1" a="1"/>
  <c r="B747" i="1" s="1"/>
  <c r="B748" i="1" a="1"/>
  <c r="B748" i="1" s="1"/>
  <c r="B749" i="1" a="1"/>
  <c r="B749" i="1" s="1"/>
  <c r="B750" i="1" a="1"/>
  <c r="B750" i="1" s="1"/>
  <c r="B751" i="1" a="1"/>
  <c r="B751" i="1" s="1"/>
  <c r="B752" i="1" a="1"/>
  <c r="B752" i="1" s="1"/>
  <c r="B753" i="1" a="1"/>
  <c r="B753" i="1" s="1"/>
  <c r="B754" i="1" a="1"/>
  <c r="B754" i="1" s="1"/>
  <c r="B755" i="1" a="1"/>
  <c r="B755" i="1" s="1"/>
  <c r="B756" i="1" a="1"/>
  <c r="B756" i="1" s="1"/>
  <c r="B757" i="1" a="1"/>
  <c r="B757" i="1" s="1"/>
  <c r="B758" i="1" a="1"/>
  <c r="B758" i="1" s="1"/>
  <c r="B759" i="1" a="1"/>
  <c r="B759" i="1" s="1"/>
  <c r="B760" i="1" a="1"/>
  <c r="B760" i="1" s="1"/>
  <c r="B761" i="1" a="1"/>
  <c r="B761" i="1" s="1"/>
  <c r="B762" i="1" a="1"/>
  <c r="B762" i="1" s="1"/>
  <c r="B763" i="1" a="1"/>
  <c r="B763" i="1" s="1"/>
  <c r="B764" i="1" a="1"/>
  <c r="B764" i="1" s="1"/>
  <c r="B765" i="1" a="1"/>
  <c r="B765" i="1" s="1"/>
  <c r="B766" i="1" a="1"/>
  <c r="B766" i="1" s="1"/>
  <c r="B767" i="1" a="1"/>
  <c r="B767" i="1" s="1"/>
  <c r="B768" i="1" a="1"/>
  <c r="B768" i="1" s="1"/>
  <c r="B769" i="1" a="1"/>
  <c r="B769" i="1" s="1"/>
  <c r="B770" i="1" a="1"/>
  <c r="B770" i="1" s="1"/>
  <c r="B771" i="1" a="1"/>
  <c r="B771" i="1" s="1"/>
  <c r="B772" i="1" a="1"/>
  <c r="B772" i="1" s="1"/>
  <c r="B773" i="1" a="1"/>
  <c r="B773" i="1" s="1"/>
  <c r="B774" i="1" a="1"/>
  <c r="B774" i="1" s="1"/>
  <c r="B775" i="1" a="1"/>
  <c r="B775" i="1" s="1"/>
  <c r="B776" i="1" a="1"/>
  <c r="B776" i="1" s="1"/>
  <c r="B777" i="1" a="1"/>
  <c r="B777" i="1" s="1"/>
  <c r="B778" i="1" a="1"/>
  <c r="B778" i="1" s="1"/>
  <c r="B779" i="1" a="1"/>
  <c r="B779" i="1" s="1"/>
  <c r="B780" i="1" a="1"/>
  <c r="B780" i="1" s="1"/>
  <c r="B781" i="1" a="1"/>
  <c r="B781" i="1" s="1"/>
  <c r="B782" i="1" a="1"/>
  <c r="B782" i="1" s="1"/>
  <c r="B783" i="1" a="1"/>
  <c r="B783" i="1" s="1"/>
  <c r="B784" i="1" a="1"/>
  <c r="B784" i="1" s="1"/>
  <c r="B785" i="1" a="1"/>
  <c r="B785" i="1" s="1"/>
  <c r="B786" i="1" a="1"/>
  <c r="B786" i="1" s="1"/>
  <c r="B787" i="1" a="1"/>
  <c r="B787" i="1" s="1"/>
  <c r="B788" i="1" a="1"/>
  <c r="B788" i="1" s="1"/>
  <c r="B789" i="1" a="1"/>
  <c r="B789" i="1" s="1"/>
  <c r="B790" i="1" a="1"/>
  <c r="B790" i="1" s="1"/>
  <c r="B791" i="1" a="1"/>
  <c r="B791" i="1" s="1"/>
  <c r="B792" i="1" a="1"/>
  <c r="B792" i="1" s="1"/>
  <c r="B793" i="1" a="1"/>
  <c r="B793" i="1" s="1"/>
  <c r="B794" i="1" a="1"/>
  <c r="B794" i="1" s="1"/>
  <c r="B795" i="1" a="1"/>
  <c r="B795" i="1" s="1"/>
  <c r="B796" i="1" a="1"/>
  <c r="B796" i="1" s="1"/>
  <c r="B797" i="1" a="1"/>
  <c r="B797" i="1" s="1"/>
  <c r="B798" i="1" a="1"/>
  <c r="B798" i="1" s="1"/>
  <c r="B799" i="1" a="1"/>
  <c r="B799" i="1" s="1"/>
  <c r="B800" i="1" a="1"/>
  <c r="B800" i="1" s="1"/>
  <c r="B801" i="1" a="1"/>
  <c r="B801" i="1" s="1"/>
  <c r="B802" i="1" a="1"/>
  <c r="B802" i="1" s="1"/>
  <c r="B803" i="1" a="1"/>
  <c r="B803" i="1" s="1"/>
  <c r="B804" i="1" a="1"/>
  <c r="B804" i="1" s="1"/>
  <c r="B805" i="1" a="1"/>
  <c r="B805" i="1" s="1"/>
  <c r="B806" i="1" a="1"/>
  <c r="B806" i="1" s="1"/>
  <c r="B807" i="1" a="1"/>
  <c r="B807" i="1" s="1"/>
  <c r="B808" i="1" a="1"/>
  <c r="B808" i="1"/>
  <c r="B809" i="1" a="1"/>
  <c r="B809" i="1" s="1"/>
  <c r="B810" i="1" a="1"/>
  <c r="B810" i="1" s="1"/>
  <c r="B811" i="1" a="1"/>
  <c r="B811" i="1" s="1"/>
  <c r="B812" i="1" a="1"/>
  <c r="B812" i="1" s="1"/>
  <c r="B813" i="1" a="1"/>
  <c r="B813" i="1" s="1"/>
  <c r="B814" i="1" a="1"/>
  <c r="B814" i="1" s="1"/>
  <c r="B815" i="1" a="1"/>
  <c r="B815" i="1" s="1"/>
  <c r="B816" i="1" a="1"/>
  <c r="B816" i="1" s="1"/>
  <c r="B817" i="1" a="1"/>
  <c r="B817" i="1" s="1"/>
  <c r="B818" i="1" a="1"/>
  <c r="B818" i="1" s="1"/>
  <c r="B819" i="1" a="1"/>
  <c r="B819" i="1" s="1"/>
  <c r="B820" i="1" a="1"/>
  <c r="B820" i="1" s="1"/>
  <c r="B821" i="1" a="1"/>
  <c r="B821" i="1" s="1"/>
  <c r="B822" i="1" a="1"/>
  <c r="B822" i="1" s="1"/>
  <c r="B823" i="1" a="1"/>
  <c r="B823" i="1" s="1"/>
  <c r="B824" i="1" a="1"/>
  <c r="B824" i="1" s="1"/>
  <c r="B825" i="1" a="1"/>
  <c r="B825" i="1" s="1"/>
  <c r="B826" i="1" a="1"/>
  <c r="B826" i="1" s="1"/>
  <c r="B827" i="1" a="1"/>
  <c r="B827" i="1" s="1"/>
  <c r="B828" i="1" a="1"/>
  <c r="B828" i="1" s="1"/>
  <c r="B829" i="1" a="1"/>
  <c r="B829" i="1" s="1"/>
  <c r="B830" i="1" a="1"/>
  <c r="B830" i="1" s="1"/>
  <c r="B831" i="1" a="1"/>
  <c r="B831" i="1" s="1"/>
  <c r="B832" i="1" a="1"/>
  <c r="B832" i="1" s="1"/>
  <c r="B833" i="1" a="1"/>
  <c r="B833" i="1" s="1"/>
  <c r="B834" i="1" a="1"/>
  <c r="B834" i="1" s="1"/>
  <c r="B835" i="1" a="1"/>
  <c r="B835" i="1" s="1"/>
  <c r="B836" i="1" a="1"/>
  <c r="B836" i="1" s="1"/>
  <c r="B837" i="1" a="1"/>
  <c r="B837" i="1" s="1"/>
  <c r="B838" i="1" a="1"/>
  <c r="B838" i="1" s="1"/>
  <c r="B839" i="1" a="1"/>
  <c r="B839" i="1" s="1"/>
  <c r="B840" i="1" a="1"/>
  <c r="B840" i="1" s="1"/>
  <c r="B841" i="1" a="1"/>
  <c r="B841" i="1" s="1"/>
  <c r="B842" i="1" a="1"/>
  <c r="B842" i="1" s="1"/>
  <c r="B843" i="1" a="1"/>
  <c r="B843" i="1" s="1"/>
  <c r="B844" i="1" a="1"/>
  <c r="B844" i="1" s="1"/>
  <c r="B845" i="1" a="1"/>
  <c r="B845" i="1" s="1"/>
  <c r="B846" i="1" a="1"/>
  <c r="B846" i="1" s="1"/>
  <c r="B847" i="1" a="1"/>
  <c r="B847" i="1" s="1"/>
  <c r="B848" i="1" a="1"/>
  <c r="B848" i="1" s="1"/>
  <c r="B849" i="1" a="1"/>
  <c r="B849" i="1" s="1"/>
  <c r="B850" i="1" a="1"/>
  <c r="B850" i="1"/>
  <c r="B851" i="1" a="1"/>
  <c r="B851" i="1" s="1"/>
  <c r="B852" i="1" a="1"/>
  <c r="B852" i="1" s="1"/>
  <c r="B853" i="1" a="1"/>
  <c r="B853" i="1" s="1"/>
  <c r="B854" i="1" a="1"/>
  <c r="B854" i="1" s="1"/>
  <c r="B855" i="1" a="1"/>
  <c r="B855" i="1" s="1"/>
  <c r="B856" i="1" a="1"/>
  <c r="B856" i="1" s="1"/>
  <c r="B857" i="1" a="1"/>
  <c r="B857" i="1" s="1"/>
  <c r="B858" i="1" a="1"/>
  <c r="B858" i="1" s="1"/>
  <c r="B859" i="1" a="1"/>
  <c r="B859" i="1" s="1"/>
  <c r="B860" i="1" a="1"/>
  <c r="B860" i="1" s="1"/>
  <c r="B861" i="1" a="1"/>
  <c r="B861" i="1" s="1"/>
  <c r="B862" i="1" a="1"/>
  <c r="B862" i="1" s="1"/>
  <c r="B863" i="1" a="1"/>
  <c r="B863" i="1" s="1"/>
  <c r="B864" i="1" a="1"/>
  <c r="B864" i="1" s="1"/>
  <c r="B865" i="1" a="1"/>
  <c r="B865" i="1" s="1"/>
  <c r="B866" i="1" a="1"/>
  <c r="B866" i="1" s="1"/>
  <c r="B867" i="1" a="1"/>
  <c r="B867" i="1" s="1"/>
  <c r="B868" i="1" a="1"/>
  <c r="B868" i="1" s="1"/>
  <c r="B869" i="1" a="1"/>
  <c r="B869" i="1" s="1"/>
  <c r="B870" i="1" a="1"/>
  <c r="B870" i="1" s="1"/>
  <c r="B871" i="1" a="1"/>
  <c r="B871" i="1" s="1"/>
  <c r="B872" i="1" a="1"/>
  <c r="B872" i="1" s="1"/>
  <c r="B873" i="1" a="1"/>
  <c r="B873" i="1" s="1"/>
  <c r="B874" i="1" a="1"/>
  <c r="B874" i="1" s="1"/>
  <c r="B875" i="1" a="1"/>
  <c r="B875" i="1" s="1"/>
  <c r="B876" i="1" a="1"/>
  <c r="B876" i="1" s="1"/>
  <c r="B877" i="1" a="1"/>
  <c r="B877" i="1" s="1"/>
  <c r="B878" i="1" a="1"/>
  <c r="B878" i="1" s="1"/>
  <c r="B879" i="1" a="1"/>
  <c r="B879" i="1" s="1"/>
  <c r="B880" i="1" a="1"/>
  <c r="B880" i="1" s="1"/>
  <c r="B881" i="1" a="1"/>
  <c r="B881" i="1" s="1"/>
  <c r="B882" i="1" a="1"/>
  <c r="B882" i="1" s="1"/>
  <c r="B883" i="1" a="1"/>
  <c r="B883" i="1" s="1"/>
  <c r="B884" i="1" a="1"/>
  <c r="B884" i="1" s="1"/>
  <c r="B885" i="1" a="1"/>
  <c r="B885" i="1" s="1"/>
  <c r="B886" i="1" a="1"/>
  <c r="B886" i="1" s="1"/>
  <c r="B887" i="1" a="1"/>
  <c r="B887" i="1" s="1"/>
  <c r="B888" i="1" a="1"/>
  <c r="B888" i="1" s="1"/>
  <c r="B889" i="1" a="1"/>
  <c r="B889" i="1" s="1"/>
  <c r="B890" i="1" a="1"/>
  <c r="B890" i="1" s="1"/>
  <c r="B891" i="1" a="1"/>
  <c r="B891" i="1" s="1"/>
  <c r="B892" i="1" a="1"/>
  <c r="B892" i="1" s="1"/>
  <c r="B893" i="1" a="1"/>
  <c r="B893" i="1" s="1"/>
  <c r="B894" i="1" a="1"/>
  <c r="B894" i="1" s="1"/>
  <c r="B895" i="1" a="1"/>
  <c r="B895" i="1" s="1"/>
  <c r="B896" i="1" a="1"/>
  <c r="B896" i="1" s="1"/>
  <c r="B897" i="1" a="1"/>
  <c r="B897" i="1" s="1"/>
  <c r="B898" i="1" a="1"/>
  <c r="B898" i="1" s="1"/>
  <c r="B899" i="1" a="1"/>
  <c r="B899" i="1" s="1"/>
  <c r="B900" i="1" a="1"/>
  <c r="B900" i="1" s="1"/>
  <c r="B901" i="1" a="1"/>
  <c r="B901" i="1" s="1"/>
  <c r="B902" i="1" a="1"/>
  <c r="B902" i="1" s="1"/>
  <c r="B903" i="1" a="1"/>
  <c r="B903" i="1" s="1"/>
  <c r="B904" i="1" a="1"/>
  <c r="B904" i="1" s="1"/>
  <c r="B905" i="1" a="1"/>
  <c r="B905" i="1" s="1"/>
  <c r="B906" i="1" a="1"/>
  <c r="B906" i="1" s="1"/>
  <c r="B907" i="1" a="1"/>
  <c r="B907" i="1" s="1"/>
  <c r="B908" i="1" a="1"/>
  <c r="B908" i="1" s="1"/>
  <c r="B909" i="1" a="1"/>
  <c r="B909" i="1" s="1"/>
  <c r="B910" i="1" a="1"/>
  <c r="B910" i="1" s="1"/>
  <c r="B911" i="1" a="1"/>
  <c r="B911" i="1" s="1"/>
  <c r="B912" i="1" a="1"/>
  <c r="B912" i="1" s="1"/>
  <c r="B913" i="1" a="1"/>
  <c r="B913" i="1" s="1"/>
  <c r="B914" i="1" a="1"/>
  <c r="B914" i="1" s="1"/>
  <c r="B915" i="1" a="1"/>
  <c r="B915" i="1" s="1"/>
  <c r="B916" i="1" a="1"/>
  <c r="B916" i="1" s="1"/>
  <c r="B917" i="1" a="1"/>
  <c r="B917" i="1" s="1"/>
  <c r="B918" i="1" a="1"/>
  <c r="B918" i="1" s="1"/>
  <c r="B919" i="1" a="1"/>
  <c r="B919" i="1" s="1"/>
  <c r="B920" i="1" a="1"/>
  <c r="B920" i="1"/>
  <c r="B921" i="1" a="1"/>
  <c r="B921" i="1" s="1"/>
  <c r="B922" i="1" a="1"/>
  <c r="B922" i="1" s="1"/>
  <c r="B923" i="1" a="1"/>
  <c r="B923" i="1" s="1"/>
  <c r="B924" i="1" a="1"/>
  <c r="B924" i="1" s="1"/>
  <c r="B925" i="1" a="1"/>
  <c r="B925" i="1" s="1"/>
  <c r="B926" i="1" a="1"/>
  <c r="B926" i="1" s="1"/>
  <c r="B927" i="1" a="1"/>
  <c r="B927" i="1" s="1"/>
  <c r="B928" i="1" a="1"/>
  <c r="B928" i="1" s="1"/>
  <c r="B929" i="1" a="1"/>
  <c r="B929" i="1" s="1"/>
  <c r="B930" i="1" a="1"/>
  <c r="B930" i="1" s="1"/>
  <c r="B931" i="1" a="1"/>
  <c r="B931" i="1" s="1"/>
  <c r="B932" i="1" a="1"/>
  <c r="B932" i="1" s="1"/>
  <c r="B933" i="1" a="1"/>
  <c r="B933" i="1" s="1"/>
  <c r="B934" i="1" a="1"/>
  <c r="B934" i="1" s="1"/>
  <c r="B935" i="1" a="1"/>
  <c r="B935" i="1" s="1"/>
  <c r="B936" i="1" a="1"/>
  <c r="B936" i="1" s="1"/>
  <c r="B937" i="1" a="1"/>
  <c r="B937" i="1" s="1"/>
  <c r="B938" i="1" a="1"/>
  <c r="B938" i="1" s="1"/>
  <c r="B939" i="1" a="1"/>
  <c r="B939" i="1" s="1"/>
  <c r="B940" i="1" a="1"/>
  <c r="B940" i="1" s="1"/>
  <c r="B941" i="1" a="1"/>
  <c r="B941" i="1" s="1"/>
  <c r="B942" i="1" a="1"/>
  <c r="B942" i="1" s="1"/>
  <c r="B943" i="1" a="1"/>
  <c r="B943" i="1" s="1"/>
  <c r="B944" i="1" a="1"/>
  <c r="B944" i="1" s="1"/>
  <c r="B945" i="1" a="1"/>
  <c r="B945" i="1" s="1"/>
  <c r="B946" i="1" a="1"/>
  <c r="B946" i="1" s="1"/>
  <c r="B947" i="1" a="1"/>
  <c r="B947" i="1" s="1"/>
  <c r="B948" i="1" a="1"/>
  <c r="B948" i="1" s="1"/>
  <c r="B949" i="1" a="1"/>
  <c r="B949" i="1" s="1"/>
  <c r="B950" i="1" a="1"/>
  <c r="B950" i="1" s="1"/>
  <c r="B951" i="1" a="1"/>
  <c r="B951" i="1" s="1"/>
  <c r="B952" i="1" a="1"/>
  <c r="B952" i="1" s="1"/>
  <c r="B953" i="1" a="1"/>
  <c r="B953" i="1" s="1"/>
  <c r="B954" i="1" a="1"/>
  <c r="B954" i="1" s="1"/>
  <c r="B955" i="1" a="1"/>
  <c r="B955" i="1" s="1"/>
  <c r="B956" i="1" a="1"/>
  <c r="B956" i="1" s="1"/>
  <c r="B957" i="1" a="1"/>
  <c r="B957" i="1" s="1"/>
  <c r="B958" i="1" a="1"/>
  <c r="B958" i="1" s="1"/>
  <c r="B959" i="1" a="1"/>
  <c r="B959" i="1" s="1"/>
  <c r="B960" i="1" a="1"/>
  <c r="B960" i="1" s="1"/>
  <c r="B961" i="1" a="1"/>
  <c r="B961" i="1" s="1"/>
  <c r="B962" i="1" a="1"/>
  <c r="B962" i="1" s="1"/>
  <c r="B963" i="1" a="1"/>
  <c r="B963" i="1" s="1"/>
  <c r="B964" i="1" a="1"/>
  <c r="B964" i="1" s="1"/>
  <c r="B965" i="1" a="1"/>
  <c r="B965" i="1" s="1"/>
  <c r="B966" i="1" a="1"/>
  <c r="B966" i="1" s="1"/>
  <c r="B967" i="1" a="1"/>
  <c r="B967" i="1" s="1"/>
  <c r="B968" i="1" a="1"/>
  <c r="B968" i="1" s="1"/>
  <c r="B969" i="1" a="1"/>
  <c r="B969" i="1" s="1"/>
  <c r="B970" i="1" a="1"/>
  <c r="B970" i="1"/>
  <c r="B971" i="1" a="1"/>
  <c r="B971" i="1" s="1"/>
  <c r="B972" i="1" a="1"/>
  <c r="B972" i="1" s="1"/>
  <c r="B973" i="1" a="1"/>
  <c r="B973" i="1" s="1"/>
  <c r="B974" i="1" a="1"/>
  <c r="B974" i="1" s="1"/>
  <c r="B975" i="1" a="1"/>
  <c r="B975" i="1" s="1"/>
  <c r="B976" i="1" a="1"/>
  <c r="B976" i="1" s="1"/>
  <c r="B977" i="1" a="1"/>
  <c r="B977" i="1" s="1"/>
  <c r="B978" i="1" a="1"/>
  <c r="B978" i="1" s="1"/>
  <c r="B979" i="1" a="1"/>
  <c r="B979" i="1" s="1"/>
  <c r="B980" i="1" a="1"/>
  <c r="B980" i="1" s="1"/>
  <c r="B981" i="1" a="1"/>
  <c r="B981" i="1" s="1"/>
  <c r="B982" i="1" a="1"/>
  <c r="B982" i="1" s="1"/>
  <c r="B983" i="1" a="1"/>
  <c r="B983" i="1" s="1"/>
  <c r="B984" i="1" a="1"/>
  <c r="B984" i="1" s="1"/>
  <c r="B985" i="1" a="1"/>
  <c r="B985" i="1" s="1"/>
  <c r="B986" i="1" a="1"/>
  <c r="B986" i="1" s="1"/>
  <c r="B987" i="1" a="1"/>
  <c r="B987" i="1" s="1"/>
  <c r="B988" i="1" a="1"/>
  <c r="B988" i="1" s="1"/>
  <c r="B989" i="1" a="1"/>
  <c r="B989" i="1" s="1"/>
  <c r="B990" i="1" a="1"/>
  <c r="B990" i="1" s="1"/>
  <c r="B991" i="1" a="1"/>
  <c r="B991" i="1" s="1"/>
  <c r="B992" i="1" a="1"/>
  <c r="B992" i="1" s="1"/>
  <c r="B993" i="1" a="1"/>
  <c r="B993" i="1" s="1"/>
  <c r="B994" i="1" a="1"/>
  <c r="B994" i="1" s="1"/>
  <c r="B995" i="1" a="1"/>
  <c r="B995" i="1"/>
  <c r="B996" i="1" a="1"/>
  <c r="B996" i="1" s="1"/>
  <c r="B997" i="1" a="1"/>
  <c r="B997" i="1" s="1"/>
  <c r="B998" i="1" a="1"/>
  <c r="B998" i="1" s="1"/>
  <c r="B999" i="1" a="1"/>
  <c r="B999" i="1" s="1"/>
  <c r="B1000" i="1" a="1"/>
  <c r="B1000" i="1" s="1"/>
  <c r="B1001" i="1" a="1"/>
  <c r="B1001" i="1" s="1"/>
  <c r="B1002" i="1" a="1"/>
  <c r="B1002" i="1" s="1"/>
  <c r="B1003" i="1" a="1"/>
  <c r="B1003" i="1" s="1"/>
  <c r="B1004" i="1" a="1"/>
  <c r="B1004" i="1" s="1"/>
  <c r="B1005" i="1" a="1"/>
  <c r="B1005" i="1" s="1"/>
  <c r="B1006" i="1" a="1"/>
  <c r="B1006" i="1" s="1"/>
  <c r="B1007" i="1" a="1"/>
  <c r="B1007" i="1" s="1"/>
  <c r="B1008" i="1" a="1"/>
  <c r="B1008" i="1" s="1"/>
  <c r="B1009" i="1" a="1"/>
  <c r="B1009" i="1" s="1"/>
  <c r="B1010" i="1" a="1"/>
  <c r="B1010" i="1" s="1"/>
  <c r="B1011" i="1" a="1"/>
  <c r="B1011" i="1" s="1"/>
  <c r="B1012" i="1" a="1"/>
  <c r="B1012" i="1" s="1"/>
  <c r="B1013" i="1" a="1"/>
  <c r="B1013" i="1" s="1"/>
  <c r="B1014" i="1" a="1"/>
  <c r="B1014" i="1" s="1"/>
  <c r="B1015" i="1" a="1"/>
  <c r="B1015" i="1" s="1"/>
  <c r="B1016" i="1" a="1"/>
  <c r="B1016" i="1"/>
  <c r="B1017" i="1" a="1"/>
  <c r="B1017" i="1" s="1"/>
  <c r="B1018" i="1" a="1"/>
  <c r="B1018" i="1" s="1"/>
  <c r="B1019" i="1" a="1"/>
  <c r="B1019" i="1" s="1"/>
  <c r="B1020" i="1" a="1"/>
  <c r="B1020" i="1" s="1"/>
  <c r="B1021" i="1" a="1"/>
  <c r="B1021" i="1" s="1"/>
  <c r="B1022" i="1" a="1"/>
  <c r="B1022" i="1" s="1"/>
  <c r="B1023" i="1" a="1"/>
  <c r="B1023" i="1" s="1"/>
  <c r="B1024" i="1" a="1"/>
  <c r="B1024" i="1" s="1"/>
  <c r="B1025" i="1" a="1"/>
  <c r="B1025" i="1"/>
  <c r="B1026" i="1" a="1"/>
  <c r="B1026" i="1" s="1"/>
  <c r="B1027" i="1" a="1"/>
  <c r="B1027" i="1" s="1"/>
  <c r="B1028" i="1" a="1"/>
  <c r="B1028" i="1" s="1"/>
  <c r="B1029" i="1" a="1"/>
  <c r="B1029" i="1" s="1"/>
  <c r="B1030" i="1" a="1"/>
  <c r="B1030" i="1" s="1"/>
  <c r="B1031" i="1" a="1"/>
  <c r="B1031" i="1" s="1"/>
  <c r="B1032" i="1" a="1"/>
  <c r="B1032" i="1" s="1"/>
  <c r="B1033" i="1" a="1"/>
  <c r="B1033" i="1" s="1"/>
  <c r="B1034" i="1" a="1"/>
  <c r="B1034" i="1" s="1"/>
  <c r="B1035" i="1" a="1"/>
  <c r="B1035" i="1" s="1"/>
  <c r="B1036" i="1" a="1"/>
  <c r="B1036" i="1" s="1"/>
  <c r="B1037" i="1" a="1"/>
  <c r="B1037" i="1" s="1"/>
  <c r="B1038" i="1" a="1"/>
  <c r="B1038" i="1" s="1"/>
  <c r="B1039" i="1" a="1"/>
  <c r="B1039" i="1" s="1"/>
  <c r="B1040" i="1" a="1"/>
  <c r="B1040" i="1" s="1"/>
  <c r="B1041" i="1" a="1"/>
  <c r="B1041" i="1" s="1"/>
  <c r="B1042" i="1" a="1"/>
  <c r="B1042" i="1" s="1"/>
  <c r="B1043" i="1" a="1"/>
  <c r="B1043" i="1" s="1"/>
  <c r="B1044" i="1" a="1"/>
  <c r="B1044" i="1" s="1"/>
  <c r="B1045" i="1" a="1"/>
  <c r="B1045" i="1" s="1"/>
  <c r="B1046" i="1" a="1"/>
  <c r="B1046" i="1" s="1"/>
  <c r="B1047" i="1" a="1"/>
  <c r="B1047" i="1" s="1"/>
  <c r="B1048" i="1" a="1"/>
  <c r="B1048" i="1" s="1"/>
  <c r="B1049" i="1" a="1"/>
  <c r="B1049" i="1" s="1"/>
  <c r="B1050" i="1" a="1"/>
  <c r="B1050" i="1" s="1"/>
  <c r="B1051" i="1" a="1"/>
  <c r="B1051" i="1" s="1"/>
  <c r="B1052" i="1" a="1"/>
  <c r="B1052" i="1" s="1"/>
  <c r="B1053" i="1" a="1"/>
  <c r="B1053" i="1" s="1"/>
  <c r="B1054" i="1" a="1"/>
  <c r="B1054" i="1" s="1"/>
  <c r="B1055" i="1" a="1"/>
  <c r="B1055" i="1" s="1"/>
  <c r="B1056" i="1" a="1"/>
  <c r="B1056" i="1" s="1"/>
  <c r="B1057" i="1" a="1"/>
  <c r="B1057" i="1" s="1"/>
  <c r="B1058" i="1" a="1"/>
  <c r="B1058" i="1" s="1"/>
  <c r="B1059" i="1" a="1"/>
  <c r="B1059" i="1" s="1"/>
  <c r="B1060" i="1" a="1"/>
  <c r="B1060" i="1" s="1"/>
  <c r="B1061" i="1" a="1"/>
  <c r="B1061" i="1" s="1"/>
  <c r="B1062" i="1" a="1"/>
  <c r="B1062" i="1" s="1"/>
  <c r="B1063" i="1" a="1"/>
  <c r="B1063" i="1" s="1"/>
  <c r="B1064" i="1" a="1"/>
  <c r="B1064" i="1" s="1"/>
  <c r="B1065" i="1" a="1"/>
  <c r="B1065" i="1" s="1"/>
  <c r="B1066" i="1" a="1"/>
  <c r="B1066" i="1" s="1"/>
  <c r="B1067" i="1" a="1"/>
  <c r="B1067" i="1" s="1"/>
  <c r="B1068" i="1" a="1"/>
  <c r="B1068" i="1" s="1"/>
  <c r="B1069" i="1" a="1"/>
  <c r="B1069" i="1" s="1"/>
  <c r="B1070" i="1" a="1"/>
  <c r="B1070" i="1" s="1"/>
  <c r="B1071" i="1" a="1"/>
  <c r="B1071" i="1" s="1"/>
  <c r="B1072" i="1" a="1"/>
  <c r="B1072" i="1" s="1"/>
  <c r="B1073" i="1" a="1"/>
  <c r="B1073" i="1" s="1"/>
  <c r="B1074" i="1" a="1"/>
  <c r="B1074" i="1" s="1"/>
  <c r="B1075" i="1" a="1"/>
  <c r="B1075" i="1" s="1"/>
  <c r="B1076" i="1" a="1"/>
  <c r="B1076" i="1" s="1"/>
  <c r="B1077" i="1" a="1"/>
  <c r="B1077" i="1" s="1"/>
  <c r="B1078" i="1" a="1"/>
  <c r="B1078" i="1" s="1"/>
  <c r="B1079" i="1" a="1"/>
  <c r="B1079" i="1" s="1"/>
  <c r="B1080" i="1" a="1"/>
  <c r="B1080" i="1" s="1"/>
  <c r="B1081" i="1" a="1"/>
  <c r="B1081" i="1" s="1"/>
  <c r="B1082" i="1" a="1"/>
  <c r="B1082" i="1" s="1"/>
  <c r="B1083" i="1" a="1"/>
  <c r="B1083" i="1" s="1"/>
  <c r="B1084" i="1" a="1"/>
  <c r="B1084" i="1" s="1"/>
  <c r="B1085" i="1" a="1"/>
  <c r="B1085" i="1" s="1"/>
  <c r="B1086" i="1" a="1"/>
  <c r="B1086" i="1" s="1"/>
  <c r="B1087" i="1" a="1"/>
  <c r="B1087" i="1" s="1"/>
  <c r="B1088" i="1" a="1"/>
  <c r="B1088" i="1" s="1"/>
  <c r="B1089" i="1" a="1"/>
  <c r="B1089" i="1" s="1"/>
  <c r="B1090" i="1" a="1"/>
  <c r="B1090" i="1" s="1"/>
  <c r="B1091" i="1" a="1"/>
  <c r="B1091" i="1" s="1"/>
  <c r="B1092" i="1" a="1"/>
  <c r="B1092" i="1" s="1"/>
  <c r="B1093" i="1" a="1"/>
  <c r="B1093" i="1" s="1"/>
  <c r="B1094" i="1" a="1"/>
  <c r="B1094" i="1" s="1"/>
  <c r="B1095" i="1" a="1"/>
  <c r="B1095" i="1" s="1"/>
  <c r="B1096" i="1" a="1"/>
  <c r="B1096" i="1" s="1"/>
  <c r="B1097" i="1" a="1"/>
  <c r="B1097" i="1" s="1"/>
  <c r="B1098" i="1" a="1"/>
  <c r="B1098" i="1" s="1"/>
  <c r="B1099" i="1" a="1"/>
  <c r="B1099" i="1" s="1"/>
  <c r="B1100" i="1" a="1"/>
  <c r="B1100" i="1" s="1"/>
  <c r="B1101" i="1" a="1"/>
  <c r="B1101" i="1" s="1"/>
  <c r="B1102" i="1" a="1"/>
  <c r="B1102" i="1" s="1"/>
  <c r="B1103" i="1" a="1"/>
  <c r="B1103" i="1" s="1"/>
  <c r="B1104" i="1" a="1"/>
  <c r="B1104" i="1" s="1"/>
  <c r="B1105" i="1" a="1"/>
  <c r="B1105" i="1" s="1"/>
  <c r="B1106" i="1" a="1"/>
  <c r="B1106" i="1" s="1"/>
  <c r="B1107" i="1" a="1"/>
  <c r="B1107" i="1" s="1"/>
  <c r="B1108" i="1" a="1"/>
  <c r="B1108" i="1" s="1"/>
  <c r="B1109" i="1" a="1"/>
  <c r="B1109" i="1" s="1"/>
  <c r="B1110" i="1" a="1"/>
  <c r="B1110" i="1" s="1"/>
  <c r="B1111" i="1" a="1"/>
  <c r="B1111" i="1" s="1"/>
  <c r="B1112" i="1" a="1"/>
  <c r="B1112" i="1" s="1"/>
  <c r="B1113" i="1" a="1"/>
  <c r="B1113" i="1" s="1"/>
  <c r="B1114" i="1" a="1"/>
  <c r="B1114" i="1" s="1"/>
  <c r="B1115" i="1" a="1"/>
  <c r="B1115" i="1" s="1"/>
  <c r="B1116" i="1" a="1"/>
  <c r="B1116" i="1" s="1"/>
  <c r="B1117" i="1" a="1"/>
  <c r="B1117" i="1" s="1"/>
  <c r="B1118" i="1" a="1"/>
  <c r="B1118" i="1" s="1"/>
  <c r="B1119" i="1" a="1"/>
  <c r="B1119" i="1" s="1"/>
  <c r="B1120" i="1" a="1"/>
  <c r="B1120" i="1" s="1"/>
  <c r="B1121" i="1" a="1"/>
  <c r="B1121" i="1" s="1"/>
  <c r="B1122" i="1" a="1"/>
  <c r="B1122" i="1" s="1"/>
  <c r="B1123" i="1" a="1"/>
  <c r="B1123" i="1" s="1"/>
  <c r="B1124" i="1" a="1"/>
  <c r="B1124" i="1" s="1"/>
  <c r="B1125" i="1" a="1"/>
  <c r="B1125" i="1" s="1"/>
  <c r="B1126" i="1" a="1"/>
  <c r="B1126" i="1" s="1"/>
  <c r="B1127" i="1" a="1"/>
  <c r="B1127" i="1" s="1"/>
  <c r="B1128" i="1" a="1"/>
  <c r="B1128" i="1" s="1"/>
  <c r="B1129" i="1" a="1"/>
  <c r="B1129" i="1" s="1"/>
  <c r="B1130" i="1" a="1"/>
  <c r="B1130" i="1" s="1"/>
  <c r="B1131" i="1" a="1"/>
  <c r="B1131" i="1" s="1"/>
  <c r="B1132" i="1" a="1"/>
  <c r="B1132" i="1" s="1"/>
  <c r="B1133" i="1" a="1"/>
  <c r="B1133" i="1" s="1"/>
  <c r="B1134" i="1" a="1"/>
  <c r="B1134" i="1" s="1"/>
  <c r="B1135" i="1" a="1"/>
  <c r="B1135" i="1" s="1"/>
  <c r="B1136" i="1" a="1"/>
  <c r="B1136" i="1" s="1"/>
  <c r="B1137" i="1" a="1"/>
  <c r="B1137" i="1" s="1"/>
  <c r="B1138" i="1" a="1"/>
  <c r="B1138" i="1" s="1"/>
  <c r="B1139" i="1" a="1"/>
  <c r="B1139" i="1" s="1"/>
  <c r="B1140" i="1" a="1"/>
  <c r="B1140" i="1" s="1"/>
  <c r="B1141" i="1" a="1"/>
  <c r="B1141" i="1" s="1"/>
  <c r="B1142" i="1" a="1"/>
  <c r="B1142" i="1" s="1"/>
  <c r="B1143" i="1" a="1"/>
  <c r="B1143" i="1" s="1"/>
  <c r="B1144" i="1" a="1"/>
  <c r="B1144" i="1" s="1"/>
  <c r="B1145" i="1" a="1"/>
  <c r="B1145" i="1" s="1"/>
  <c r="B1146" i="1" a="1"/>
  <c r="B1146" i="1" s="1"/>
  <c r="B1147" i="1" a="1"/>
  <c r="B1147" i="1" s="1"/>
  <c r="B1148" i="1" a="1"/>
  <c r="B1148" i="1" s="1"/>
  <c r="B1149" i="1" a="1"/>
  <c r="B1149" i="1" s="1"/>
  <c r="B1150" i="1" a="1"/>
  <c r="B1150" i="1" s="1"/>
  <c r="B1151" i="1" a="1"/>
  <c r="B1151" i="1" s="1"/>
  <c r="B1152" i="1" a="1"/>
  <c r="B1152" i="1" s="1"/>
  <c r="B1153" i="1" a="1"/>
  <c r="B1153" i="1" s="1"/>
  <c r="B1154" i="1" a="1"/>
  <c r="B1154" i="1" s="1"/>
  <c r="B1155" i="1" a="1"/>
  <c r="B1155" i="1" s="1"/>
  <c r="B1156" i="1" a="1"/>
  <c r="B1156" i="1" s="1"/>
  <c r="B1157" i="1" a="1"/>
  <c r="B1157" i="1" s="1"/>
  <c r="B1158" i="1" a="1"/>
  <c r="B1158" i="1" s="1"/>
  <c r="B1159" i="1" a="1"/>
  <c r="B1159" i="1" s="1"/>
  <c r="B1160" i="1" a="1"/>
  <c r="B1160" i="1" s="1"/>
  <c r="B1161" i="1" a="1"/>
  <c r="B1161" i="1" s="1"/>
  <c r="B1162" i="1" a="1"/>
  <c r="B1162" i="1" s="1"/>
  <c r="B1163" i="1" a="1"/>
  <c r="B1163" i="1" s="1"/>
  <c r="B1164" i="1" a="1"/>
  <c r="B1164" i="1"/>
  <c r="B1165" i="1" a="1"/>
  <c r="B1165" i="1" s="1"/>
  <c r="B1166" i="1" a="1"/>
  <c r="B1166" i="1" s="1"/>
  <c r="B1167" i="1" a="1"/>
  <c r="B1167" i="1" s="1"/>
  <c r="B1168" i="1" a="1"/>
  <c r="B1168" i="1" s="1"/>
  <c r="B1169" i="1" a="1"/>
  <c r="B1169" i="1" s="1"/>
  <c r="B1170" i="1" a="1"/>
  <c r="B1170" i="1" s="1"/>
  <c r="B1171" i="1" a="1"/>
  <c r="B1171" i="1" s="1"/>
  <c r="B1172" i="1" a="1"/>
  <c r="B1172" i="1" s="1"/>
  <c r="B1173" i="1" a="1"/>
  <c r="B1173" i="1" s="1"/>
  <c r="B1174" i="1" a="1"/>
  <c r="B1174" i="1" s="1"/>
  <c r="B1175" i="1" a="1"/>
  <c r="B1175" i="1" s="1"/>
  <c r="B1176" i="1" a="1"/>
  <c r="B1176" i="1" s="1"/>
  <c r="B1177" i="1" a="1"/>
  <c r="B1177" i="1" s="1"/>
  <c r="B1178" i="1" a="1"/>
  <c r="B1178" i="1" s="1"/>
  <c r="B1179" i="1" a="1"/>
  <c r="B1179" i="1" s="1"/>
  <c r="B1180" i="1" a="1"/>
  <c r="B1180" i="1" s="1"/>
  <c r="B1181" i="1" a="1"/>
  <c r="B1181" i="1" s="1"/>
  <c r="B1182" i="1" a="1"/>
  <c r="B1182" i="1" s="1"/>
  <c r="B1183" i="1" a="1"/>
  <c r="B1183" i="1" s="1"/>
  <c r="B1184" i="1" a="1"/>
  <c r="B1184" i="1" s="1"/>
  <c r="B1185" i="1" a="1"/>
  <c r="B1185" i="1" s="1"/>
  <c r="B1186" i="1" a="1"/>
  <c r="B1186" i="1" s="1"/>
  <c r="B1187" i="1" a="1"/>
  <c r="B1187" i="1" s="1"/>
  <c r="B1188" i="1" a="1"/>
  <c r="B1188" i="1" s="1"/>
  <c r="B1189" i="1" a="1"/>
  <c r="B1189" i="1" s="1"/>
  <c r="B1190" i="1" a="1"/>
  <c r="B1190" i="1" s="1"/>
  <c r="B1191" i="1" a="1"/>
  <c r="B1191" i="1" s="1"/>
  <c r="B1192" i="1" a="1"/>
  <c r="B1192" i="1" s="1"/>
  <c r="B1193" i="1" a="1"/>
  <c r="B1193" i="1" s="1"/>
  <c r="B1194" i="1" a="1"/>
  <c r="B1194" i="1" s="1"/>
  <c r="B1195" i="1" a="1"/>
  <c r="B1195" i="1" s="1"/>
  <c r="B1196" i="1" a="1"/>
  <c r="B1196" i="1" s="1"/>
  <c r="B1197" i="1" a="1"/>
  <c r="B1197" i="1" s="1"/>
  <c r="B1198" i="1" a="1"/>
  <c r="B1198" i="1" s="1"/>
  <c r="B1199" i="1" a="1"/>
  <c r="B1199" i="1" s="1"/>
  <c r="B1200" i="1" a="1"/>
  <c r="B1200" i="1" s="1"/>
  <c r="B1201" i="1" a="1"/>
  <c r="B1201" i="1" s="1"/>
  <c r="B1202" i="1" a="1"/>
  <c r="B1202" i="1" s="1"/>
  <c r="B1203" i="1" a="1"/>
  <c r="B1203" i="1" s="1"/>
  <c r="B1204" i="1" a="1"/>
  <c r="B1204" i="1" s="1"/>
  <c r="B1205" i="1" a="1"/>
  <c r="B1205" i="1" s="1"/>
  <c r="B1206" i="1" a="1"/>
  <c r="B1206" i="1" s="1"/>
  <c r="B1207" i="1" a="1"/>
  <c r="B1207" i="1" s="1"/>
  <c r="B1208" i="1" a="1"/>
  <c r="B1208" i="1" s="1"/>
  <c r="B1209" i="1" a="1"/>
  <c r="B1209" i="1" s="1"/>
  <c r="B1210" i="1" a="1"/>
  <c r="B1210" i="1" s="1"/>
  <c r="B1211" i="1" a="1"/>
  <c r="B1211" i="1" s="1"/>
  <c r="B1212" i="1" a="1"/>
  <c r="B1212" i="1" s="1"/>
  <c r="B1213" i="1" a="1"/>
  <c r="B1213" i="1" s="1"/>
  <c r="B1214" i="1" a="1"/>
  <c r="B1214" i="1" s="1"/>
  <c r="B1215" i="1" a="1"/>
  <c r="B1215" i="1" s="1"/>
  <c r="B1216" i="1" a="1"/>
  <c r="B1216" i="1" s="1"/>
  <c r="B1217" i="1" a="1"/>
  <c r="B1217" i="1" s="1"/>
  <c r="B1218" i="1" a="1"/>
  <c r="B1218" i="1" s="1"/>
  <c r="B1219" i="1" a="1"/>
  <c r="B1219" i="1" s="1"/>
  <c r="B1220" i="1" a="1"/>
  <c r="B1220" i="1" s="1"/>
  <c r="B1221" i="1" a="1"/>
  <c r="B1221" i="1" s="1"/>
  <c r="B1222" i="1" a="1"/>
  <c r="B1222" i="1" s="1"/>
  <c r="B1223" i="1" a="1"/>
  <c r="B1223" i="1" s="1"/>
  <c r="B1224" i="1" a="1"/>
  <c r="B1224" i="1" s="1"/>
  <c r="B1225" i="1" a="1"/>
  <c r="B1225" i="1" s="1"/>
  <c r="B1226" i="1" a="1"/>
  <c r="B1226" i="1" s="1"/>
  <c r="B1227" i="1" a="1"/>
  <c r="B1227" i="1" s="1"/>
  <c r="B1228" i="1" a="1"/>
  <c r="B1228" i="1" s="1"/>
  <c r="B1229" i="1" a="1"/>
  <c r="B1229" i="1" s="1"/>
  <c r="B1230" i="1" a="1"/>
  <c r="B1230" i="1" s="1"/>
  <c r="B1231" i="1" a="1"/>
  <c r="B1231" i="1" s="1"/>
  <c r="B1232" i="1" a="1"/>
  <c r="B1232" i="1" s="1"/>
  <c r="B1233" i="1" a="1"/>
  <c r="B1233" i="1" s="1"/>
  <c r="B1234" i="1" a="1"/>
  <c r="B1234" i="1" s="1"/>
  <c r="B1235" i="1" a="1"/>
  <c r="B1235" i="1" s="1"/>
  <c r="B1236" i="1" a="1"/>
  <c r="B1236" i="1" s="1"/>
  <c r="B1237" i="1" a="1"/>
  <c r="B1237" i="1" s="1"/>
  <c r="B1238" i="1" a="1"/>
  <c r="B1238" i="1" s="1"/>
  <c r="B1239" i="1" a="1"/>
  <c r="B1239" i="1" s="1"/>
  <c r="B1240" i="1" a="1"/>
  <c r="B1240" i="1" s="1"/>
  <c r="B1241" i="1" a="1"/>
  <c r="B1241" i="1" s="1"/>
  <c r="B1242" i="1" a="1"/>
  <c r="B1242" i="1" s="1"/>
  <c r="B1243" i="1" a="1"/>
  <c r="B1243" i="1" s="1"/>
  <c r="B1244" i="1" a="1"/>
  <c r="B1244" i="1" s="1"/>
  <c r="B1245" i="1" a="1"/>
  <c r="B1245" i="1" s="1"/>
  <c r="B1246" i="1" a="1"/>
  <c r="B1246" i="1" s="1"/>
  <c r="B1247" i="1" a="1"/>
  <c r="B1247" i="1" s="1"/>
  <c r="B1248" i="1" a="1"/>
  <c r="B1248" i="1" s="1"/>
  <c r="B1249" i="1" a="1"/>
  <c r="B1249" i="1" s="1"/>
  <c r="B1250" i="1" a="1"/>
  <c r="B1250" i="1" s="1"/>
  <c r="B1251" i="1" a="1"/>
  <c r="B1251" i="1" s="1"/>
  <c r="B1252" i="1" a="1"/>
  <c r="B1252" i="1" s="1"/>
  <c r="B1253" i="1" a="1"/>
  <c r="B1253" i="1" s="1"/>
  <c r="B1254" i="1" a="1"/>
  <c r="B1254" i="1" s="1"/>
  <c r="B1255" i="1" a="1"/>
  <c r="B1255" i="1" s="1"/>
  <c r="B1256" i="1" a="1"/>
  <c r="B1256" i="1" s="1"/>
  <c r="B1257" i="1" a="1"/>
  <c r="B1257" i="1" s="1"/>
  <c r="B1258" i="1" a="1"/>
  <c r="B1258" i="1" s="1"/>
  <c r="B1259" i="1" a="1"/>
  <c r="B1259" i="1" s="1"/>
  <c r="B1260" i="1" a="1"/>
  <c r="B1260" i="1"/>
  <c r="B1261" i="1" a="1"/>
  <c r="B1261" i="1" s="1"/>
  <c r="B1262" i="1" a="1"/>
  <c r="B1262" i="1" s="1"/>
  <c r="B1263" i="1" a="1"/>
  <c r="B1263" i="1" s="1"/>
  <c r="B1264" i="1" a="1"/>
  <c r="B1264" i="1" s="1"/>
  <c r="B1265" i="1" a="1"/>
  <c r="B1265" i="1" s="1"/>
  <c r="B1266" i="1" a="1"/>
  <c r="B1266" i="1" s="1"/>
  <c r="B1267" i="1" a="1"/>
  <c r="B1267" i="1" s="1"/>
  <c r="B1268" i="1" a="1"/>
  <c r="B1268" i="1" s="1"/>
  <c r="B1269" i="1" a="1"/>
  <c r="B1269" i="1"/>
  <c r="B1270" i="1" a="1"/>
  <c r="B1270" i="1" s="1"/>
  <c r="B1271" i="1" a="1"/>
  <c r="B1271" i="1" s="1"/>
  <c r="B1272" i="1" a="1"/>
  <c r="B1272" i="1" s="1"/>
  <c r="B1273" i="1" a="1"/>
  <c r="B1273" i="1" s="1"/>
  <c r="B1274" i="1" a="1"/>
  <c r="B1274" i="1" s="1"/>
  <c r="B1275" i="1" a="1"/>
  <c r="B1275" i="1" s="1"/>
  <c r="B1276" i="1" a="1"/>
  <c r="B1276" i="1" s="1"/>
  <c r="B1277" i="1" a="1"/>
  <c r="B1277" i="1" s="1"/>
  <c r="B1278" i="1" a="1"/>
  <c r="B1278" i="1" s="1"/>
  <c r="B1279" i="1" a="1"/>
  <c r="B1279" i="1" s="1"/>
  <c r="B1280" i="1" a="1"/>
  <c r="B1280" i="1" s="1"/>
  <c r="B1281" i="1" a="1"/>
  <c r="B1281" i="1" s="1"/>
  <c r="B1282" i="1" a="1"/>
  <c r="B1282" i="1" s="1"/>
  <c r="B1283" i="1" a="1"/>
  <c r="B1283" i="1" s="1"/>
  <c r="B1284" i="1" a="1"/>
  <c r="B1284" i="1" s="1"/>
  <c r="B1285" i="1" a="1"/>
  <c r="B1285" i="1" s="1"/>
  <c r="B1286" i="1" a="1"/>
  <c r="B1286" i="1" s="1"/>
  <c r="B1287" i="1" a="1"/>
  <c r="B1287" i="1" s="1"/>
  <c r="B1288" i="1" a="1"/>
  <c r="B1288" i="1" s="1"/>
  <c r="B1289" i="1" a="1"/>
  <c r="B1289" i="1" s="1"/>
  <c r="B1290" i="1" a="1"/>
  <c r="B1290" i="1" s="1"/>
  <c r="B1291" i="1" a="1"/>
  <c r="B1291" i="1" s="1"/>
  <c r="B1292" i="1" a="1"/>
  <c r="B1292" i="1" s="1"/>
  <c r="B1293" i="1" a="1"/>
  <c r="B1293" i="1" s="1"/>
  <c r="B1294" i="1" a="1"/>
  <c r="B1294" i="1" s="1"/>
  <c r="B1295" i="1" a="1"/>
  <c r="B1295" i="1" s="1"/>
  <c r="B1296" i="1" a="1"/>
  <c r="B1296" i="1" s="1"/>
  <c r="B1297" i="1" a="1"/>
  <c r="B1297" i="1" s="1"/>
  <c r="B1298" i="1" a="1"/>
  <c r="B1298" i="1" s="1"/>
  <c r="B1299" i="1" a="1"/>
  <c r="B1299" i="1" s="1"/>
  <c r="B1300" i="1" a="1"/>
  <c r="B1300" i="1" s="1"/>
  <c r="B1301" i="1" a="1"/>
  <c r="B1301" i="1" s="1"/>
  <c r="B1302" i="1" a="1"/>
  <c r="B1302" i="1" s="1"/>
  <c r="B1303" i="1" a="1"/>
  <c r="B1303" i="1" s="1"/>
  <c r="B1304" i="1" a="1"/>
  <c r="B1304" i="1" s="1"/>
  <c r="B1305" i="1" a="1"/>
  <c r="B1305" i="1" s="1"/>
  <c r="B1306" i="1" a="1"/>
  <c r="B1306" i="1" s="1"/>
  <c r="B1307" i="1" a="1"/>
  <c r="B1307" i="1" s="1"/>
  <c r="B1308" i="1" a="1"/>
  <c r="B1308" i="1" s="1"/>
  <c r="B1309" i="1" a="1"/>
  <c r="B1309" i="1" s="1"/>
  <c r="B1310" i="1" a="1"/>
  <c r="B1310" i="1" s="1"/>
  <c r="B1311" i="1" a="1"/>
  <c r="B1311" i="1" s="1"/>
  <c r="B1312" i="1" a="1"/>
  <c r="B1312" i="1" s="1"/>
  <c r="B1313" i="1" a="1"/>
  <c r="B1313" i="1" s="1"/>
  <c r="B1314" i="1" a="1"/>
  <c r="B1314" i="1" s="1"/>
  <c r="B1315" i="1" a="1"/>
  <c r="B1315" i="1" s="1"/>
  <c r="B1316" i="1" a="1"/>
  <c r="B1316" i="1" s="1"/>
  <c r="B1317" i="1" a="1"/>
  <c r="B1317" i="1" s="1"/>
  <c r="B1318" i="1" a="1"/>
  <c r="B1318" i="1" s="1"/>
  <c r="B1319" i="1" a="1"/>
  <c r="B1319" i="1" s="1"/>
  <c r="B1320" i="1" a="1"/>
  <c r="B1320" i="1" s="1"/>
  <c r="B1321" i="1" a="1"/>
  <c r="B1321" i="1" s="1"/>
  <c r="B1322" i="1" a="1"/>
  <c r="B1322" i="1" s="1"/>
  <c r="B1323" i="1" a="1"/>
  <c r="B1323" i="1" s="1"/>
  <c r="B1324" i="1" a="1"/>
  <c r="B1324" i="1" s="1"/>
  <c r="B1325" i="1" a="1"/>
  <c r="B1325" i="1" s="1"/>
  <c r="B1326" i="1" a="1"/>
  <c r="B1326" i="1" s="1"/>
  <c r="B1327" i="1" a="1"/>
  <c r="B1327" i="1" s="1"/>
  <c r="B1328" i="1" a="1"/>
  <c r="B1328" i="1" s="1"/>
  <c r="B1329" i="1" a="1"/>
  <c r="B1329" i="1" s="1"/>
  <c r="B1330" i="1" a="1"/>
  <c r="B1330" i="1" s="1"/>
  <c r="B1331" i="1" a="1"/>
  <c r="B1331" i="1" s="1"/>
  <c r="B1332" i="1" a="1"/>
  <c r="B1332" i="1" s="1"/>
  <c r="B1333" i="1" a="1"/>
  <c r="B1333" i="1" s="1"/>
  <c r="B1334" i="1" a="1"/>
  <c r="B1334" i="1" s="1"/>
  <c r="B1335" i="1" a="1"/>
  <c r="B1335" i="1" s="1"/>
  <c r="B1336" i="1" a="1"/>
  <c r="B1336" i="1" s="1"/>
  <c r="B1337" i="1" a="1"/>
  <c r="B1337" i="1" s="1"/>
  <c r="B1338" i="1" a="1"/>
  <c r="B1338" i="1" s="1"/>
  <c r="B1339" i="1" a="1"/>
  <c r="B1339" i="1" s="1"/>
  <c r="B1340" i="1" a="1"/>
  <c r="B1340" i="1"/>
  <c r="B1341" i="1" a="1"/>
  <c r="B1341" i="1" s="1"/>
  <c r="B1342" i="1" a="1"/>
  <c r="B1342" i="1" s="1"/>
  <c r="B1343" i="1" a="1"/>
  <c r="B1343" i="1" s="1"/>
  <c r="B1344" i="1" a="1"/>
  <c r="B1344" i="1" s="1"/>
  <c r="B1345" i="1" a="1"/>
  <c r="B1345" i="1" s="1"/>
  <c r="B1346" i="1" a="1"/>
  <c r="B1346" i="1" s="1"/>
  <c r="B1347" i="1" a="1"/>
  <c r="B1347" i="1" s="1"/>
  <c r="B1348" i="1" a="1"/>
  <c r="B1348" i="1" s="1"/>
  <c r="B1349" i="1" a="1"/>
  <c r="B1349" i="1" s="1"/>
  <c r="B1350" i="1" a="1"/>
  <c r="B1350" i="1" s="1"/>
  <c r="B1351" i="1" a="1"/>
  <c r="B1351" i="1" s="1"/>
  <c r="B1352" i="1" a="1"/>
  <c r="B1352" i="1" s="1"/>
  <c r="B1353" i="1" a="1"/>
  <c r="B1353" i="1" s="1"/>
  <c r="B1354" i="1" a="1"/>
  <c r="B1354" i="1" s="1"/>
  <c r="B1355" i="1" a="1"/>
  <c r="B1355" i="1" s="1"/>
  <c r="B1356" i="1" a="1"/>
  <c r="B1356" i="1" s="1"/>
  <c r="B1357" i="1" a="1"/>
  <c r="B1357" i="1" s="1"/>
  <c r="B1358" i="1" a="1"/>
  <c r="B1358" i="1" s="1"/>
  <c r="B1359" i="1" a="1"/>
  <c r="B1359" i="1" s="1"/>
  <c r="B1360" i="1" a="1"/>
  <c r="B1360" i="1" s="1"/>
  <c r="B1361" i="1" a="1"/>
  <c r="B1361" i="1" s="1"/>
  <c r="B1362" i="1" a="1"/>
  <c r="B1362" i="1" s="1"/>
  <c r="B1363" i="1" a="1"/>
  <c r="B1363" i="1" s="1"/>
  <c r="B1364" i="1" a="1"/>
  <c r="B1364" i="1" s="1"/>
  <c r="B1365" i="1" a="1"/>
  <c r="B1365" i="1" s="1"/>
  <c r="B1366" i="1" a="1"/>
  <c r="B1366" i="1" s="1"/>
  <c r="B1367" i="1" a="1"/>
  <c r="B1367" i="1" s="1"/>
  <c r="B1368" i="1" a="1"/>
  <c r="B1368" i="1" s="1"/>
  <c r="B1369" i="1" a="1"/>
  <c r="B1369" i="1" s="1"/>
  <c r="B1370" i="1" a="1"/>
  <c r="B1370" i="1" s="1"/>
  <c r="B1371" i="1" a="1"/>
  <c r="B1371" i="1" s="1"/>
  <c r="B1372" i="1" a="1"/>
  <c r="B1372" i="1" s="1"/>
  <c r="B1373" i="1" a="1"/>
  <c r="B1373" i="1" s="1"/>
  <c r="B1374" i="1" a="1"/>
  <c r="B1374" i="1" s="1"/>
  <c r="B1375" i="1" a="1"/>
  <c r="B1375" i="1" s="1"/>
  <c r="B1376" i="1" a="1"/>
  <c r="B1376" i="1" s="1"/>
  <c r="B1377" i="1" a="1"/>
  <c r="B1377" i="1" s="1"/>
  <c r="B1378" i="1" a="1"/>
  <c r="B1378" i="1" s="1"/>
  <c r="B1379" i="1" a="1"/>
  <c r="B1379" i="1" s="1"/>
  <c r="B1380" i="1" a="1"/>
  <c r="B1380" i="1" s="1"/>
  <c r="B1381" i="1" a="1"/>
  <c r="B1381" i="1" s="1"/>
  <c r="B1382" i="1" a="1"/>
  <c r="B1382" i="1" s="1"/>
  <c r="B1383" i="1" a="1"/>
  <c r="B1383" i="1" s="1"/>
  <c r="B1384" i="1" a="1"/>
  <c r="B1384" i="1" s="1"/>
  <c r="B1385" i="1" a="1"/>
  <c r="B1385" i="1" s="1"/>
  <c r="B1386" i="1" a="1"/>
  <c r="B1386" i="1" s="1"/>
  <c r="B1387" i="1" a="1"/>
  <c r="B1387" i="1" s="1"/>
  <c r="B1388" i="1" a="1"/>
  <c r="B1388" i="1" s="1"/>
  <c r="B1389" i="1" a="1"/>
  <c r="B1389" i="1" s="1"/>
  <c r="B1390" i="1" a="1"/>
  <c r="B1390" i="1" s="1"/>
  <c r="B1391" i="1" a="1"/>
  <c r="B1391" i="1" s="1"/>
  <c r="B1392" i="1" a="1"/>
  <c r="B1392" i="1" s="1"/>
  <c r="B1393" i="1" a="1"/>
  <c r="B1393" i="1" s="1"/>
  <c r="B1394" i="1" a="1"/>
  <c r="B1394" i="1" s="1"/>
  <c r="B1395" i="1" a="1"/>
  <c r="B1395" i="1" s="1"/>
  <c r="B1396" i="1" a="1"/>
  <c r="B1396" i="1" s="1"/>
  <c r="B1397" i="1" a="1"/>
  <c r="B1397" i="1" s="1"/>
  <c r="B1398" i="1" a="1"/>
  <c r="B1398" i="1" s="1"/>
  <c r="B1399" i="1" a="1"/>
  <c r="B1399" i="1" s="1"/>
  <c r="B1400" i="1" a="1"/>
  <c r="B1400" i="1" s="1"/>
  <c r="B1401" i="1" a="1"/>
  <c r="B1401" i="1" s="1"/>
  <c r="B1402" i="1" a="1"/>
  <c r="B1402" i="1" s="1"/>
  <c r="B1403" i="1" a="1"/>
  <c r="B1403" i="1" s="1"/>
  <c r="B1404" i="1" a="1"/>
  <c r="B1404" i="1"/>
  <c r="B1405" i="1" a="1"/>
  <c r="B1405" i="1" s="1"/>
  <c r="B1406" i="1" a="1"/>
  <c r="B1406" i="1" s="1"/>
  <c r="B1407" i="1" a="1"/>
  <c r="B1407" i="1" s="1"/>
  <c r="B1408" i="1" a="1"/>
  <c r="B1408" i="1" s="1"/>
  <c r="B1409" i="1" a="1"/>
  <c r="B1409" i="1" s="1"/>
  <c r="B1410" i="1" a="1"/>
  <c r="B1410" i="1" s="1"/>
  <c r="B1411" i="1" a="1"/>
  <c r="B1411" i="1" s="1"/>
  <c r="B1412" i="1" a="1"/>
  <c r="B1412" i="1" s="1"/>
  <c r="B1413" i="1" a="1"/>
  <c r="B1413" i="1" s="1"/>
  <c r="B1414" i="1" a="1"/>
  <c r="B1414" i="1" s="1"/>
  <c r="B1415" i="1" a="1"/>
  <c r="B1415" i="1" s="1"/>
  <c r="B1416" i="1" a="1"/>
  <c r="B1416" i="1" s="1"/>
  <c r="B1417" i="1" a="1"/>
  <c r="B1417" i="1" s="1"/>
  <c r="B1418" i="1" a="1"/>
  <c r="B1418" i="1" s="1"/>
  <c r="B1419" i="1" a="1"/>
  <c r="B1419" i="1" s="1"/>
  <c r="B1420" i="1" a="1"/>
  <c r="B1420" i="1" s="1"/>
  <c r="B1421" i="1" a="1"/>
  <c r="B1421" i="1" s="1"/>
  <c r="B1422" i="1" a="1"/>
  <c r="B1422" i="1" s="1"/>
  <c r="B1423" i="1" a="1"/>
  <c r="B1423" i="1" s="1"/>
  <c r="B1424" i="1" a="1"/>
  <c r="B1424" i="1" s="1"/>
  <c r="B1425" i="1" a="1"/>
  <c r="B1425" i="1" s="1"/>
  <c r="B1426" i="1" a="1"/>
  <c r="B1426" i="1" s="1"/>
  <c r="B1427" i="1" a="1"/>
  <c r="B1427" i="1" s="1"/>
  <c r="B1428" i="1" a="1"/>
  <c r="B1428" i="1" s="1"/>
  <c r="B1429" i="1" a="1"/>
  <c r="B1429" i="1" s="1"/>
  <c r="B1430" i="1" a="1"/>
  <c r="B1430" i="1" s="1"/>
  <c r="B1431" i="1" a="1"/>
  <c r="B1431" i="1" s="1"/>
  <c r="B1432" i="1" a="1"/>
  <c r="B1432" i="1" s="1"/>
  <c r="B1433" i="1" a="1"/>
  <c r="B1433" i="1" s="1"/>
  <c r="B1434" i="1" a="1"/>
  <c r="B1434" i="1" s="1"/>
  <c r="B1435" i="1" a="1"/>
  <c r="B1435" i="1" s="1"/>
  <c r="B1436" i="1" a="1"/>
  <c r="B1436" i="1" s="1"/>
  <c r="B1437" i="1" a="1"/>
  <c r="B1437" i="1" s="1"/>
  <c r="B1438" i="1" a="1"/>
  <c r="B1438" i="1" s="1"/>
  <c r="B1439" i="1" a="1"/>
  <c r="B1439" i="1" s="1"/>
  <c r="B1440" i="1" a="1"/>
  <c r="B1440" i="1" s="1"/>
  <c r="B1441" i="1" a="1"/>
  <c r="B1441" i="1" s="1"/>
  <c r="B1442" i="1" a="1"/>
  <c r="B1442" i="1" s="1"/>
  <c r="B1443" i="1" a="1"/>
  <c r="B1443" i="1" s="1"/>
  <c r="B1444" i="1" a="1"/>
  <c r="B1444" i="1" s="1"/>
  <c r="B1445" i="1" a="1"/>
  <c r="B1445" i="1" s="1"/>
  <c r="B1446" i="1" a="1"/>
  <c r="B1446" i="1" s="1"/>
  <c r="B1447" i="1" a="1"/>
  <c r="B1447" i="1" s="1"/>
  <c r="B1448" i="1" a="1"/>
  <c r="B1448" i="1" s="1"/>
  <c r="B1449" i="1" a="1"/>
  <c r="B1449" i="1" s="1"/>
  <c r="B1450" i="1" a="1"/>
  <c r="B1450" i="1" s="1"/>
  <c r="B1451" i="1" a="1"/>
  <c r="B1451" i="1" s="1"/>
  <c r="B1452" i="1" a="1"/>
  <c r="B1452" i="1" s="1"/>
  <c r="B1453" i="1" a="1"/>
  <c r="B1453" i="1" s="1"/>
  <c r="B1454" i="1" a="1"/>
  <c r="B1454" i="1" s="1"/>
  <c r="B1455" i="1" a="1"/>
  <c r="B1455" i="1"/>
  <c r="B1456" i="1" a="1"/>
  <c r="B1456" i="1" s="1"/>
  <c r="B1457" i="1" a="1"/>
  <c r="B1457" i="1" s="1"/>
  <c r="B1458" i="1" a="1"/>
  <c r="B1458" i="1" s="1"/>
  <c r="B1459" i="1" a="1"/>
  <c r="B1459" i="1" s="1"/>
  <c r="B1460" i="1" a="1"/>
  <c r="B1460" i="1" s="1"/>
  <c r="B1461" i="1" a="1"/>
  <c r="B1461" i="1" s="1"/>
  <c r="B1462" i="1" a="1"/>
  <c r="B1462" i="1" s="1"/>
  <c r="B1463" i="1" a="1"/>
  <c r="B1463" i="1" s="1"/>
  <c r="B1464" i="1" a="1"/>
  <c r="B1464" i="1" s="1"/>
  <c r="B1465" i="1" a="1"/>
  <c r="B1465" i="1"/>
  <c r="B1466" i="1" a="1"/>
  <c r="B1466" i="1" s="1"/>
  <c r="B1467" i="1" a="1"/>
  <c r="B1467" i="1" s="1"/>
  <c r="B1468" i="1" a="1"/>
  <c r="B1468" i="1" s="1"/>
  <c r="B1469" i="1" a="1"/>
  <c r="B1469" i="1" s="1"/>
  <c r="B1470" i="1" a="1"/>
  <c r="B1470" i="1" s="1"/>
  <c r="B1471" i="1" a="1"/>
  <c r="B1471"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<sst xmlns="http://schemas.openxmlformats.org/spreadsheetml/2006/main" count="22140" uniqueCount="100">
  <si>
    <t>Age</t>
  </si>
  <si>
    <t>Attrition</t>
  </si>
  <si>
    <t>BusinessTravel</t>
  </si>
  <si>
    <t>DailyRate</t>
  </si>
  <si>
    <t>Department</t>
  </si>
  <si>
    <t>DistanceFromHome</t>
  </si>
  <si>
    <t>Education</t>
  </si>
  <si>
    <t>EducationField</t>
  </si>
  <si>
    <t>EnvironmentSatisfaction</t>
  </si>
  <si>
    <t>Gender</t>
  </si>
  <si>
    <t>HourlyRate</t>
  </si>
  <si>
    <t>JobInvolvement</t>
  </si>
  <si>
    <t>JobLevel</t>
  </si>
  <si>
    <t>JobRole</t>
  </si>
  <si>
    <t>JobSatisfaction</t>
  </si>
  <si>
    <t>MaritalStatus</t>
  </si>
  <si>
    <t>MonthlyIncome</t>
  </si>
  <si>
    <t>MonthlyRate</t>
  </si>
  <si>
    <t>NumCompaniesWorked</t>
  </si>
  <si>
    <t>OverTime</t>
  </si>
  <si>
    <t>PercentSalaryHike</t>
  </si>
  <si>
    <t>PerformanceRating</t>
  </si>
  <si>
    <t>RelationshipSatisfaction</t>
  </si>
  <si>
    <t>StockOptionLevel</t>
  </si>
  <si>
    <t>TotalWorkingYears</t>
  </si>
  <si>
    <t>TrainingTimesLastYear</t>
  </si>
  <si>
    <t>WorkLifeBalance</t>
  </si>
  <si>
    <t>YearsAtCompany</t>
  </si>
  <si>
    <t>YearsInCurrentRole</t>
  </si>
  <si>
    <t>YearsSinceLastPromotion</t>
  </si>
  <si>
    <t>YearsWithCurrManager</t>
  </si>
  <si>
    <t>Yes</t>
  </si>
  <si>
    <t>Travel_Rarely</t>
  </si>
  <si>
    <t>Sales</t>
  </si>
  <si>
    <t>College</t>
  </si>
  <si>
    <t>Life Sciences</t>
  </si>
  <si>
    <t>Medium</t>
  </si>
  <si>
    <t>Female</t>
  </si>
  <si>
    <t>High</t>
  </si>
  <si>
    <t>Junior Level</t>
  </si>
  <si>
    <t>Sales Executive</t>
  </si>
  <si>
    <t>Very High</t>
  </si>
  <si>
    <t>Single</t>
  </si>
  <si>
    <t>Excellent</t>
  </si>
  <si>
    <t>Low</t>
  </si>
  <si>
    <t>Bad</t>
  </si>
  <si>
    <t>No</t>
  </si>
  <si>
    <t>Travel_Frequently</t>
  </si>
  <si>
    <t>Research &amp; Development</t>
  </si>
  <si>
    <t>Below College</t>
  </si>
  <si>
    <t>Male</t>
  </si>
  <si>
    <t>Research Scientist</t>
  </si>
  <si>
    <t>Married</t>
  </si>
  <si>
    <t>Outstanding</t>
  </si>
  <si>
    <t>Better</t>
  </si>
  <si>
    <t>Other</t>
  </si>
  <si>
    <t>Entry Level</t>
  </si>
  <si>
    <t>Laboratory Technician</t>
  </si>
  <si>
    <t>Master</t>
  </si>
  <si>
    <t>Medical</t>
  </si>
  <si>
    <t>Good</t>
  </si>
  <si>
    <t>Bachelor</t>
  </si>
  <si>
    <t>Divorced</t>
  </si>
  <si>
    <t>Mid Level</t>
  </si>
  <si>
    <t>Manufacturing Director</t>
  </si>
  <si>
    <t>Healthcare Representative</t>
  </si>
  <si>
    <t>Non-Travel</t>
  </si>
  <si>
    <t>Senior Level</t>
  </si>
  <si>
    <t>Manager</t>
  </si>
  <si>
    <t>Sales Representative</t>
  </si>
  <si>
    <t>Research Director</t>
  </si>
  <si>
    <t>Executive Level</t>
  </si>
  <si>
    <t>Marketing</t>
  </si>
  <si>
    <t>Best</t>
  </si>
  <si>
    <t>Technical Degree</t>
  </si>
  <si>
    <t>Doctor</t>
  </si>
  <si>
    <t>Human Resources</t>
  </si>
  <si>
    <t>Sum of Attrition</t>
  </si>
  <si>
    <t>Row Labels</t>
  </si>
  <si>
    <t>Grand Total</t>
  </si>
  <si>
    <t>Metrics</t>
  </si>
  <si>
    <t>overall employees</t>
  </si>
  <si>
    <t>attrition</t>
  </si>
  <si>
    <t>employe id</t>
  </si>
  <si>
    <t>Count of employe id</t>
  </si>
  <si>
    <t xml:space="preserve">Avg Age </t>
  </si>
  <si>
    <t>Avg income</t>
  </si>
  <si>
    <t>Avg year at companty</t>
  </si>
  <si>
    <t>Age group</t>
  </si>
  <si>
    <t>18-25</t>
  </si>
  <si>
    <t>A2&lt;=35</t>
  </si>
  <si>
    <t>26-35</t>
  </si>
  <si>
    <t>36-45</t>
  </si>
  <si>
    <t>A2&lt;=55</t>
  </si>
  <si>
    <t>46-55</t>
  </si>
  <si>
    <t>A2&gt;55</t>
  </si>
  <si>
    <t>55+</t>
  </si>
  <si>
    <t>years group</t>
  </si>
  <si>
    <t>(All)</t>
  </si>
  <si>
    <t>HR Attrition Analysis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</si>
</sst>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48"/>
      <color theme="1"/>
      <name val="Calibri"/>
      <family val="2"/>
      <scheme val="minor"/>
    </font>
    <font>
      <b/>
      <sz val="48"/>
      <color theme="0"/>
      <name val="Calibri"/>
      <family val="2"/>
      <scheme val="minor"/>
    </font>
  </fonts>
  <fills count="4">
    <fill>
      <patternFill patternType="none"/>
    </fill>
    <fill>
      <patternFill patternType="gray125"/>
    </fill>
    <fill>
      <patternFill patternType="solid">
        <fgColor rgb="FF0B1D51"/>
        <bgColor indexed="64"/>
      </patternFill>
    </fill>
    <fill>
      <patternFill patternType="solid">
        <fgColor rgb="FFFCD8CD"/>
        <bgColor indexed="64"/>
      </patternFill>
    </fill>
  </fills>
  <borders count="9">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16">
    <xf numFmtId="0" fontId="0" fillId="0" borderId="0" xfId="0"/>
    <xf numFmtId="0" fontId="0" fillId="0" borderId="0" xfId="0" applyNumberFormat="1"/>
    <xf numFmtId="0" fontId="0" fillId="0" borderId="0" xfId="0" pivotButton="1"/>
    <xf numFmtId="0" fontId="0" fillId="0" borderId="0" xfId="0" applyAlignment="1">
      <alignment horizontal="left"/>
    </xf>
    <xf numFmtId="10" fontId="0" fillId="0" borderId="0" xfId="0" applyNumberFormat="1"/>
    <xf numFmtId="1" fontId="0" fillId="0" borderId="0" xfId="0" applyNumberFormat="1"/>
    <xf numFmtId="0" fontId="0" fillId="3" borderId="0" xfId="0" applyFill="1"/>
    <xf numFmtId="0" fontId="1" fillId="2" borderId="2" xfId="0" applyFont="1" applyFill="1" applyBorder="1" applyAlignment="1">
      <alignment horizontal="left" vertical="center" indent="1"/>
    </xf>
    <xf numFmtId="0" fontId="1" fillId="2" borderId="3" xfId="0" applyFont="1" applyFill="1" applyBorder="1" applyAlignment="1">
      <alignment horizontal="left" vertical="center" indent="1"/>
    </xf>
    <xf numFmtId="0" fontId="1" fillId="2" borderId="4" xfId="0" applyFont="1" applyFill="1" applyBorder="1" applyAlignment="1">
      <alignment horizontal="left" vertical="center" indent="1"/>
    </xf>
    <xf numFmtId="0" fontId="1" fillId="2" borderId="0" xfId="0" applyFont="1" applyFill="1" applyBorder="1" applyAlignment="1">
      <alignment horizontal="left" vertical="center" indent="1"/>
    </xf>
    <xf numFmtId="0" fontId="1" fillId="2" borderId="5" xfId="0" applyFont="1" applyFill="1" applyBorder="1" applyAlignment="1">
      <alignment horizontal="left" vertical="center" indent="1"/>
    </xf>
    <xf numFmtId="0" fontId="1" fillId="2" borderId="6" xfId="0" applyFont="1" applyFill="1" applyBorder="1" applyAlignment="1">
      <alignment horizontal="left" vertical="center" indent="1"/>
    </xf>
    <xf numFmtId="0" fontId="1" fillId="2" borderId="7" xfId="0" applyFont="1" applyFill="1" applyBorder="1" applyAlignment="1">
      <alignment horizontal="left" vertical="center" indent="1"/>
    </xf>
    <xf numFmtId="0" fontId="1" fillId="2" borderId="8" xfId="0" applyFont="1" applyFill="1" applyBorder="1" applyAlignment="1">
      <alignment horizontal="left" vertical="center" indent="1"/>
    </xf>
    <xf numFmtId="0" fontId="2" fillId="2" borderId="1" xfId="0" applyFont="1" applyFill="1" applyBorder="1" applyAlignment="1">
      <alignment horizontal="left" vertical="center" indent="1"/>
    </xf>
  </cellXfs>
  <cellStyles count="1">
    <cellStyle name="Normal" xfId="0" builtinId="0"/>
  </cellStyles>
  <dxfs count="2">
    <dxf>
      <numFmt numFmtId="0" formatCode="General"/>
    </dxf>
    <dxf>
      <numFmt numFmtId="0" formatCode="General"/>
    </dxf>
  </dxfs>
  <tableStyles count="0" defaultTableStyle="TableStyleMedium2" defaultPivotStyle="PivotStyleLight16"/>
  <colors>
    <mruColors>
      <color rgb="FF0B1D51"/>
      <color rgb="FFFA891A"/>
      <color rgb="FFFCD8CD"/>
      <color rgb="FFBF4646"/>
      <color rgb="FFFFBBE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 set.xlsx]pivots!PivotTable1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pivots!$B$3</c:f>
              <c:strCache>
                <c:ptCount val="1"/>
                <c:pt idx="0">
                  <c:v>Total</c:v>
                </c:pt>
              </c:strCache>
            </c:strRef>
          </c:tx>
          <c:spPr>
            <a:solidFill>
              <a:schemeClr val="accent1"/>
            </a:solidFill>
            <a:ln>
              <a:noFill/>
            </a:ln>
            <a:effectLst/>
          </c:spPr>
          <c:invertIfNegative val="0"/>
          <c:cat>
            <c:strRef>
              <c:f>pivots!$A$4:$A$7</c:f>
              <c:strCache>
                <c:ptCount val="3"/>
                <c:pt idx="0">
                  <c:v>Human Resources</c:v>
                </c:pt>
                <c:pt idx="1">
                  <c:v>Research &amp; Development</c:v>
                </c:pt>
                <c:pt idx="2">
                  <c:v>Sales</c:v>
                </c:pt>
              </c:strCache>
            </c:strRef>
          </c:cat>
          <c:val>
            <c:numRef>
              <c:f>pivots!$B$4:$B$7</c:f>
              <c:numCache>
                <c:formatCode>General</c:formatCode>
                <c:ptCount val="3"/>
                <c:pt idx="0">
                  <c:v>12</c:v>
                </c:pt>
                <c:pt idx="1">
                  <c:v>134</c:v>
                </c:pt>
                <c:pt idx="2">
                  <c:v>91</c:v>
                </c:pt>
              </c:numCache>
            </c:numRef>
          </c:val>
          <c:extLst>
            <c:ext xmlns:c16="http://schemas.microsoft.com/office/drawing/2014/chart" uri="{C3380CC4-5D6E-409C-BE32-E72D297353CC}">
              <c16:uniqueId val="{00000000-A1DE-4E66-9639-B877D8FD7DB3}"/>
            </c:ext>
          </c:extLst>
        </c:ser>
        <c:dLbls>
          <c:showLegendKey val="0"/>
          <c:showVal val="0"/>
          <c:showCatName val="0"/>
          <c:showSerName val="0"/>
          <c:showPercent val="0"/>
          <c:showBubbleSize val="0"/>
        </c:dLbls>
        <c:gapWidth val="182"/>
        <c:axId val="1408730431"/>
        <c:axId val="1408726111"/>
      </c:barChart>
      <c:catAx>
        <c:axId val="140873043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8726111"/>
        <c:crosses val="autoZero"/>
        <c:auto val="1"/>
        <c:lblAlgn val="ctr"/>
        <c:lblOffset val="100"/>
        <c:noMultiLvlLbl val="0"/>
      </c:catAx>
      <c:valAx>
        <c:axId val="140872611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87304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 set.xlsx]pivots!PivotTable2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pivots!$E$3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cat>
            <c:strRef>
              <c:f>pivots!$D$4:$D$10</c:f>
              <c:strCache>
                <c:ptCount val="6"/>
                <c:pt idx="0">
                  <c:v>Human Resources</c:v>
                </c:pt>
                <c:pt idx="1">
                  <c:v>Life Sciences</c:v>
                </c:pt>
                <c:pt idx="2">
                  <c:v>Marketing</c:v>
                </c:pt>
                <c:pt idx="3">
                  <c:v>Medical</c:v>
                </c:pt>
                <c:pt idx="4">
                  <c:v>Other</c:v>
                </c:pt>
                <c:pt idx="5">
                  <c:v>Technical Degree</c:v>
                </c:pt>
              </c:strCache>
            </c:strRef>
          </c:cat>
          <c:val>
            <c:numRef>
              <c:f>pivots!$E$4:$E$10</c:f>
              <c:numCache>
                <c:formatCode>General</c:formatCode>
                <c:ptCount val="6"/>
                <c:pt idx="0">
                  <c:v>7</c:v>
                </c:pt>
                <c:pt idx="1">
                  <c:v>89</c:v>
                </c:pt>
                <c:pt idx="2">
                  <c:v>35</c:v>
                </c:pt>
                <c:pt idx="3">
                  <c:v>63</c:v>
                </c:pt>
                <c:pt idx="4">
                  <c:v>11</c:v>
                </c:pt>
                <c:pt idx="5">
                  <c:v>32</c:v>
                </c:pt>
              </c:numCache>
            </c:numRef>
          </c:val>
          <c:extLst>
            <c:ext xmlns:c16="http://schemas.microsoft.com/office/drawing/2014/chart" uri="{C3380CC4-5D6E-409C-BE32-E72D297353CC}">
              <c16:uniqueId val="{00000000-5339-4360-B21B-993E57953D5F}"/>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 set.xlsx]pivots!PivotTable3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pivots!$H$3</c:f>
              <c:strCache>
                <c:ptCount val="1"/>
                <c:pt idx="0">
                  <c:v>Total</c:v>
                </c:pt>
              </c:strCache>
            </c:strRef>
          </c:tx>
          <c:spPr>
            <a:solidFill>
              <a:schemeClr val="accent1"/>
            </a:solidFill>
            <a:ln>
              <a:noFill/>
            </a:ln>
            <a:effectLst/>
          </c:spPr>
          <c:invertIfNegative val="0"/>
          <c:cat>
            <c:strRef>
              <c:f>pivots!$G$4:$G$9</c:f>
              <c:strCache>
                <c:ptCount val="5"/>
                <c:pt idx="0">
                  <c:v>18-25</c:v>
                </c:pt>
                <c:pt idx="1">
                  <c:v>26-35</c:v>
                </c:pt>
                <c:pt idx="2">
                  <c:v>36-45</c:v>
                </c:pt>
                <c:pt idx="3">
                  <c:v>46-55</c:v>
                </c:pt>
                <c:pt idx="4">
                  <c:v>55+</c:v>
                </c:pt>
              </c:strCache>
            </c:strRef>
          </c:cat>
          <c:val>
            <c:numRef>
              <c:f>pivots!$H$4:$H$9</c:f>
              <c:numCache>
                <c:formatCode>General</c:formatCode>
                <c:ptCount val="5"/>
                <c:pt idx="0">
                  <c:v>44</c:v>
                </c:pt>
                <c:pt idx="1">
                  <c:v>116</c:v>
                </c:pt>
                <c:pt idx="2">
                  <c:v>43</c:v>
                </c:pt>
                <c:pt idx="3">
                  <c:v>26</c:v>
                </c:pt>
                <c:pt idx="4">
                  <c:v>8</c:v>
                </c:pt>
              </c:numCache>
            </c:numRef>
          </c:val>
          <c:extLst>
            <c:ext xmlns:c16="http://schemas.microsoft.com/office/drawing/2014/chart" uri="{C3380CC4-5D6E-409C-BE32-E72D297353CC}">
              <c16:uniqueId val="{00000000-15E4-4C39-B072-97BBDBD06612}"/>
            </c:ext>
          </c:extLst>
        </c:ser>
        <c:dLbls>
          <c:showLegendKey val="0"/>
          <c:showVal val="0"/>
          <c:showCatName val="0"/>
          <c:showSerName val="0"/>
          <c:showPercent val="0"/>
          <c:showBubbleSize val="0"/>
        </c:dLbls>
        <c:gapWidth val="219"/>
        <c:overlap val="-27"/>
        <c:axId val="1441069775"/>
        <c:axId val="1441070255"/>
      </c:barChart>
      <c:catAx>
        <c:axId val="14410697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1070255"/>
        <c:crosses val="autoZero"/>
        <c:auto val="1"/>
        <c:lblAlgn val="ctr"/>
        <c:lblOffset val="100"/>
        <c:noMultiLvlLbl val="0"/>
      </c:catAx>
      <c:valAx>
        <c:axId val="14410702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10697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 set.xlsx]pivots!PivotTable5</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pivots!$K$10</c:f>
              <c:strCache>
                <c:ptCount val="1"/>
                <c:pt idx="0">
                  <c:v>Total</c:v>
                </c:pt>
              </c:strCache>
            </c:strRef>
          </c:tx>
          <c:spPr>
            <a:solidFill>
              <a:schemeClr val="accent1"/>
            </a:solidFill>
            <a:ln>
              <a:noFill/>
            </a:ln>
            <a:effectLst/>
          </c:spPr>
          <c:invertIfNegative val="0"/>
          <c:cat>
            <c:strRef>
              <c:f>pivots!$J$11:$J$16</c:f>
              <c:strCache>
                <c:ptCount val="5"/>
                <c:pt idx="0">
                  <c:v>Entry Level</c:v>
                </c:pt>
                <c:pt idx="1">
                  <c:v>Executive Level</c:v>
                </c:pt>
                <c:pt idx="2">
                  <c:v>Junior Level</c:v>
                </c:pt>
                <c:pt idx="3">
                  <c:v>Mid Level</c:v>
                </c:pt>
                <c:pt idx="4">
                  <c:v>Senior Level</c:v>
                </c:pt>
              </c:strCache>
            </c:strRef>
          </c:cat>
          <c:val>
            <c:numRef>
              <c:f>pivots!$K$11:$K$16</c:f>
              <c:numCache>
                <c:formatCode>General</c:formatCode>
                <c:ptCount val="5"/>
                <c:pt idx="0">
                  <c:v>143</c:v>
                </c:pt>
                <c:pt idx="1">
                  <c:v>5</c:v>
                </c:pt>
                <c:pt idx="2">
                  <c:v>52</c:v>
                </c:pt>
                <c:pt idx="3">
                  <c:v>32</c:v>
                </c:pt>
                <c:pt idx="4">
                  <c:v>5</c:v>
                </c:pt>
              </c:numCache>
            </c:numRef>
          </c:val>
          <c:extLst>
            <c:ext xmlns:c16="http://schemas.microsoft.com/office/drawing/2014/chart" uri="{C3380CC4-5D6E-409C-BE32-E72D297353CC}">
              <c16:uniqueId val="{00000003-C3C2-4A0A-A3B1-E9245CF02EEF}"/>
            </c:ext>
          </c:extLst>
        </c:ser>
        <c:dLbls>
          <c:showLegendKey val="0"/>
          <c:showVal val="0"/>
          <c:showCatName val="0"/>
          <c:showSerName val="0"/>
          <c:showPercent val="0"/>
          <c:showBubbleSize val="0"/>
        </c:dLbls>
        <c:gapWidth val="182"/>
        <c:axId val="1465747359"/>
        <c:axId val="1465764639"/>
      </c:barChart>
      <c:catAx>
        <c:axId val="146574735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5764639"/>
        <c:crosses val="autoZero"/>
        <c:auto val="1"/>
        <c:lblAlgn val="ctr"/>
        <c:lblOffset val="100"/>
        <c:noMultiLvlLbl val="0"/>
      </c:catAx>
      <c:valAx>
        <c:axId val="146576463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57473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 set.xlsx]pivots!PivotTable6</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pivots!$N$3</c:f>
              <c:strCache>
                <c:ptCount val="1"/>
                <c:pt idx="0">
                  <c:v>Total</c:v>
                </c:pt>
              </c:strCache>
            </c:strRef>
          </c:tx>
          <c:spPr>
            <a:solidFill>
              <a:schemeClr val="accent1"/>
            </a:solidFill>
            <a:ln>
              <a:noFill/>
            </a:ln>
            <a:effectLst/>
          </c:spPr>
          <c:invertIfNegative val="0"/>
          <c:cat>
            <c:strRef>
              <c:f>pivots!$M$4:$M$7</c:f>
              <c:strCache>
                <c:ptCount val="3"/>
                <c:pt idx="0">
                  <c:v>Human Resources</c:v>
                </c:pt>
                <c:pt idx="1">
                  <c:v>Research &amp; Development</c:v>
                </c:pt>
                <c:pt idx="2">
                  <c:v>Sales</c:v>
                </c:pt>
              </c:strCache>
            </c:strRef>
          </c:cat>
          <c:val>
            <c:numRef>
              <c:f>pivots!$N$4:$N$7</c:f>
              <c:numCache>
                <c:formatCode>General</c:formatCode>
                <c:ptCount val="3"/>
                <c:pt idx="0">
                  <c:v>63</c:v>
                </c:pt>
                <c:pt idx="1">
                  <c:v>962</c:v>
                </c:pt>
                <c:pt idx="2">
                  <c:v>445</c:v>
                </c:pt>
              </c:numCache>
            </c:numRef>
          </c:val>
          <c:extLst>
            <c:ext xmlns:c16="http://schemas.microsoft.com/office/drawing/2014/chart" uri="{C3380CC4-5D6E-409C-BE32-E72D297353CC}">
              <c16:uniqueId val="{00000000-A9A1-46E8-8788-24C32EE23ACB}"/>
            </c:ext>
          </c:extLst>
        </c:ser>
        <c:dLbls>
          <c:showLegendKey val="0"/>
          <c:showVal val="0"/>
          <c:showCatName val="0"/>
          <c:showSerName val="0"/>
          <c:showPercent val="0"/>
          <c:showBubbleSize val="0"/>
        </c:dLbls>
        <c:gapWidth val="219"/>
        <c:overlap val="-27"/>
        <c:axId val="267140975"/>
        <c:axId val="267141455"/>
      </c:barChart>
      <c:catAx>
        <c:axId val="2671409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7141455"/>
        <c:crosses val="autoZero"/>
        <c:auto val="1"/>
        <c:lblAlgn val="ctr"/>
        <c:lblOffset val="100"/>
        <c:noMultiLvlLbl val="0"/>
      </c:catAx>
      <c:valAx>
        <c:axId val="2671414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71409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 set.xlsx]pivots!PivotTable7</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pivots!$Q$3</c:f>
              <c:strCache>
                <c:ptCount val="1"/>
                <c:pt idx="0">
                  <c:v>Total</c:v>
                </c:pt>
              </c:strCache>
            </c:strRef>
          </c:tx>
          <c:spPr>
            <a:ln w="28575" cap="rnd">
              <a:solidFill>
                <a:schemeClr val="accent1"/>
              </a:solidFill>
              <a:round/>
            </a:ln>
            <a:effectLst/>
          </c:spPr>
          <c:marker>
            <c:symbol val="none"/>
          </c:marker>
          <c:cat>
            <c:strRef>
              <c:f>pivots!$P$4:$P$41</c:f>
              <c:strCache>
                <c:ptCount val="37"/>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29</c:v>
                </c:pt>
                <c:pt idx="29">
                  <c:v>30</c:v>
                </c:pt>
                <c:pt idx="30">
                  <c:v>31</c:v>
                </c:pt>
                <c:pt idx="31">
                  <c:v>32</c:v>
                </c:pt>
                <c:pt idx="32">
                  <c:v>33</c:v>
                </c:pt>
                <c:pt idx="33">
                  <c:v>34</c:v>
                </c:pt>
                <c:pt idx="34">
                  <c:v>36</c:v>
                </c:pt>
                <c:pt idx="35">
                  <c:v>37</c:v>
                </c:pt>
                <c:pt idx="36">
                  <c:v>40</c:v>
                </c:pt>
              </c:strCache>
            </c:strRef>
          </c:cat>
          <c:val>
            <c:numRef>
              <c:f>pivots!$Q$4:$Q$41</c:f>
              <c:numCache>
                <c:formatCode>General</c:formatCode>
                <c:ptCount val="37"/>
                <c:pt idx="0">
                  <c:v>44</c:v>
                </c:pt>
                <c:pt idx="1">
                  <c:v>171</c:v>
                </c:pt>
                <c:pt idx="2">
                  <c:v>127</c:v>
                </c:pt>
                <c:pt idx="3">
                  <c:v>128</c:v>
                </c:pt>
                <c:pt idx="4">
                  <c:v>110</c:v>
                </c:pt>
                <c:pt idx="5">
                  <c:v>196</c:v>
                </c:pt>
                <c:pt idx="6">
                  <c:v>76</c:v>
                </c:pt>
                <c:pt idx="7">
                  <c:v>90</c:v>
                </c:pt>
                <c:pt idx="8">
                  <c:v>80</c:v>
                </c:pt>
                <c:pt idx="9">
                  <c:v>82</c:v>
                </c:pt>
                <c:pt idx="10">
                  <c:v>120</c:v>
                </c:pt>
                <c:pt idx="11">
                  <c:v>32</c:v>
                </c:pt>
                <c:pt idx="12">
                  <c:v>14</c:v>
                </c:pt>
                <c:pt idx="13">
                  <c:v>24</c:v>
                </c:pt>
                <c:pt idx="14">
                  <c:v>18</c:v>
                </c:pt>
                <c:pt idx="15">
                  <c:v>20</c:v>
                </c:pt>
                <c:pt idx="16">
                  <c:v>12</c:v>
                </c:pt>
                <c:pt idx="17">
                  <c:v>9</c:v>
                </c:pt>
                <c:pt idx="18">
                  <c:v>13</c:v>
                </c:pt>
                <c:pt idx="19">
                  <c:v>11</c:v>
                </c:pt>
                <c:pt idx="20">
                  <c:v>27</c:v>
                </c:pt>
                <c:pt idx="21">
                  <c:v>14</c:v>
                </c:pt>
                <c:pt idx="22">
                  <c:v>15</c:v>
                </c:pt>
                <c:pt idx="23">
                  <c:v>2</c:v>
                </c:pt>
                <c:pt idx="24">
                  <c:v>6</c:v>
                </c:pt>
                <c:pt idx="25">
                  <c:v>4</c:v>
                </c:pt>
                <c:pt idx="26">
                  <c:v>4</c:v>
                </c:pt>
                <c:pt idx="27">
                  <c:v>2</c:v>
                </c:pt>
                <c:pt idx="28">
                  <c:v>2</c:v>
                </c:pt>
                <c:pt idx="29">
                  <c:v>1</c:v>
                </c:pt>
                <c:pt idx="30">
                  <c:v>3</c:v>
                </c:pt>
                <c:pt idx="31">
                  <c:v>3</c:v>
                </c:pt>
                <c:pt idx="32">
                  <c:v>5</c:v>
                </c:pt>
                <c:pt idx="33">
                  <c:v>1</c:v>
                </c:pt>
                <c:pt idx="34">
                  <c:v>2</c:v>
                </c:pt>
                <c:pt idx="35">
                  <c:v>1</c:v>
                </c:pt>
                <c:pt idx="36">
                  <c:v>1</c:v>
                </c:pt>
              </c:numCache>
            </c:numRef>
          </c:val>
          <c:smooth val="0"/>
          <c:extLst>
            <c:ext xmlns:c16="http://schemas.microsoft.com/office/drawing/2014/chart" uri="{C3380CC4-5D6E-409C-BE32-E72D297353CC}">
              <c16:uniqueId val="{00000005-F6F1-4C21-B30C-E6036FA62846}"/>
            </c:ext>
          </c:extLst>
        </c:ser>
        <c:dLbls>
          <c:showLegendKey val="0"/>
          <c:showVal val="0"/>
          <c:showCatName val="0"/>
          <c:showSerName val="0"/>
          <c:showPercent val="0"/>
          <c:showBubbleSize val="0"/>
        </c:dLbls>
        <c:smooth val="0"/>
        <c:axId val="1469242095"/>
        <c:axId val="1469242575"/>
      </c:lineChart>
      <c:catAx>
        <c:axId val="146924209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9242575"/>
        <c:auto val="1"/>
        <c:lblAlgn val="ctr"/>
        <c:lblOffset val="100"/>
        <c:noMultiLvlLbl val="0"/>
      </c:catAx>
      <c:valAx>
        <c:axId val="14692425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9242095"/>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[HR data set.xlsx]pivots!PivotTable1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solidFill>
                  <a:schemeClr val="bg1"/>
                </a:solidFill>
              </a:rPr>
              <a:t>Attrition</a:t>
            </a:r>
            <a:r>
              <a:rPr lang="en-US" sz="1800" b="1" baseline="0">
                <a:solidFill>
                  <a:schemeClr val="bg1"/>
                </a:solidFill>
              </a:rPr>
              <a:t> By Department</a:t>
            </a:r>
            <a:endParaRPr lang="en-US" sz="1800" b="1">
              <a:solidFill>
                <a:schemeClr val="bg1"/>
              </a:solidFill>
            </a:endParaRPr>
          </a:p>
        </c:rich>
      </c:tx>
      <c:layout>
        <c:manualLayout>
          <c:xMode val="edge"/>
          <c:yMode val="edge"/>
          <c:x val="4.1674169131762334E-2"/>
          <c:y val="2.913752913752913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A891A"/>
          </a:solidFill>
          <a:ln>
            <a:noFill/>
          </a:ln>
          <a:effectLst/>
        </c:spPr>
      </c:pivotFmt>
      <c:pivotFmt>
        <c:idx val="4"/>
        <c:spPr>
          <a:solidFill>
            <a:srgbClr val="00B050"/>
          </a:solidFill>
          <a:ln>
            <a:noFill/>
          </a:ln>
          <a:effectLst/>
        </c:spPr>
      </c:pivotFmt>
      <c:pivotFmt>
        <c:idx val="5"/>
        <c:spPr>
          <a:solidFill>
            <a:srgbClr val="FF0000"/>
          </a:solidFill>
          <a:ln>
            <a:noFill/>
          </a:ln>
          <a:effectLst/>
        </c:spPr>
      </c:pivotFmt>
    </c:pivotFmts>
    <c:plotArea>
      <c:layout>
        <c:manualLayout>
          <c:layoutTarget val="inner"/>
          <c:xMode val="edge"/>
          <c:yMode val="edge"/>
          <c:x val="0.26562918292200771"/>
          <c:y val="0.22573187966888755"/>
          <c:w val="0.6520167815810588"/>
          <c:h val="0.72580207365383675"/>
        </c:manualLayout>
      </c:layout>
      <c:barChart>
        <c:barDir val="bar"/>
        <c:grouping val="clustered"/>
        <c:varyColors val="0"/>
        <c:ser>
          <c:idx val="0"/>
          <c:order val="0"/>
          <c:tx>
            <c:strRef>
              <c:f>pivots!$B$3</c:f>
              <c:strCache>
                <c:ptCount val="1"/>
                <c:pt idx="0">
                  <c:v>Total</c:v>
                </c:pt>
              </c:strCache>
            </c:strRef>
          </c:tx>
          <c:spPr>
            <a:solidFill>
              <a:srgbClr val="002060"/>
            </a:solidFill>
            <a:ln>
              <a:noFill/>
            </a:ln>
            <a:effectLst/>
          </c:spPr>
          <c:invertIfNegative val="0"/>
          <c:dPt>
            <c:idx val="0"/>
            <c:invertIfNegative val="0"/>
            <c:bubble3D val="0"/>
            <c:spPr>
              <a:solidFill>
                <a:srgbClr val="00B050"/>
              </a:solidFill>
              <a:ln>
                <a:noFill/>
              </a:ln>
              <a:effectLst/>
            </c:spPr>
            <c:extLst>
              <c:ext xmlns:c16="http://schemas.microsoft.com/office/drawing/2014/chart" uri="{C3380CC4-5D6E-409C-BE32-E72D297353CC}">
                <c16:uniqueId val="{00000002-0ADF-4094-A4C2-6FB2106FAF9D}"/>
              </c:ext>
            </c:extLst>
          </c:dPt>
          <c:dPt>
            <c:idx val="1"/>
            <c:invertIfNegative val="0"/>
            <c:bubble3D val="0"/>
            <c:spPr>
              <a:solidFill>
                <a:srgbClr val="FF0000"/>
              </a:solidFill>
              <a:ln>
                <a:noFill/>
              </a:ln>
              <a:effectLst/>
            </c:spPr>
            <c:extLst>
              <c:ext xmlns:c16="http://schemas.microsoft.com/office/drawing/2014/chart" uri="{C3380CC4-5D6E-409C-BE32-E72D297353CC}">
                <c16:uniqueId val="{00000003-0ADF-4094-A4C2-6FB2106FAF9D}"/>
              </c:ext>
            </c:extLst>
          </c:dPt>
          <c:dPt>
            <c:idx val="2"/>
            <c:invertIfNegative val="0"/>
            <c:bubble3D val="0"/>
            <c:spPr>
              <a:solidFill>
                <a:srgbClr val="FA891A"/>
              </a:solidFill>
              <a:ln>
                <a:noFill/>
              </a:ln>
              <a:effectLst/>
            </c:spPr>
            <c:extLst>
              <c:ext xmlns:c16="http://schemas.microsoft.com/office/drawing/2014/chart" uri="{C3380CC4-5D6E-409C-BE32-E72D297353CC}">
                <c16:uniqueId val="{00000001-0ADF-4094-A4C2-6FB2106FAF9D}"/>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pivots!$A$4:$A$7</c:f>
              <c:strCache>
                <c:ptCount val="3"/>
                <c:pt idx="0">
                  <c:v>Human Resources</c:v>
                </c:pt>
                <c:pt idx="1">
                  <c:v>Research &amp; Development</c:v>
                </c:pt>
                <c:pt idx="2">
                  <c:v>Sales</c:v>
                </c:pt>
              </c:strCache>
            </c:strRef>
          </c:cat>
          <c:val>
            <c:numRef>
              <c:f>pivots!$B$4:$B$7</c:f>
              <c:numCache>
                <c:formatCode>General</c:formatCode>
                <c:ptCount val="3"/>
                <c:pt idx="0">
                  <c:v>12</c:v>
                </c:pt>
                <c:pt idx="1">
                  <c:v>134</c:v>
                </c:pt>
                <c:pt idx="2">
                  <c:v>91</c:v>
                </c:pt>
              </c:numCache>
            </c:numRef>
          </c:val>
          <c:extLst>
            <c:ext xmlns:c16="http://schemas.microsoft.com/office/drawing/2014/chart" uri="{C3380CC4-5D6E-409C-BE32-E72D297353CC}">
              <c16:uniqueId val="{00000000-0ADF-4094-A4C2-6FB2106FAF9D}"/>
            </c:ext>
          </c:extLst>
        </c:ser>
        <c:dLbls>
          <c:dLblPos val="outEnd"/>
          <c:showLegendKey val="0"/>
          <c:showVal val="1"/>
          <c:showCatName val="0"/>
          <c:showSerName val="0"/>
          <c:showPercent val="0"/>
          <c:showBubbleSize val="0"/>
        </c:dLbls>
        <c:gapWidth val="182"/>
        <c:axId val="1408730431"/>
        <c:axId val="1408726111"/>
      </c:barChart>
      <c:catAx>
        <c:axId val="140873043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408726111"/>
        <c:crosses val="autoZero"/>
        <c:auto val="1"/>
        <c:lblAlgn val="ctr"/>
        <c:lblOffset val="100"/>
        <c:noMultiLvlLbl val="0"/>
      </c:catAx>
      <c:valAx>
        <c:axId val="1408726111"/>
        <c:scaling>
          <c:orientation val="minMax"/>
        </c:scaling>
        <c:delete val="1"/>
        <c:axPos val="b"/>
        <c:numFmt formatCode="General" sourceLinked="1"/>
        <c:majorTickMark val="none"/>
        <c:minorTickMark val="none"/>
        <c:tickLblPos val="nextTo"/>
        <c:crossAx val="14087304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02060"/>
    </a:solidFill>
    <a:ln w="9525" cap="flat" cmpd="sng" algn="ctr">
      <a:solidFill>
        <a:schemeClr val="accent1">
          <a:alpha val="97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[HR data set.xlsx]pivots!PivotTable2</c:name>
    <c:fmtId val="2"/>
  </c:pivotSource>
  <c:chart>
    <c:title>
      <c:tx>
        <c:rich>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r>
              <a:rPr lang="en-US" sz="1400" b="1">
                <a:solidFill>
                  <a:schemeClr val="bg1"/>
                </a:solidFill>
              </a:rPr>
              <a:t>Attrition</a:t>
            </a:r>
            <a:r>
              <a:rPr lang="en-US" sz="1400" b="1" baseline="0">
                <a:solidFill>
                  <a:schemeClr val="bg1"/>
                </a:solidFill>
              </a:rPr>
              <a:t> By Education</a:t>
            </a:r>
            <a:endParaRPr lang="en-US" sz="1400" b="1">
              <a:solidFill>
                <a:schemeClr val="bg1"/>
              </a:solidFill>
            </a:endParaRPr>
          </a:p>
        </c:rich>
      </c:tx>
      <c:layout>
        <c:manualLayout>
          <c:xMode val="edge"/>
          <c:yMode val="edge"/>
          <c:x val="2.301387910168818E-2"/>
          <c:y val="2.2075055187637971E-2"/>
        </c:manualLayout>
      </c:layout>
      <c:overlay val="0"/>
      <c:spPr>
        <a:noFill/>
        <a:ln>
          <a:noFill/>
        </a:ln>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
      </c:pivotFmt>
      <c:pivotFmt>
        <c:idx val="1"/>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0.22697795071335927"/>
              <c:y val="-0.13245033112582782"/>
            </c:manualLayout>
          </c:layout>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0"/>
        <c:spPr>
          <a:solidFill>
            <a:srgbClr val="FF0000"/>
          </a:solidFill>
          <a:ln w="19050">
            <a:solidFill>
              <a:schemeClr val="lt1"/>
            </a:solidFill>
          </a:ln>
          <a:effectLst/>
        </c:spPr>
        <c:dLbl>
          <c:idx val="0"/>
          <c:layout>
            <c:manualLayout>
              <c:x val="0.14324341656245848"/>
              <c:y val="-3.5087719298245612E-2"/>
            </c:manualLayout>
          </c:layout>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1"/>
        <c:spPr>
          <a:solidFill>
            <a:srgbClr val="00B050"/>
          </a:solidFill>
          <a:ln w="19050">
            <a:solidFill>
              <a:schemeClr val="lt1"/>
            </a:solidFill>
          </a:ln>
          <a:effectLst/>
        </c:spPr>
        <c:dLbl>
          <c:idx val="0"/>
          <c:layout>
            <c:manualLayout>
              <c:x val="0.1880674448767834"/>
              <c:y val="7.7262693156732787E-2"/>
            </c:manualLayout>
          </c:layout>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2"/>
        <c:spPr>
          <a:solidFill>
            <a:srgbClr val="FA891A"/>
          </a:solidFill>
          <a:ln w="19050">
            <a:solidFill>
              <a:schemeClr val="lt1"/>
            </a:solidFill>
          </a:ln>
          <a:effectLst/>
        </c:spPr>
        <c:dLbl>
          <c:idx val="0"/>
          <c:layout>
            <c:manualLayout>
              <c:x val="-0.14638981645618904"/>
              <c:y val="0.12751254777363355"/>
            </c:manualLayout>
          </c:layout>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dLbl>
          <c:idx val="0"/>
          <c:layout>
            <c:manualLayout>
              <c:x val="-0.16527348348472148"/>
              <c:y val="5.5187180549799699E-3"/>
            </c:manualLayout>
          </c:layout>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4"/>
        <c:spPr>
          <a:solidFill>
            <a:schemeClr val="accent4"/>
          </a:solidFill>
          <a:ln w="19050">
            <a:solidFill>
              <a:schemeClr val="lt1"/>
            </a:solidFill>
          </a:ln>
          <a:effectLst/>
        </c:spPr>
        <c:dLbl>
          <c:idx val="0"/>
          <c:layout>
            <c:manualLayout>
              <c:x val="-0.1753349548583914"/>
              <c:y val="-8.862918450983101E-2"/>
            </c:manualLayout>
          </c:layout>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5"/>
        <c:dLbl>
          <c:idx val="0"/>
          <c:layout>
            <c:manualLayout>
              <c:x val="0.1361867704280155"/>
              <c:y val="-8.8300220750551883E-2"/>
            </c:manualLayout>
          </c:layout>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897152253874021"/>
          <c:y val="0.27317825577559635"/>
          <c:w val="0.31005299730203884"/>
          <c:h val="0.61595986941635483"/>
        </c:manualLayout>
      </c:layout>
      <c:doughnutChart>
        <c:varyColors val="1"/>
        <c:ser>
          <c:idx val="0"/>
          <c:order val="0"/>
          <c:tx>
            <c:strRef>
              <c:f>pivots!$E$3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196-4A1A-AE0C-CCA11779852A}"/>
              </c:ext>
            </c:extLst>
          </c:dPt>
          <c:dPt>
            <c:idx val="1"/>
            <c:bubble3D val="0"/>
            <c:spPr>
              <a:solidFill>
                <a:srgbClr val="FF0000"/>
              </a:solidFill>
              <a:ln w="19050">
                <a:solidFill>
                  <a:schemeClr val="lt1"/>
                </a:solidFill>
              </a:ln>
              <a:effectLst/>
            </c:spPr>
            <c:extLst>
              <c:ext xmlns:c16="http://schemas.microsoft.com/office/drawing/2014/chart" uri="{C3380CC4-5D6E-409C-BE32-E72D297353CC}">
                <c16:uniqueId val="{00000003-8196-4A1A-AE0C-CCA11779852A}"/>
              </c:ext>
            </c:extLst>
          </c:dPt>
          <c:dPt>
            <c:idx val="2"/>
            <c:bubble3D val="0"/>
            <c:spPr>
              <a:solidFill>
                <a:srgbClr val="00B050"/>
              </a:solidFill>
              <a:ln w="19050">
                <a:solidFill>
                  <a:schemeClr val="lt1"/>
                </a:solidFill>
              </a:ln>
              <a:effectLst/>
            </c:spPr>
            <c:extLst>
              <c:ext xmlns:c16="http://schemas.microsoft.com/office/drawing/2014/chart" uri="{C3380CC4-5D6E-409C-BE32-E72D297353CC}">
                <c16:uniqueId val="{00000005-8196-4A1A-AE0C-CCA11779852A}"/>
              </c:ext>
            </c:extLst>
          </c:dPt>
          <c:dPt>
            <c:idx val="3"/>
            <c:bubble3D val="0"/>
            <c:spPr>
              <a:solidFill>
                <a:srgbClr val="FA891A"/>
              </a:solidFill>
              <a:ln w="19050">
                <a:solidFill>
                  <a:schemeClr val="lt1"/>
                </a:solidFill>
              </a:ln>
              <a:effectLst/>
            </c:spPr>
            <c:extLst>
              <c:ext xmlns:c16="http://schemas.microsoft.com/office/drawing/2014/chart" uri="{C3380CC4-5D6E-409C-BE32-E72D297353CC}">
                <c16:uniqueId val="{00000007-8196-4A1A-AE0C-CCA11779852A}"/>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8196-4A1A-AE0C-CCA11779852A}"/>
              </c:ext>
            </c:extLst>
          </c:dPt>
          <c:dPt>
            <c:idx val="5"/>
            <c:bubble3D val="0"/>
            <c:spPr>
              <a:solidFill>
                <a:schemeClr val="accent4"/>
              </a:solidFill>
              <a:ln w="19050">
                <a:solidFill>
                  <a:schemeClr val="lt1"/>
                </a:solidFill>
              </a:ln>
              <a:effectLst/>
            </c:spPr>
            <c:extLst>
              <c:ext xmlns:c16="http://schemas.microsoft.com/office/drawing/2014/chart" uri="{C3380CC4-5D6E-409C-BE32-E72D297353CC}">
                <c16:uniqueId val="{0000000B-8196-4A1A-AE0C-CCA11779852A}"/>
              </c:ext>
            </c:extLst>
          </c:dPt>
          <c:dLbls>
            <c:dLbl>
              <c:idx val="0"/>
              <c:layout>
                <c:manualLayout>
                  <c:x val="0.22697795071335927"/>
                  <c:y val="-0.1324503311258278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8196-4A1A-AE0C-CCA11779852A}"/>
                </c:ext>
              </c:extLst>
            </c:dLbl>
            <c:dLbl>
              <c:idx val="1"/>
              <c:layout>
                <c:manualLayout>
                  <c:x val="0.14324341656245848"/>
                  <c:y val="-3.5087719298245612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8196-4A1A-AE0C-CCA11779852A}"/>
                </c:ext>
              </c:extLst>
            </c:dLbl>
            <c:dLbl>
              <c:idx val="2"/>
              <c:layout>
                <c:manualLayout>
                  <c:x val="0.1880674448767834"/>
                  <c:y val="7.7262693156732787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8196-4A1A-AE0C-CCA11779852A}"/>
                </c:ext>
              </c:extLst>
            </c:dLbl>
            <c:dLbl>
              <c:idx val="3"/>
              <c:layout>
                <c:manualLayout>
                  <c:x val="-0.14638981645618904"/>
                  <c:y val="0.12751254777363355"/>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8196-4A1A-AE0C-CCA11779852A}"/>
                </c:ext>
              </c:extLst>
            </c:dLbl>
            <c:dLbl>
              <c:idx val="4"/>
              <c:layout>
                <c:manualLayout>
                  <c:x val="-0.16527348348472148"/>
                  <c:y val="5.5187180549799699E-3"/>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9-8196-4A1A-AE0C-CCA11779852A}"/>
                </c:ext>
              </c:extLst>
            </c:dLbl>
            <c:dLbl>
              <c:idx val="5"/>
              <c:layout>
                <c:manualLayout>
                  <c:x val="-0.1753349548583914"/>
                  <c:y val="-8.862918450983101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B-8196-4A1A-AE0C-CCA11779852A}"/>
                </c:ext>
              </c:extLst>
            </c:dLbl>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pivots!$D$4:$D$10</c:f>
              <c:strCache>
                <c:ptCount val="6"/>
                <c:pt idx="0">
                  <c:v>Human Resources</c:v>
                </c:pt>
                <c:pt idx="1">
                  <c:v>Life Sciences</c:v>
                </c:pt>
                <c:pt idx="2">
                  <c:v>Marketing</c:v>
                </c:pt>
                <c:pt idx="3">
                  <c:v>Medical</c:v>
                </c:pt>
                <c:pt idx="4">
                  <c:v>Other</c:v>
                </c:pt>
                <c:pt idx="5">
                  <c:v>Technical Degree</c:v>
                </c:pt>
              </c:strCache>
            </c:strRef>
          </c:cat>
          <c:val>
            <c:numRef>
              <c:f>pivots!$E$4:$E$10</c:f>
              <c:numCache>
                <c:formatCode>General</c:formatCode>
                <c:ptCount val="6"/>
                <c:pt idx="0">
                  <c:v>7</c:v>
                </c:pt>
                <c:pt idx="1">
                  <c:v>89</c:v>
                </c:pt>
                <c:pt idx="2">
                  <c:v>35</c:v>
                </c:pt>
                <c:pt idx="3">
                  <c:v>63</c:v>
                </c:pt>
                <c:pt idx="4">
                  <c:v>11</c:v>
                </c:pt>
                <c:pt idx="5">
                  <c:v>32</c:v>
                </c:pt>
              </c:numCache>
            </c:numRef>
          </c:val>
          <c:extLst>
            <c:ext xmlns:c16="http://schemas.microsoft.com/office/drawing/2014/chart" uri="{C3380CC4-5D6E-409C-BE32-E72D297353CC}">
              <c16:uniqueId val="{0000000C-8196-4A1A-AE0C-CCA11779852A}"/>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70001649008533617"/>
          <c:y val="0.25686098448220296"/>
          <c:w val="0.2967408621587671"/>
          <c:h val="0.69856729415445584"/>
        </c:manualLayout>
      </c:layout>
      <c:overlay val="0"/>
      <c:spPr>
        <a:noFill/>
        <a:ln>
          <a:noFill/>
        </a:ln>
        <a:effectLst/>
      </c:spPr>
      <c:txPr>
        <a:bodyPr rot="0" spcFirstLastPara="1" vertOverflow="ellipsis" vert="horz" wrap="square" anchor="ctr" anchorCtr="1"/>
        <a:lstStyle/>
        <a:p>
          <a:pPr>
            <a:defRPr lang="en-US" sz="1000" b="1"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B1D51"/>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[HR data set.xlsx]pivots!PivotTable5</c:name>
    <c:fmtId val="3"/>
  </c:pivotSource>
  <c:chart>
    <c:title>
      <c:tx>
        <c:rich>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r>
              <a:rPr lang="en-US" sz="1600" b="1">
                <a:solidFill>
                  <a:schemeClr val="bg1"/>
                </a:solidFill>
              </a:rPr>
              <a:t>Job</a:t>
            </a:r>
            <a:r>
              <a:rPr lang="en-US" sz="1600" b="1" baseline="0">
                <a:solidFill>
                  <a:schemeClr val="bg1"/>
                </a:solidFill>
              </a:rPr>
              <a:t> Level By Attrition</a:t>
            </a:r>
            <a:endParaRPr lang="en-US" sz="1600" b="1">
              <a:solidFill>
                <a:schemeClr val="bg1"/>
              </a:solidFill>
            </a:endParaRPr>
          </a:p>
        </c:rich>
      </c:tx>
      <c:layout>
        <c:manualLayout>
          <c:xMode val="edge"/>
          <c:yMode val="edge"/>
          <c:x val="0.28208109719737628"/>
          <c:y val="3.6989375505752042E-2"/>
        </c:manualLayout>
      </c:layout>
      <c:overlay val="0"/>
      <c:spPr>
        <a:noFill/>
        <a:ln>
          <a:noFill/>
        </a:ln>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0000"/>
          </a:solidFill>
          <a:ln>
            <a:noFill/>
          </a:ln>
          <a:effectLst/>
        </c:spPr>
      </c:pivotFmt>
      <c:pivotFmt>
        <c:idx val="6"/>
        <c:spPr>
          <a:solidFill>
            <a:srgbClr val="FA891A"/>
          </a:solidFill>
          <a:ln>
            <a:noFill/>
          </a:ln>
          <a:effectLst/>
        </c:spPr>
      </c:pivotFmt>
      <c:pivotFmt>
        <c:idx val="7"/>
        <c:spPr>
          <a:solidFill>
            <a:srgbClr val="00B050"/>
          </a:solidFill>
          <a:ln>
            <a:noFill/>
          </a:ln>
          <a:effectLst/>
        </c:spPr>
      </c:pivotFmt>
      <c:pivotFmt>
        <c:idx val="8"/>
        <c:spPr>
          <a:solidFill>
            <a:srgbClr val="FFC000"/>
          </a:solidFill>
          <a:ln>
            <a:noFill/>
          </a:ln>
          <a:effectLst/>
        </c:spPr>
      </c:pivotFmt>
      <c:pivotFmt>
        <c:idx val="9"/>
        <c:spPr>
          <a:solidFill>
            <a:schemeClr val="bg1"/>
          </a:solidFill>
          <a:ln>
            <a:noFill/>
          </a:ln>
          <a:effectLst/>
        </c:spPr>
      </c:pivotFmt>
    </c:pivotFmts>
    <c:plotArea>
      <c:layout/>
      <c:barChart>
        <c:barDir val="bar"/>
        <c:grouping val="clustered"/>
        <c:varyColors val="0"/>
        <c:ser>
          <c:idx val="0"/>
          <c:order val="0"/>
          <c:tx>
            <c:strRef>
              <c:f>pivots!$K$10</c:f>
              <c:strCache>
                <c:ptCount val="1"/>
                <c:pt idx="0">
                  <c:v>Total</c:v>
                </c:pt>
              </c:strCache>
            </c:strRef>
          </c:tx>
          <c:spPr>
            <a:solidFill>
              <a:schemeClr val="accent1"/>
            </a:solidFill>
            <a:ln>
              <a:noFill/>
            </a:ln>
            <a:effectLst/>
          </c:spPr>
          <c:invertIfNegative val="0"/>
          <c:dPt>
            <c:idx val="0"/>
            <c:invertIfNegative val="0"/>
            <c:bubble3D val="0"/>
            <c:spPr>
              <a:solidFill>
                <a:srgbClr val="FF0000"/>
              </a:solidFill>
              <a:ln>
                <a:noFill/>
              </a:ln>
              <a:effectLst/>
            </c:spPr>
            <c:extLst>
              <c:ext xmlns:c16="http://schemas.microsoft.com/office/drawing/2014/chart" uri="{C3380CC4-5D6E-409C-BE32-E72D297353CC}">
                <c16:uniqueId val="{00000001-9BD8-436A-90B4-6EDBCF7AA157}"/>
              </c:ext>
            </c:extLst>
          </c:dPt>
          <c:dPt>
            <c:idx val="1"/>
            <c:invertIfNegative val="0"/>
            <c:bubble3D val="0"/>
            <c:spPr>
              <a:solidFill>
                <a:schemeClr val="bg1"/>
              </a:solidFill>
              <a:ln>
                <a:noFill/>
              </a:ln>
              <a:effectLst/>
            </c:spPr>
            <c:extLst>
              <c:ext xmlns:c16="http://schemas.microsoft.com/office/drawing/2014/chart" uri="{C3380CC4-5D6E-409C-BE32-E72D297353CC}">
                <c16:uniqueId val="{00000005-9BD8-436A-90B4-6EDBCF7AA157}"/>
              </c:ext>
            </c:extLst>
          </c:dPt>
          <c:dPt>
            <c:idx val="2"/>
            <c:invertIfNegative val="0"/>
            <c:bubble3D val="0"/>
            <c:spPr>
              <a:solidFill>
                <a:srgbClr val="FA891A"/>
              </a:solidFill>
              <a:ln>
                <a:noFill/>
              </a:ln>
              <a:effectLst/>
            </c:spPr>
            <c:extLst>
              <c:ext xmlns:c16="http://schemas.microsoft.com/office/drawing/2014/chart" uri="{C3380CC4-5D6E-409C-BE32-E72D297353CC}">
                <c16:uniqueId val="{00000002-9BD8-436A-90B4-6EDBCF7AA157}"/>
              </c:ext>
            </c:extLst>
          </c:dPt>
          <c:dPt>
            <c:idx val="3"/>
            <c:invertIfNegative val="0"/>
            <c:bubble3D val="0"/>
            <c:spPr>
              <a:solidFill>
                <a:srgbClr val="00B050"/>
              </a:solidFill>
              <a:ln>
                <a:noFill/>
              </a:ln>
              <a:effectLst/>
            </c:spPr>
            <c:extLst>
              <c:ext xmlns:c16="http://schemas.microsoft.com/office/drawing/2014/chart" uri="{C3380CC4-5D6E-409C-BE32-E72D297353CC}">
                <c16:uniqueId val="{00000003-9BD8-436A-90B4-6EDBCF7AA157}"/>
              </c:ext>
            </c:extLst>
          </c:dPt>
          <c:dPt>
            <c:idx val="4"/>
            <c:invertIfNegative val="0"/>
            <c:bubble3D val="0"/>
            <c:spPr>
              <a:solidFill>
                <a:srgbClr val="FFC000"/>
              </a:solidFill>
              <a:ln>
                <a:noFill/>
              </a:ln>
              <a:effectLst/>
            </c:spPr>
            <c:extLst>
              <c:ext xmlns:c16="http://schemas.microsoft.com/office/drawing/2014/chart" uri="{C3380CC4-5D6E-409C-BE32-E72D297353CC}">
                <c16:uniqueId val="{00000004-9BD8-436A-90B4-6EDBCF7AA157}"/>
              </c:ext>
            </c:extLst>
          </c:dPt>
          <c:dLbls>
            <c:spPr>
              <a:no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pivots!$J$11:$J$16</c:f>
              <c:strCache>
                <c:ptCount val="5"/>
                <c:pt idx="0">
                  <c:v>Entry Level</c:v>
                </c:pt>
                <c:pt idx="1">
                  <c:v>Executive Level</c:v>
                </c:pt>
                <c:pt idx="2">
                  <c:v>Junior Level</c:v>
                </c:pt>
                <c:pt idx="3">
                  <c:v>Mid Level</c:v>
                </c:pt>
                <c:pt idx="4">
                  <c:v>Senior Level</c:v>
                </c:pt>
              </c:strCache>
            </c:strRef>
          </c:cat>
          <c:val>
            <c:numRef>
              <c:f>pivots!$K$11:$K$16</c:f>
              <c:numCache>
                <c:formatCode>General</c:formatCode>
                <c:ptCount val="5"/>
                <c:pt idx="0">
                  <c:v>143</c:v>
                </c:pt>
                <c:pt idx="1">
                  <c:v>5</c:v>
                </c:pt>
                <c:pt idx="2">
                  <c:v>52</c:v>
                </c:pt>
                <c:pt idx="3">
                  <c:v>32</c:v>
                </c:pt>
                <c:pt idx="4">
                  <c:v>5</c:v>
                </c:pt>
              </c:numCache>
            </c:numRef>
          </c:val>
          <c:extLst>
            <c:ext xmlns:c16="http://schemas.microsoft.com/office/drawing/2014/chart" uri="{C3380CC4-5D6E-409C-BE32-E72D297353CC}">
              <c16:uniqueId val="{00000000-9BD8-436A-90B4-6EDBCF7AA157}"/>
            </c:ext>
          </c:extLst>
        </c:ser>
        <c:dLbls>
          <c:dLblPos val="outEnd"/>
          <c:showLegendKey val="0"/>
          <c:showVal val="1"/>
          <c:showCatName val="0"/>
          <c:showSerName val="0"/>
          <c:showPercent val="0"/>
          <c:showBubbleSize val="0"/>
        </c:dLbls>
        <c:gapWidth val="182"/>
        <c:axId val="1465747359"/>
        <c:axId val="1465764639"/>
      </c:barChart>
      <c:catAx>
        <c:axId val="146574735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n-US"/>
          </a:p>
        </c:txPr>
        <c:crossAx val="1465764639"/>
        <c:crosses val="autoZero"/>
        <c:auto val="1"/>
        <c:lblAlgn val="ctr"/>
        <c:lblOffset val="100"/>
        <c:noMultiLvlLbl val="0"/>
      </c:catAx>
      <c:valAx>
        <c:axId val="1465764639"/>
        <c:scaling>
          <c:orientation val="minMax"/>
        </c:scaling>
        <c:delete val="1"/>
        <c:axPos val="b"/>
        <c:numFmt formatCode="General" sourceLinked="1"/>
        <c:majorTickMark val="none"/>
        <c:minorTickMark val="none"/>
        <c:tickLblPos val="nextTo"/>
        <c:crossAx val="14657473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B1D51"/>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[HR data set.xlsx]pivots!PivotTable3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a:solidFill>
                  <a:schemeClr val="bg1"/>
                </a:solidFill>
              </a:rPr>
              <a:t>Attrition</a:t>
            </a:r>
            <a:r>
              <a:rPr lang="en-US" sz="1800" baseline="0">
                <a:solidFill>
                  <a:schemeClr val="bg1"/>
                </a:solidFill>
              </a:rPr>
              <a:t> By Age Group</a:t>
            </a:r>
            <a:endParaRPr lang="en-US" sz="1800">
              <a:solidFill>
                <a:schemeClr val="bg1"/>
              </a:solidFill>
            </a:endParaRPr>
          </a:p>
        </c:rich>
      </c:tx>
      <c:layout>
        <c:manualLayout>
          <c:xMode val="edge"/>
          <c:yMode val="edge"/>
          <c:x val="2.5049701789264422E-2"/>
          <c:y val="3.66972477064220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27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0000"/>
          </a:solidFill>
          <a:ln w="12700">
            <a:noFill/>
          </a:ln>
          <a:effectLst/>
        </c:spPr>
      </c:pivotFmt>
      <c:pivotFmt>
        <c:idx val="4"/>
        <c:spPr>
          <a:solidFill>
            <a:srgbClr val="FA891A"/>
          </a:solidFill>
          <a:ln w="12700">
            <a:noFill/>
          </a:ln>
          <a:effectLst/>
        </c:spPr>
      </c:pivotFmt>
      <c:pivotFmt>
        <c:idx val="5"/>
        <c:spPr>
          <a:solidFill>
            <a:schemeClr val="bg1"/>
          </a:solidFill>
          <a:ln w="12700">
            <a:noFill/>
          </a:ln>
          <a:effectLst/>
        </c:spPr>
      </c:pivotFmt>
      <c:pivotFmt>
        <c:idx val="6"/>
        <c:spPr>
          <a:solidFill>
            <a:srgbClr val="00B050"/>
          </a:solidFill>
          <a:ln w="12700">
            <a:noFill/>
          </a:ln>
          <a:effectLst/>
        </c:spPr>
      </c:pivotFmt>
      <c:pivotFmt>
        <c:idx val="7"/>
        <c:spPr>
          <a:solidFill>
            <a:srgbClr val="FFC000"/>
          </a:solidFill>
          <a:ln w="12700">
            <a:noFill/>
          </a:ln>
          <a:effectLst/>
        </c:spPr>
      </c:pivotFmt>
    </c:pivotFmts>
    <c:plotArea>
      <c:layout/>
      <c:barChart>
        <c:barDir val="col"/>
        <c:grouping val="clustered"/>
        <c:varyColors val="0"/>
        <c:ser>
          <c:idx val="0"/>
          <c:order val="0"/>
          <c:tx>
            <c:strRef>
              <c:f>pivots!$H$3</c:f>
              <c:strCache>
                <c:ptCount val="1"/>
                <c:pt idx="0">
                  <c:v>Total</c:v>
                </c:pt>
              </c:strCache>
            </c:strRef>
          </c:tx>
          <c:spPr>
            <a:solidFill>
              <a:schemeClr val="accent1"/>
            </a:solidFill>
            <a:ln w="12700">
              <a:noFill/>
            </a:ln>
            <a:effectLst/>
          </c:spPr>
          <c:invertIfNegative val="0"/>
          <c:dPt>
            <c:idx val="0"/>
            <c:invertIfNegative val="0"/>
            <c:bubble3D val="0"/>
            <c:spPr>
              <a:solidFill>
                <a:srgbClr val="FA891A"/>
              </a:solidFill>
              <a:ln w="12700">
                <a:noFill/>
              </a:ln>
              <a:effectLst/>
            </c:spPr>
            <c:extLst>
              <c:ext xmlns:c16="http://schemas.microsoft.com/office/drawing/2014/chart" uri="{C3380CC4-5D6E-409C-BE32-E72D297353CC}">
                <c16:uniqueId val="{00000002-F956-4A74-B0D1-A0B4CEDFD817}"/>
              </c:ext>
            </c:extLst>
          </c:dPt>
          <c:dPt>
            <c:idx val="1"/>
            <c:invertIfNegative val="0"/>
            <c:bubble3D val="0"/>
            <c:spPr>
              <a:solidFill>
                <a:srgbClr val="FF0000"/>
              </a:solidFill>
              <a:ln w="12700">
                <a:noFill/>
              </a:ln>
              <a:effectLst/>
            </c:spPr>
            <c:extLst>
              <c:ext xmlns:c16="http://schemas.microsoft.com/office/drawing/2014/chart" uri="{C3380CC4-5D6E-409C-BE32-E72D297353CC}">
                <c16:uniqueId val="{00000001-F956-4A74-B0D1-A0B4CEDFD817}"/>
              </c:ext>
            </c:extLst>
          </c:dPt>
          <c:dPt>
            <c:idx val="2"/>
            <c:invertIfNegative val="0"/>
            <c:bubble3D val="0"/>
            <c:spPr>
              <a:solidFill>
                <a:srgbClr val="00B050"/>
              </a:solidFill>
              <a:ln w="12700">
                <a:noFill/>
              </a:ln>
              <a:effectLst/>
            </c:spPr>
            <c:extLst>
              <c:ext xmlns:c16="http://schemas.microsoft.com/office/drawing/2014/chart" uri="{C3380CC4-5D6E-409C-BE32-E72D297353CC}">
                <c16:uniqueId val="{00000004-F956-4A74-B0D1-A0B4CEDFD817}"/>
              </c:ext>
            </c:extLst>
          </c:dPt>
          <c:dPt>
            <c:idx val="3"/>
            <c:invertIfNegative val="0"/>
            <c:bubble3D val="0"/>
            <c:spPr>
              <a:solidFill>
                <a:srgbClr val="FFC000"/>
              </a:solidFill>
              <a:ln w="12700">
                <a:noFill/>
              </a:ln>
              <a:effectLst/>
            </c:spPr>
            <c:extLst>
              <c:ext xmlns:c16="http://schemas.microsoft.com/office/drawing/2014/chart" uri="{C3380CC4-5D6E-409C-BE32-E72D297353CC}">
                <c16:uniqueId val="{00000005-F956-4A74-B0D1-A0B4CEDFD817}"/>
              </c:ext>
            </c:extLst>
          </c:dPt>
          <c:dPt>
            <c:idx val="4"/>
            <c:invertIfNegative val="0"/>
            <c:bubble3D val="0"/>
            <c:spPr>
              <a:solidFill>
                <a:schemeClr val="bg1"/>
              </a:solidFill>
              <a:ln w="12700">
                <a:noFill/>
              </a:ln>
              <a:effectLst/>
            </c:spPr>
            <c:extLst>
              <c:ext xmlns:c16="http://schemas.microsoft.com/office/drawing/2014/chart" uri="{C3380CC4-5D6E-409C-BE32-E72D297353CC}">
                <c16:uniqueId val="{00000003-F956-4A74-B0D1-A0B4CEDFD81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pivots!$G$4:$G$9</c:f>
              <c:strCache>
                <c:ptCount val="5"/>
                <c:pt idx="0">
                  <c:v>18-25</c:v>
                </c:pt>
                <c:pt idx="1">
                  <c:v>26-35</c:v>
                </c:pt>
                <c:pt idx="2">
                  <c:v>36-45</c:v>
                </c:pt>
                <c:pt idx="3">
                  <c:v>46-55</c:v>
                </c:pt>
                <c:pt idx="4">
                  <c:v>55+</c:v>
                </c:pt>
              </c:strCache>
            </c:strRef>
          </c:cat>
          <c:val>
            <c:numRef>
              <c:f>pivots!$H$4:$H$9</c:f>
              <c:numCache>
                <c:formatCode>General</c:formatCode>
                <c:ptCount val="5"/>
                <c:pt idx="0">
                  <c:v>44</c:v>
                </c:pt>
                <c:pt idx="1">
                  <c:v>116</c:v>
                </c:pt>
                <c:pt idx="2">
                  <c:v>43</c:v>
                </c:pt>
                <c:pt idx="3">
                  <c:v>26</c:v>
                </c:pt>
                <c:pt idx="4">
                  <c:v>8</c:v>
                </c:pt>
              </c:numCache>
            </c:numRef>
          </c:val>
          <c:extLst>
            <c:ext xmlns:c16="http://schemas.microsoft.com/office/drawing/2014/chart" uri="{C3380CC4-5D6E-409C-BE32-E72D297353CC}">
              <c16:uniqueId val="{00000000-F956-4A74-B0D1-A0B4CEDFD817}"/>
            </c:ext>
          </c:extLst>
        </c:ser>
        <c:dLbls>
          <c:dLblPos val="outEnd"/>
          <c:showLegendKey val="0"/>
          <c:showVal val="1"/>
          <c:showCatName val="0"/>
          <c:showSerName val="0"/>
          <c:showPercent val="0"/>
          <c:showBubbleSize val="0"/>
        </c:dLbls>
        <c:gapWidth val="219"/>
        <c:overlap val="-27"/>
        <c:axId val="1441069775"/>
        <c:axId val="1441070255"/>
      </c:barChart>
      <c:catAx>
        <c:axId val="14410697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441070255"/>
        <c:crosses val="autoZero"/>
        <c:auto val="1"/>
        <c:lblAlgn val="ctr"/>
        <c:lblOffset val="100"/>
        <c:noMultiLvlLbl val="0"/>
      </c:catAx>
      <c:valAx>
        <c:axId val="1441070255"/>
        <c:scaling>
          <c:orientation val="minMax"/>
        </c:scaling>
        <c:delete val="1"/>
        <c:axPos val="l"/>
        <c:numFmt formatCode="General" sourceLinked="1"/>
        <c:majorTickMark val="none"/>
        <c:minorTickMark val="none"/>
        <c:tickLblPos val="nextTo"/>
        <c:crossAx val="14410697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B1D5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[HR data set.xlsx]pivots!PivotTable6</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bg1"/>
                </a:solidFill>
              </a:rPr>
              <a:t>Employees</a:t>
            </a:r>
            <a:r>
              <a:rPr lang="en-US" b="1" baseline="0">
                <a:solidFill>
                  <a:schemeClr val="bg1"/>
                </a:solidFill>
              </a:rPr>
              <a:t> Per Department</a:t>
            </a:r>
            <a:endParaRPr lang="en-US" b="1">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A891A"/>
          </a:solidFill>
          <a:ln>
            <a:noFill/>
          </a:ln>
          <a:effectLst/>
        </c:spPr>
      </c:pivotFmt>
      <c:pivotFmt>
        <c:idx val="4"/>
        <c:spPr>
          <a:solidFill>
            <a:srgbClr val="00B050"/>
          </a:solidFill>
          <a:ln>
            <a:noFill/>
          </a:ln>
          <a:effectLst/>
        </c:spPr>
      </c:pivotFmt>
      <c:pivotFmt>
        <c:idx val="5"/>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pivots!$N$3</c:f>
              <c:strCache>
                <c:ptCount val="1"/>
                <c:pt idx="0">
                  <c:v>Total</c:v>
                </c:pt>
              </c:strCache>
            </c:strRef>
          </c:tx>
          <c:spPr>
            <a:solidFill>
              <a:srgbClr val="FF0000"/>
            </a:solidFill>
            <a:ln>
              <a:noFill/>
            </a:ln>
            <a:effectLst/>
          </c:spPr>
          <c:invertIfNegative val="0"/>
          <c:dPt>
            <c:idx val="0"/>
            <c:invertIfNegative val="0"/>
            <c:bubble3D val="0"/>
            <c:spPr>
              <a:solidFill>
                <a:srgbClr val="00B050"/>
              </a:solidFill>
              <a:ln>
                <a:noFill/>
              </a:ln>
              <a:effectLst/>
            </c:spPr>
            <c:extLst>
              <c:ext xmlns:c16="http://schemas.microsoft.com/office/drawing/2014/chart" uri="{C3380CC4-5D6E-409C-BE32-E72D297353CC}">
                <c16:uniqueId val="{00000002-8424-4A23-9107-5C966E0A4255}"/>
              </c:ext>
            </c:extLst>
          </c:dPt>
          <c:dPt>
            <c:idx val="2"/>
            <c:invertIfNegative val="0"/>
            <c:bubble3D val="0"/>
            <c:spPr>
              <a:solidFill>
                <a:srgbClr val="FA891A"/>
              </a:solidFill>
              <a:ln>
                <a:noFill/>
              </a:ln>
              <a:effectLst/>
            </c:spPr>
            <c:extLst>
              <c:ext xmlns:c16="http://schemas.microsoft.com/office/drawing/2014/chart" uri="{C3380CC4-5D6E-409C-BE32-E72D297353CC}">
                <c16:uniqueId val="{00000001-8424-4A23-9107-5C966E0A425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pivots!$M$4:$M$7</c:f>
              <c:strCache>
                <c:ptCount val="3"/>
                <c:pt idx="0">
                  <c:v>Human Resources</c:v>
                </c:pt>
                <c:pt idx="1">
                  <c:v>Research &amp; Development</c:v>
                </c:pt>
                <c:pt idx="2">
                  <c:v>Sales</c:v>
                </c:pt>
              </c:strCache>
            </c:strRef>
          </c:cat>
          <c:val>
            <c:numRef>
              <c:f>pivots!$N$4:$N$7</c:f>
              <c:numCache>
                <c:formatCode>General</c:formatCode>
                <c:ptCount val="3"/>
                <c:pt idx="0">
                  <c:v>63</c:v>
                </c:pt>
                <c:pt idx="1">
                  <c:v>962</c:v>
                </c:pt>
                <c:pt idx="2">
                  <c:v>445</c:v>
                </c:pt>
              </c:numCache>
            </c:numRef>
          </c:val>
          <c:extLst>
            <c:ext xmlns:c16="http://schemas.microsoft.com/office/drawing/2014/chart" uri="{C3380CC4-5D6E-409C-BE32-E72D297353CC}">
              <c16:uniqueId val="{00000000-8424-4A23-9107-5C966E0A4255}"/>
            </c:ext>
          </c:extLst>
        </c:ser>
        <c:dLbls>
          <c:dLblPos val="outEnd"/>
          <c:showLegendKey val="0"/>
          <c:showVal val="1"/>
          <c:showCatName val="0"/>
          <c:showSerName val="0"/>
          <c:showPercent val="0"/>
          <c:showBubbleSize val="0"/>
        </c:dLbls>
        <c:gapWidth val="219"/>
        <c:overlap val="-27"/>
        <c:axId val="267140975"/>
        <c:axId val="267141455"/>
      </c:barChart>
      <c:catAx>
        <c:axId val="2671409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67141455"/>
        <c:crosses val="autoZero"/>
        <c:auto val="1"/>
        <c:lblAlgn val="ctr"/>
        <c:lblOffset val="100"/>
        <c:noMultiLvlLbl val="0"/>
      </c:catAx>
      <c:valAx>
        <c:axId val="267141455"/>
        <c:scaling>
          <c:orientation val="minMax"/>
        </c:scaling>
        <c:delete val="1"/>
        <c:axPos val="l"/>
        <c:numFmt formatCode="General" sourceLinked="1"/>
        <c:majorTickMark val="none"/>
        <c:minorTickMark val="none"/>
        <c:tickLblPos val="nextTo"/>
        <c:crossAx val="2671409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B1D5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[HR data set.xlsx]pivots!PivotTable7</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bg1"/>
                </a:solidFill>
              </a:rPr>
              <a:t>Attrition</a:t>
            </a:r>
            <a:r>
              <a:rPr lang="en-US" b="1" baseline="0">
                <a:solidFill>
                  <a:schemeClr val="bg1"/>
                </a:solidFill>
              </a:rPr>
              <a:t> By years at Company</a:t>
            </a:r>
            <a:endParaRPr lang="en-US" b="1">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BF4646"/>
          </a:solidFill>
          <a:ln w="19050">
            <a:solidFill>
              <a:srgbClr val="FA891A"/>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pivots!$Q$3</c:f>
              <c:strCache>
                <c:ptCount val="1"/>
                <c:pt idx="0">
                  <c:v>Total</c:v>
                </c:pt>
              </c:strCache>
            </c:strRef>
          </c:tx>
          <c:spPr>
            <a:solidFill>
              <a:srgbClr val="BF4646"/>
            </a:solidFill>
            <a:ln w="19050">
              <a:solidFill>
                <a:srgbClr val="FA891A"/>
              </a:solidFill>
            </a:ln>
            <a:effectLst/>
          </c:spPr>
          <c:cat>
            <c:strRef>
              <c:f>pivots!$P$4:$P$41</c:f>
              <c:strCache>
                <c:ptCount val="37"/>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29</c:v>
                </c:pt>
                <c:pt idx="29">
                  <c:v>30</c:v>
                </c:pt>
                <c:pt idx="30">
                  <c:v>31</c:v>
                </c:pt>
                <c:pt idx="31">
                  <c:v>32</c:v>
                </c:pt>
                <c:pt idx="32">
                  <c:v>33</c:v>
                </c:pt>
                <c:pt idx="33">
                  <c:v>34</c:v>
                </c:pt>
                <c:pt idx="34">
                  <c:v>36</c:v>
                </c:pt>
                <c:pt idx="35">
                  <c:v>37</c:v>
                </c:pt>
                <c:pt idx="36">
                  <c:v>40</c:v>
                </c:pt>
              </c:strCache>
            </c:strRef>
          </c:cat>
          <c:val>
            <c:numRef>
              <c:f>pivots!$Q$4:$Q$41</c:f>
              <c:numCache>
                <c:formatCode>General</c:formatCode>
                <c:ptCount val="37"/>
                <c:pt idx="0">
                  <c:v>44</c:v>
                </c:pt>
                <c:pt idx="1">
                  <c:v>171</c:v>
                </c:pt>
                <c:pt idx="2">
                  <c:v>127</c:v>
                </c:pt>
                <c:pt idx="3">
                  <c:v>128</c:v>
                </c:pt>
                <c:pt idx="4">
                  <c:v>110</c:v>
                </c:pt>
                <c:pt idx="5">
                  <c:v>196</c:v>
                </c:pt>
                <c:pt idx="6">
                  <c:v>76</c:v>
                </c:pt>
                <c:pt idx="7">
                  <c:v>90</c:v>
                </c:pt>
                <c:pt idx="8">
                  <c:v>80</c:v>
                </c:pt>
                <c:pt idx="9">
                  <c:v>82</c:v>
                </c:pt>
                <c:pt idx="10">
                  <c:v>120</c:v>
                </c:pt>
                <c:pt idx="11">
                  <c:v>32</c:v>
                </c:pt>
                <c:pt idx="12">
                  <c:v>14</c:v>
                </c:pt>
                <c:pt idx="13">
                  <c:v>24</c:v>
                </c:pt>
                <c:pt idx="14">
                  <c:v>18</c:v>
                </c:pt>
                <c:pt idx="15">
                  <c:v>20</c:v>
                </c:pt>
                <c:pt idx="16">
                  <c:v>12</c:v>
                </c:pt>
                <c:pt idx="17">
                  <c:v>9</c:v>
                </c:pt>
                <c:pt idx="18">
                  <c:v>13</c:v>
                </c:pt>
                <c:pt idx="19">
                  <c:v>11</c:v>
                </c:pt>
                <c:pt idx="20">
                  <c:v>27</c:v>
                </c:pt>
                <c:pt idx="21">
                  <c:v>14</c:v>
                </c:pt>
                <c:pt idx="22">
                  <c:v>15</c:v>
                </c:pt>
                <c:pt idx="23">
                  <c:v>2</c:v>
                </c:pt>
                <c:pt idx="24">
                  <c:v>6</c:v>
                </c:pt>
                <c:pt idx="25">
                  <c:v>4</c:v>
                </c:pt>
                <c:pt idx="26">
                  <c:v>4</c:v>
                </c:pt>
                <c:pt idx="27">
                  <c:v>2</c:v>
                </c:pt>
                <c:pt idx="28">
                  <c:v>2</c:v>
                </c:pt>
                <c:pt idx="29">
                  <c:v>1</c:v>
                </c:pt>
                <c:pt idx="30">
                  <c:v>3</c:v>
                </c:pt>
                <c:pt idx="31">
                  <c:v>3</c:v>
                </c:pt>
                <c:pt idx="32">
                  <c:v>5</c:v>
                </c:pt>
                <c:pt idx="33">
                  <c:v>1</c:v>
                </c:pt>
                <c:pt idx="34">
                  <c:v>2</c:v>
                </c:pt>
                <c:pt idx="35">
                  <c:v>1</c:v>
                </c:pt>
                <c:pt idx="36">
                  <c:v>1</c:v>
                </c:pt>
              </c:numCache>
            </c:numRef>
          </c:val>
          <c:extLst>
            <c:ext xmlns:c16="http://schemas.microsoft.com/office/drawing/2014/chart" uri="{C3380CC4-5D6E-409C-BE32-E72D297353CC}">
              <c16:uniqueId val="{00000001-A42A-404F-8100-F539EDD25A9E}"/>
            </c:ext>
          </c:extLst>
        </c:ser>
        <c:dLbls>
          <c:showLegendKey val="0"/>
          <c:showVal val="0"/>
          <c:showCatName val="0"/>
          <c:showSerName val="0"/>
          <c:showPercent val="0"/>
          <c:showBubbleSize val="0"/>
        </c:dLbls>
        <c:axId val="1469242095"/>
        <c:axId val="1469242575"/>
      </c:areaChart>
      <c:catAx>
        <c:axId val="146924209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469242575"/>
        <c:crosses val="autoZero"/>
        <c:auto val="1"/>
        <c:lblAlgn val="ctr"/>
        <c:lblOffset val="100"/>
        <c:noMultiLvlLbl val="0"/>
      </c:catAx>
      <c:valAx>
        <c:axId val="1469242575"/>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469242095"/>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B1D5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2.xml"/><Relationship Id="rId3" Type="http://schemas.openxmlformats.org/officeDocument/2006/relationships/chart" Target="../charts/chart7.xml"/><Relationship Id="rId7" Type="http://schemas.openxmlformats.org/officeDocument/2006/relationships/chart" Target="../charts/chart11.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10.xml"/><Relationship Id="rId5" Type="http://schemas.openxmlformats.org/officeDocument/2006/relationships/chart" Target="../charts/chart9.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0</xdr:colOff>
      <xdr:row>8</xdr:row>
      <xdr:rowOff>7620</xdr:rowOff>
    </xdr:from>
    <xdr:to>
      <xdr:col>2</xdr:col>
      <xdr:colOff>53340</xdr:colOff>
      <xdr:row>17</xdr:row>
      <xdr:rowOff>102870</xdr:rowOff>
    </xdr:to>
    <xdr:graphicFrame macro="">
      <xdr:nvGraphicFramePr>
        <xdr:cNvPr id="2" name="Chart 1">
          <a:extLst>
            <a:ext uri="{FF2B5EF4-FFF2-40B4-BE49-F238E27FC236}">
              <a16:creationId xmlns:a16="http://schemas.microsoft.com/office/drawing/2014/main" id="{E0CE0D42-E184-948D-C403-CC5D983BFF6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251460</xdr:colOff>
      <xdr:row>10</xdr:row>
      <xdr:rowOff>137160</xdr:rowOff>
    </xdr:from>
    <xdr:to>
      <xdr:col>5</xdr:col>
      <xdr:colOff>365760</xdr:colOff>
      <xdr:row>20</xdr:row>
      <xdr:rowOff>72390</xdr:rowOff>
    </xdr:to>
    <xdr:graphicFrame macro="">
      <xdr:nvGraphicFramePr>
        <xdr:cNvPr id="3" name="Chart 2">
          <a:extLst>
            <a:ext uri="{FF2B5EF4-FFF2-40B4-BE49-F238E27FC236}">
              <a16:creationId xmlns:a16="http://schemas.microsoft.com/office/drawing/2014/main" id="{0D4F7D31-F98B-F1C7-035F-07A5DC5DDBF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975360</xdr:colOff>
      <xdr:row>12</xdr:row>
      <xdr:rowOff>137160</xdr:rowOff>
    </xdr:from>
    <xdr:to>
      <xdr:col>8</xdr:col>
      <xdr:colOff>586740</xdr:colOff>
      <xdr:row>22</xdr:row>
      <xdr:rowOff>102870</xdr:rowOff>
    </xdr:to>
    <xdr:graphicFrame macro="">
      <xdr:nvGraphicFramePr>
        <xdr:cNvPr id="4" name="Chart 3">
          <a:extLst>
            <a:ext uri="{FF2B5EF4-FFF2-40B4-BE49-F238E27FC236}">
              <a16:creationId xmlns:a16="http://schemas.microsoft.com/office/drawing/2014/main" id="{67233737-1F33-F118-6028-D261D0F18AC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274320</xdr:colOff>
      <xdr:row>16</xdr:row>
      <xdr:rowOff>137160</xdr:rowOff>
    </xdr:from>
    <xdr:to>
      <xdr:col>11</xdr:col>
      <xdr:colOff>525780</xdr:colOff>
      <xdr:row>26</xdr:row>
      <xdr:rowOff>133350</xdr:rowOff>
    </xdr:to>
    <xdr:graphicFrame macro="">
      <xdr:nvGraphicFramePr>
        <xdr:cNvPr id="5" name="Chart 4">
          <a:extLst>
            <a:ext uri="{FF2B5EF4-FFF2-40B4-BE49-F238E27FC236}">
              <a16:creationId xmlns:a16="http://schemas.microsoft.com/office/drawing/2014/main" id="{7795FD59-AFEF-2424-3505-8631EAFA53E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464820</xdr:colOff>
      <xdr:row>8</xdr:row>
      <xdr:rowOff>175260</xdr:rowOff>
    </xdr:from>
    <xdr:to>
      <xdr:col>14</xdr:col>
      <xdr:colOff>152400</xdr:colOff>
      <xdr:row>20</xdr:row>
      <xdr:rowOff>148590</xdr:rowOff>
    </xdr:to>
    <xdr:graphicFrame macro="">
      <xdr:nvGraphicFramePr>
        <xdr:cNvPr id="6" name="Chart 5">
          <a:extLst>
            <a:ext uri="{FF2B5EF4-FFF2-40B4-BE49-F238E27FC236}">
              <a16:creationId xmlns:a16="http://schemas.microsoft.com/office/drawing/2014/main" id="{B72F1126-3408-29EA-664B-9302AC826CB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518160</xdr:colOff>
      <xdr:row>13</xdr:row>
      <xdr:rowOff>106680</xdr:rowOff>
    </xdr:from>
    <xdr:to>
      <xdr:col>17</xdr:col>
      <xdr:colOff>137160</xdr:colOff>
      <xdr:row>25</xdr:row>
      <xdr:rowOff>80010</xdr:rowOff>
    </xdr:to>
    <xdr:graphicFrame macro="">
      <xdr:nvGraphicFramePr>
        <xdr:cNvPr id="7" name="Chart 6">
          <a:extLst>
            <a:ext uri="{FF2B5EF4-FFF2-40B4-BE49-F238E27FC236}">
              <a16:creationId xmlns:a16="http://schemas.microsoft.com/office/drawing/2014/main" id="{E923BDE7-D5F9-C247-1EE6-7F1DD18DB1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6</xdr:col>
      <xdr:colOff>270934</xdr:colOff>
      <xdr:row>5</xdr:row>
      <xdr:rowOff>1</xdr:rowOff>
    </xdr:from>
    <xdr:to>
      <xdr:col>7</xdr:col>
      <xdr:colOff>381001</xdr:colOff>
      <xdr:row>7</xdr:row>
      <xdr:rowOff>33867</xdr:rowOff>
    </xdr:to>
    <xdr:pic>
      <xdr:nvPicPr>
        <xdr:cNvPr id="3" name="Graphic 2" descr="Briefcase with solid fill">
          <a:extLst>
            <a:ext uri="{FF2B5EF4-FFF2-40B4-BE49-F238E27FC236}">
              <a16:creationId xmlns:a16="http://schemas.microsoft.com/office/drawing/2014/main" id="{5ED3A52A-B06B-7D76-32FC-7E95292EB10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3928534" y="931334"/>
          <a:ext cx="719667" cy="414866"/>
        </a:xfrm>
        <a:prstGeom prst="rect">
          <a:avLst/>
        </a:prstGeom>
      </xdr:spPr>
    </xdr:pic>
    <xdr:clientData/>
  </xdr:twoCellAnchor>
  <xdr:twoCellAnchor>
    <xdr:from>
      <xdr:col>0</xdr:col>
      <xdr:colOff>38100</xdr:colOff>
      <xdr:row>7</xdr:row>
      <xdr:rowOff>30480</xdr:rowOff>
    </xdr:from>
    <xdr:to>
      <xdr:col>4</xdr:col>
      <xdr:colOff>594360</xdr:colOff>
      <xdr:row>13</xdr:row>
      <xdr:rowOff>129540</xdr:rowOff>
    </xdr:to>
    <xdr:sp macro="" textlink="">
      <xdr:nvSpPr>
        <xdr:cNvPr id="4" name="Rectangle: Rounded Corners 3">
          <a:extLst>
            <a:ext uri="{FF2B5EF4-FFF2-40B4-BE49-F238E27FC236}">
              <a16:creationId xmlns:a16="http://schemas.microsoft.com/office/drawing/2014/main" id="{A2FECAF6-212B-A6D7-B641-82747FD6DB40}"/>
            </a:ext>
          </a:extLst>
        </xdr:cNvPr>
        <xdr:cNvSpPr/>
      </xdr:nvSpPr>
      <xdr:spPr>
        <a:xfrm>
          <a:off x="38100" y="1318260"/>
          <a:ext cx="2994660" cy="1196340"/>
        </a:xfrm>
        <a:prstGeom prst="roundRect">
          <a:avLst/>
        </a:prstGeom>
        <a:solidFill>
          <a:srgbClr val="0B1D5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800" b="0">
              <a:solidFill>
                <a:schemeClr val="bg1"/>
              </a:solidFill>
            </a:rPr>
            <a:t>Overall</a:t>
          </a:r>
          <a:r>
            <a:rPr lang="en-IN" sz="2800" b="0" baseline="0">
              <a:solidFill>
                <a:schemeClr val="bg1"/>
              </a:solidFill>
            </a:rPr>
            <a:t> Employee</a:t>
          </a:r>
          <a:endParaRPr lang="en-IN" sz="2800" b="0">
            <a:solidFill>
              <a:schemeClr val="bg1"/>
            </a:solidFill>
          </a:endParaRPr>
        </a:p>
      </xdr:txBody>
    </xdr:sp>
    <xdr:clientData/>
  </xdr:twoCellAnchor>
  <xdr:twoCellAnchor>
    <xdr:from>
      <xdr:col>8</xdr:col>
      <xdr:colOff>403860</xdr:colOff>
      <xdr:row>7</xdr:row>
      <xdr:rowOff>38100</xdr:rowOff>
    </xdr:from>
    <xdr:to>
      <xdr:col>11</xdr:col>
      <xdr:colOff>7620</xdr:colOff>
      <xdr:row>13</xdr:row>
      <xdr:rowOff>137160</xdr:rowOff>
    </xdr:to>
    <xdr:sp macro="" textlink="">
      <xdr:nvSpPr>
        <xdr:cNvPr id="6" name="Rectangle: Rounded Corners 5">
          <a:extLst>
            <a:ext uri="{FF2B5EF4-FFF2-40B4-BE49-F238E27FC236}">
              <a16:creationId xmlns:a16="http://schemas.microsoft.com/office/drawing/2014/main" id="{1C04ACC9-7367-4E64-9D80-3D9781BADC67}"/>
            </a:ext>
          </a:extLst>
        </xdr:cNvPr>
        <xdr:cNvSpPr/>
      </xdr:nvSpPr>
      <xdr:spPr>
        <a:xfrm>
          <a:off x="5280660" y="1325880"/>
          <a:ext cx="1432560" cy="1196340"/>
        </a:xfrm>
        <a:prstGeom prst="roundRect">
          <a:avLst/>
        </a:prstGeom>
        <a:solidFill>
          <a:srgbClr val="0B1D5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400" b="0">
              <a:solidFill>
                <a:schemeClr val="bg1"/>
              </a:solidFill>
            </a:rPr>
            <a:t>Avg</a:t>
          </a:r>
          <a:r>
            <a:rPr lang="en-IN" sz="2400" b="0" baseline="0">
              <a:solidFill>
                <a:schemeClr val="bg1"/>
              </a:solidFill>
            </a:rPr>
            <a:t> Age</a:t>
          </a:r>
          <a:endParaRPr lang="en-IN" sz="2400" b="0">
            <a:solidFill>
              <a:schemeClr val="bg1"/>
            </a:solidFill>
          </a:endParaRPr>
        </a:p>
      </xdr:txBody>
    </xdr:sp>
    <xdr:clientData/>
  </xdr:twoCellAnchor>
  <xdr:twoCellAnchor>
    <xdr:from>
      <xdr:col>19</xdr:col>
      <xdr:colOff>114300</xdr:colOff>
      <xdr:row>3</xdr:row>
      <xdr:rowOff>144780</xdr:rowOff>
    </xdr:from>
    <xdr:to>
      <xdr:col>22</xdr:col>
      <xdr:colOff>533400</xdr:colOff>
      <xdr:row>14</xdr:row>
      <xdr:rowOff>30480</xdr:rowOff>
    </xdr:to>
    <xdr:sp macro="" textlink="">
      <xdr:nvSpPr>
        <xdr:cNvPr id="7" name="Rectangle: Rounded Corners 6">
          <a:extLst>
            <a:ext uri="{FF2B5EF4-FFF2-40B4-BE49-F238E27FC236}">
              <a16:creationId xmlns:a16="http://schemas.microsoft.com/office/drawing/2014/main" id="{F7163B80-7036-4518-9522-E57B815B830C}"/>
            </a:ext>
          </a:extLst>
        </xdr:cNvPr>
        <xdr:cNvSpPr/>
      </xdr:nvSpPr>
      <xdr:spPr>
        <a:xfrm>
          <a:off x="11696700" y="693420"/>
          <a:ext cx="2247900" cy="1905000"/>
        </a:xfrm>
        <a:prstGeom prst="roundRect">
          <a:avLst/>
        </a:prstGeom>
        <a:solidFill>
          <a:srgbClr val="0B1D5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114300</xdr:colOff>
      <xdr:row>7</xdr:row>
      <xdr:rowOff>53340</xdr:rowOff>
    </xdr:from>
    <xdr:to>
      <xdr:col>14</xdr:col>
      <xdr:colOff>198120</xdr:colOff>
      <xdr:row>13</xdr:row>
      <xdr:rowOff>152400</xdr:rowOff>
    </xdr:to>
    <xdr:sp macro="" textlink="">
      <xdr:nvSpPr>
        <xdr:cNvPr id="8" name="Rectangle: Rounded Corners 7">
          <a:extLst>
            <a:ext uri="{FF2B5EF4-FFF2-40B4-BE49-F238E27FC236}">
              <a16:creationId xmlns:a16="http://schemas.microsoft.com/office/drawing/2014/main" id="{942BA3B2-3A93-4DB5-95B3-4727F8CB496C}"/>
            </a:ext>
          </a:extLst>
        </xdr:cNvPr>
        <xdr:cNvSpPr/>
      </xdr:nvSpPr>
      <xdr:spPr>
        <a:xfrm>
          <a:off x="6819900" y="1341120"/>
          <a:ext cx="1912620" cy="1196340"/>
        </a:xfrm>
        <a:prstGeom prst="roundRect">
          <a:avLst/>
        </a:prstGeom>
        <a:solidFill>
          <a:srgbClr val="0B1D5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800" b="0"/>
            <a:t>Avg</a:t>
          </a:r>
          <a:r>
            <a:rPr lang="en-IN" sz="2800" b="0" baseline="0"/>
            <a:t> Salary</a:t>
          </a:r>
          <a:endParaRPr lang="en-IN" sz="2800" b="0"/>
        </a:p>
      </xdr:txBody>
    </xdr:sp>
    <xdr:clientData/>
  </xdr:twoCellAnchor>
  <xdr:twoCellAnchor>
    <xdr:from>
      <xdr:col>19</xdr:col>
      <xdr:colOff>236220</xdr:colOff>
      <xdr:row>4</xdr:row>
      <xdr:rowOff>15240</xdr:rowOff>
    </xdr:from>
    <xdr:to>
      <xdr:col>22</xdr:col>
      <xdr:colOff>403860</xdr:colOff>
      <xdr:row>6</xdr:row>
      <xdr:rowOff>15240</xdr:rowOff>
    </xdr:to>
    <xdr:sp macro="" textlink="">
      <xdr:nvSpPr>
        <xdr:cNvPr id="9" name="TextBox 8">
          <a:extLst>
            <a:ext uri="{FF2B5EF4-FFF2-40B4-BE49-F238E27FC236}">
              <a16:creationId xmlns:a16="http://schemas.microsoft.com/office/drawing/2014/main" id="{44C3F1AD-3C73-D3E2-241F-0C4282F1A21E}"/>
            </a:ext>
          </a:extLst>
        </xdr:cNvPr>
        <xdr:cNvSpPr txBox="1"/>
      </xdr:nvSpPr>
      <xdr:spPr>
        <a:xfrm>
          <a:off x="11818620" y="746760"/>
          <a:ext cx="1996440" cy="365760"/>
        </a:xfrm>
        <a:prstGeom prst="rect">
          <a:avLst/>
        </a:prstGeom>
        <a:solidFill>
          <a:srgbClr val="0B1D5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a:solidFill>
                <a:schemeClr val="bg1"/>
              </a:solidFill>
            </a:rPr>
            <a:t>Attrition By Gender</a:t>
          </a:r>
          <a:r>
            <a:rPr lang="en-IN" sz="1600" baseline="0">
              <a:solidFill>
                <a:schemeClr val="bg1"/>
              </a:solidFill>
            </a:rPr>
            <a:t> </a:t>
          </a:r>
          <a:endParaRPr lang="en-IN" sz="1600">
            <a:solidFill>
              <a:schemeClr val="bg1"/>
            </a:solidFill>
          </a:endParaRPr>
        </a:p>
      </xdr:txBody>
    </xdr:sp>
    <xdr:clientData/>
  </xdr:twoCellAnchor>
  <xdr:twoCellAnchor>
    <xdr:from>
      <xdr:col>19</xdr:col>
      <xdr:colOff>152400</xdr:colOff>
      <xdr:row>5</xdr:row>
      <xdr:rowOff>144780</xdr:rowOff>
    </xdr:from>
    <xdr:to>
      <xdr:col>21</xdr:col>
      <xdr:colOff>38100</xdr:colOff>
      <xdr:row>13</xdr:row>
      <xdr:rowOff>0</xdr:rowOff>
    </xdr:to>
    <xdr:sp macro="" textlink="">
      <xdr:nvSpPr>
        <xdr:cNvPr id="10" name="TextBox 9">
          <a:extLst>
            <a:ext uri="{FF2B5EF4-FFF2-40B4-BE49-F238E27FC236}">
              <a16:creationId xmlns:a16="http://schemas.microsoft.com/office/drawing/2014/main" id="{1AC1E007-05E7-5E9B-51F7-140562A93ABE}"/>
            </a:ext>
          </a:extLst>
        </xdr:cNvPr>
        <xdr:cNvSpPr txBox="1"/>
      </xdr:nvSpPr>
      <xdr:spPr>
        <a:xfrm>
          <a:off x="11734800" y="1059180"/>
          <a:ext cx="1104900" cy="1325880"/>
        </a:xfrm>
        <a:prstGeom prst="rect">
          <a:avLst/>
        </a:prstGeom>
        <a:solidFill>
          <a:srgbClr val="00B0F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lvl="0"/>
          <a:r>
            <a:rPr lang="en-IN" sz="1800">
              <a:solidFill>
                <a:schemeClr val="bg1"/>
              </a:solidFill>
            </a:rPr>
            <a:t>Male</a:t>
          </a:r>
        </a:p>
        <a:p>
          <a:endParaRPr lang="en-IN" sz="1100"/>
        </a:p>
        <a:p>
          <a:endParaRPr lang="en-IN" sz="1100"/>
        </a:p>
        <a:p>
          <a:endParaRPr lang="en-IN" sz="1100"/>
        </a:p>
        <a:p>
          <a:r>
            <a:rPr lang="en-IN" sz="2400">
              <a:solidFill>
                <a:schemeClr val="bg1"/>
              </a:solidFill>
            </a:rPr>
            <a:t>150</a:t>
          </a:r>
        </a:p>
      </xdr:txBody>
    </xdr:sp>
    <xdr:clientData/>
  </xdr:twoCellAnchor>
  <xdr:twoCellAnchor>
    <xdr:from>
      <xdr:col>21</xdr:col>
      <xdr:colOff>30480</xdr:colOff>
      <xdr:row>5</xdr:row>
      <xdr:rowOff>152400</xdr:rowOff>
    </xdr:from>
    <xdr:to>
      <xdr:col>22</xdr:col>
      <xdr:colOff>449580</xdr:colOff>
      <xdr:row>13</xdr:row>
      <xdr:rowOff>0</xdr:rowOff>
    </xdr:to>
    <xdr:sp macro="" textlink="">
      <xdr:nvSpPr>
        <xdr:cNvPr id="11" name="TextBox 10">
          <a:extLst>
            <a:ext uri="{FF2B5EF4-FFF2-40B4-BE49-F238E27FC236}">
              <a16:creationId xmlns:a16="http://schemas.microsoft.com/office/drawing/2014/main" id="{A6E3EE48-88EA-8FC4-D963-3BE268FC0785}"/>
            </a:ext>
          </a:extLst>
        </xdr:cNvPr>
        <xdr:cNvSpPr txBox="1"/>
      </xdr:nvSpPr>
      <xdr:spPr>
        <a:xfrm>
          <a:off x="12832080" y="1066800"/>
          <a:ext cx="1028700" cy="1318260"/>
        </a:xfrm>
        <a:prstGeom prst="rect">
          <a:avLst/>
        </a:prstGeom>
        <a:solidFill>
          <a:srgbClr val="FFC0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a:solidFill>
                <a:schemeClr val="bg1"/>
              </a:solidFill>
            </a:rPr>
            <a:t>Female</a:t>
          </a:r>
        </a:p>
        <a:p>
          <a:endParaRPr lang="en-IN" sz="1100"/>
        </a:p>
        <a:p>
          <a:endParaRPr lang="en-IN" sz="1100"/>
        </a:p>
        <a:p>
          <a:endParaRPr lang="en-IN" sz="1100"/>
        </a:p>
        <a:p>
          <a:r>
            <a:rPr lang="en-IN" sz="2400">
              <a:solidFill>
                <a:schemeClr val="bg1"/>
              </a:solidFill>
            </a:rPr>
            <a:t>87</a:t>
          </a:r>
        </a:p>
      </xdr:txBody>
    </xdr:sp>
    <xdr:clientData/>
  </xdr:twoCellAnchor>
  <xdr:twoCellAnchor>
    <xdr:from>
      <xdr:col>5</xdr:col>
      <xdr:colOff>53340</xdr:colOff>
      <xdr:row>7</xdr:row>
      <xdr:rowOff>30480</xdr:rowOff>
    </xdr:from>
    <xdr:to>
      <xdr:col>8</xdr:col>
      <xdr:colOff>289560</xdr:colOff>
      <xdr:row>13</xdr:row>
      <xdr:rowOff>129540</xdr:rowOff>
    </xdr:to>
    <xdr:sp macro="" textlink="">
      <xdr:nvSpPr>
        <xdr:cNvPr id="13" name="Rectangle: Rounded Corners 12">
          <a:extLst>
            <a:ext uri="{FF2B5EF4-FFF2-40B4-BE49-F238E27FC236}">
              <a16:creationId xmlns:a16="http://schemas.microsoft.com/office/drawing/2014/main" id="{205834E1-4DAA-4A97-B411-1C54FE74A4DF}"/>
            </a:ext>
          </a:extLst>
        </xdr:cNvPr>
        <xdr:cNvSpPr/>
      </xdr:nvSpPr>
      <xdr:spPr>
        <a:xfrm>
          <a:off x="3101340" y="1318260"/>
          <a:ext cx="2065020" cy="1196340"/>
        </a:xfrm>
        <a:prstGeom prst="roundRect">
          <a:avLst/>
        </a:prstGeom>
        <a:solidFill>
          <a:srgbClr val="0B1D5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lvl="0" algn="l"/>
          <a:r>
            <a:rPr lang="en-IN" sz="2800" b="0">
              <a:solidFill>
                <a:schemeClr val="bg1"/>
              </a:solidFill>
            </a:rPr>
            <a:t>Attrition</a:t>
          </a:r>
        </a:p>
      </xdr:txBody>
    </xdr:sp>
    <xdr:clientData/>
  </xdr:twoCellAnchor>
  <xdr:twoCellAnchor>
    <xdr:from>
      <xdr:col>14</xdr:col>
      <xdr:colOff>281940</xdr:colOff>
      <xdr:row>7</xdr:row>
      <xdr:rowOff>45720</xdr:rowOff>
    </xdr:from>
    <xdr:to>
      <xdr:col>18</xdr:col>
      <xdr:colOff>411480</xdr:colOff>
      <xdr:row>13</xdr:row>
      <xdr:rowOff>144780</xdr:rowOff>
    </xdr:to>
    <xdr:sp macro="" textlink="">
      <xdr:nvSpPr>
        <xdr:cNvPr id="14" name="Rectangle: Rounded Corners 13">
          <a:extLst>
            <a:ext uri="{FF2B5EF4-FFF2-40B4-BE49-F238E27FC236}">
              <a16:creationId xmlns:a16="http://schemas.microsoft.com/office/drawing/2014/main" id="{ABDF3184-2C1A-40FE-8568-57DC1B826977}"/>
            </a:ext>
          </a:extLst>
        </xdr:cNvPr>
        <xdr:cNvSpPr/>
      </xdr:nvSpPr>
      <xdr:spPr>
        <a:xfrm>
          <a:off x="8816340" y="1333500"/>
          <a:ext cx="2567940" cy="1196340"/>
        </a:xfrm>
        <a:prstGeom prst="roundRect">
          <a:avLst/>
        </a:prstGeom>
        <a:solidFill>
          <a:srgbClr val="0B1D5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lvl="0" algn="l"/>
          <a:r>
            <a:rPr lang="en-IN" sz="2400" b="0">
              <a:solidFill>
                <a:schemeClr val="bg1"/>
              </a:solidFill>
            </a:rPr>
            <a:t>Years</a:t>
          </a:r>
          <a:r>
            <a:rPr lang="en-IN" sz="2400" b="0" baseline="0">
              <a:solidFill>
                <a:schemeClr val="bg1"/>
              </a:solidFill>
            </a:rPr>
            <a:t> At company</a:t>
          </a:r>
          <a:endParaRPr lang="en-IN" sz="2400" b="0">
            <a:solidFill>
              <a:schemeClr val="bg1"/>
            </a:solidFill>
          </a:endParaRPr>
        </a:p>
      </xdr:txBody>
    </xdr:sp>
    <xdr:clientData/>
  </xdr:twoCellAnchor>
  <xdr:twoCellAnchor>
    <xdr:from>
      <xdr:col>1</xdr:col>
      <xdr:colOff>83820</xdr:colOff>
      <xdr:row>10</xdr:row>
      <xdr:rowOff>7620</xdr:rowOff>
    </xdr:from>
    <xdr:to>
      <xdr:col>4</xdr:col>
      <xdr:colOff>167640</xdr:colOff>
      <xdr:row>12</xdr:row>
      <xdr:rowOff>175260</xdr:rowOff>
    </xdr:to>
    <xdr:sp macro="" textlink="">
      <xdr:nvSpPr>
        <xdr:cNvPr id="16" name="TextBox 15">
          <a:extLst>
            <a:ext uri="{FF2B5EF4-FFF2-40B4-BE49-F238E27FC236}">
              <a16:creationId xmlns:a16="http://schemas.microsoft.com/office/drawing/2014/main" id="{11A705E5-D89D-8C08-BC42-45AFE7089322}"/>
            </a:ext>
          </a:extLst>
        </xdr:cNvPr>
        <xdr:cNvSpPr txBox="1"/>
      </xdr:nvSpPr>
      <xdr:spPr>
        <a:xfrm>
          <a:off x="693420" y="1844040"/>
          <a:ext cx="1912620" cy="533400"/>
        </a:xfrm>
        <a:prstGeom prst="rect">
          <a:avLst/>
        </a:prstGeom>
        <a:solidFill>
          <a:srgbClr val="0B1D5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4000" b="1">
              <a:solidFill>
                <a:schemeClr val="bg1"/>
              </a:solidFill>
            </a:rPr>
            <a:t>1233</a:t>
          </a:r>
        </a:p>
      </xdr:txBody>
    </xdr:sp>
    <xdr:clientData/>
  </xdr:twoCellAnchor>
  <xdr:twoCellAnchor>
    <xdr:from>
      <xdr:col>9</xdr:col>
      <xdr:colOff>182880</xdr:colOff>
      <xdr:row>10</xdr:row>
      <xdr:rowOff>45720</xdr:rowOff>
    </xdr:from>
    <xdr:to>
      <xdr:col>10</xdr:col>
      <xdr:colOff>175260</xdr:colOff>
      <xdr:row>13</xdr:row>
      <xdr:rowOff>60960</xdr:rowOff>
    </xdr:to>
    <xdr:sp macro="" textlink="">
      <xdr:nvSpPr>
        <xdr:cNvPr id="18" name="TextBox 17">
          <a:extLst>
            <a:ext uri="{FF2B5EF4-FFF2-40B4-BE49-F238E27FC236}">
              <a16:creationId xmlns:a16="http://schemas.microsoft.com/office/drawing/2014/main" id="{5C4FD038-0201-BD3B-3630-9A7C7D43E84C}"/>
            </a:ext>
          </a:extLst>
        </xdr:cNvPr>
        <xdr:cNvSpPr txBox="1"/>
      </xdr:nvSpPr>
      <xdr:spPr>
        <a:xfrm>
          <a:off x="5669280" y="1882140"/>
          <a:ext cx="601980" cy="563880"/>
        </a:xfrm>
        <a:prstGeom prst="rect">
          <a:avLst/>
        </a:prstGeom>
        <a:solidFill>
          <a:srgbClr val="0B1D5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3200" b="1">
              <a:solidFill>
                <a:schemeClr val="bg1"/>
              </a:solidFill>
            </a:rPr>
            <a:t>39</a:t>
          </a:r>
          <a:endParaRPr lang="en-IN" sz="2800" b="1">
            <a:solidFill>
              <a:schemeClr val="bg1"/>
            </a:solidFill>
          </a:endParaRPr>
        </a:p>
      </xdr:txBody>
    </xdr:sp>
    <xdr:clientData/>
  </xdr:twoCellAnchor>
  <xdr:twoCellAnchor>
    <xdr:from>
      <xdr:col>11</xdr:col>
      <xdr:colOff>464820</xdr:colOff>
      <xdr:row>9</xdr:row>
      <xdr:rowOff>175260</xdr:rowOff>
    </xdr:from>
    <xdr:to>
      <xdr:col>13</xdr:col>
      <xdr:colOff>365760</xdr:colOff>
      <xdr:row>13</xdr:row>
      <xdr:rowOff>76200</xdr:rowOff>
    </xdr:to>
    <xdr:sp macro="" textlink="">
      <xdr:nvSpPr>
        <xdr:cNvPr id="19" name="TextBox 18">
          <a:extLst>
            <a:ext uri="{FF2B5EF4-FFF2-40B4-BE49-F238E27FC236}">
              <a16:creationId xmlns:a16="http://schemas.microsoft.com/office/drawing/2014/main" id="{6FD78C7F-C28E-15FA-42F1-250AF785A0DA}"/>
            </a:ext>
          </a:extLst>
        </xdr:cNvPr>
        <xdr:cNvSpPr txBox="1"/>
      </xdr:nvSpPr>
      <xdr:spPr>
        <a:xfrm>
          <a:off x="7170420" y="1828800"/>
          <a:ext cx="1120140" cy="632460"/>
        </a:xfrm>
        <a:prstGeom prst="rect">
          <a:avLst/>
        </a:prstGeom>
        <a:solidFill>
          <a:srgbClr val="0B1D5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4000" b="1">
              <a:solidFill>
                <a:schemeClr val="bg1"/>
              </a:solidFill>
            </a:rPr>
            <a:t>6.5k</a:t>
          </a:r>
        </a:p>
      </xdr:txBody>
    </xdr:sp>
    <xdr:clientData/>
  </xdr:twoCellAnchor>
  <xdr:twoCellAnchor>
    <xdr:from>
      <xdr:col>5</xdr:col>
      <xdr:colOff>121920</xdr:colOff>
      <xdr:row>10</xdr:row>
      <xdr:rowOff>45720</xdr:rowOff>
    </xdr:from>
    <xdr:to>
      <xdr:col>8</xdr:col>
      <xdr:colOff>60960</xdr:colOff>
      <xdr:row>13</xdr:row>
      <xdr:rowOff>15240</xdr:rowOff>
    </xdr:to>
    <xdr:sp macro="" textlink="">
      <xdr:nvSpPr>
        <xdr:cNvPr id="20" name="TextBox 19">
          <a:extLst>
            <a:ext uri="{FF2B5EF4-FFF2-40B4-BE49-F238E27FC236}">
              <a16:creationId xmlns:a16="http://schemas.microsoft.com/office/drawing/2014/main" id="{2D252B81-E90C-9A75-30F3-B0D4E7E085CE}"/>
            </a:ext>
          </a:extLst>
        </xdr:cNvPr>
        <xdr:cNvSpPr txBox="1"/>
      </xdr:nvSpPr>
      <xdr:spPr>
        <a:xfrm>
          <a:off x="3169920" y="1882140"/>
          <a:ext cx="1767840" cy="518160"/>
        </a:xfrm>
        <a:prstGeom prst="rect">
          <a:avLst/>
        </a:prstGeom>
        <a:solidFill>
          <a:srgbClr val="0B1D5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lvl="1"/>
          <a:r>
            <a:rPr lang="en-IN" sz="3200" b="1">
              <a:solidFill>
                <a:schemeClr val="bg1"/>
              </a:solidFill>
            </a:rPr>
            <a:t>25%</a:t>
          </a:r>
        </a:p>
      </xdr:txBody>
    </xdr:sp>
    <xdr:clientData/>
  </xdr:twoCellAnchor>
  <xdr:twoCellAnchor>
    <xdr:from>
      <xdr:col>15</xdr:col>
      <xdr:colOff>388620</xdr:colOff>
      <xdr:row>10</xdr:row>
      <xdr:rowOff>22860</xdr:rowOff>
    </xdr:from>
    <xdr:to>
      <xdr:col>17</xdr:col>
      <xdr:colOff>266700</xdr:colOff>
      <xdr:row>13</xdr:row>
      <xdr:rowOff>60960</xdr:rowOff>
    </xdr:to>
    <xdr:sp macro="" textlink="">
      <xdr:nvSpPr>
        <xdr:cNvPr id="21" name="TextBox 20">
          <a:extLst>
            <a:ext uri="{FF2B5EF4-FFF2-40B4-BE49-F238E27FC236}">
              <a16:creationId xmlns:a16="http://schemas.microsoft.com/office/drawing/2014/main" id="{E816FC5E-2CE7-6C59-ED68-063F457DF7E9}"/>
            </a:ext>
          </a:extLst>
        </xdr:cNvPr>
        <xdr:cNvSpPr txBox="1"/>
      </xdr:nvSpPr>
      <xdr:spPr>
        <a:xfrm>
          <a:off x="9532620" y="1859280"/>
          <a:ext cx="1097280" cy="586740"/>
        </a:xfrm>
        <a:prstGeom prst="rect">
          <a:avLst/>
        </a:prstGeom>
        <a:solidFill>
          <a:srgbClr val="0B1D5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3600" b="1">
              <a:solidFill>
                <a:schemeClr val="bg1"/>
              </a:solidFill>
            </a:rPr>
            <a:t>7.00</a:t>
          </a:r>
        </a:p>
      </xdr:txBody>
    </xdr:sp>
    <xdr:clientData/>
  </xdr:twoCellAnchor>
  <xdr:twoCellAnchor>
    <xdr:from>
      <xdr:col>0</xdr:col>
      <xdr:colOff>259080</xdr:colOff>
      <xdr:row>14</xdr:row>
      <xdr:rowOff>7620</xdr:rowOff>
    </xdr:from>
    <xdr:to>
      <xdr:col>7</xdr:col>
      <xdr:colOff>190500</xdr:colOff>
      <xdr:row>25</xdr:row>
      <xdr:rowOff>121920</xdr:rowOff>
    </xdr:to>
    <xdr:graphicFrame macro="">
      <xdr:nvGraphicFramePr>
        <xdr:cNvPr id="22" name="Chart 21">
          <a:extLst>
            <a:ext uri="{FF2B5EF4-FFF2-40B4-BE49-F238E27FC236}">
              <a16:creationId xmlns:a16="http://schemas.microsoft.com/office/drawing/2014/main" id="{3CAFFC3E-1CAC-4255-9681-5056A06FC7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487680</xdr:colOff>
      <xdr:row>14</xdr:row>
      <xdr:rowOff>60960</xdr:rowOff>
    </xdr:from>
    <xdr:to>
      <xdr:col>14</xdr:col>
      <xdr:colOff>586740</xdr:colOff>
      <xdr:row>26</xdr:row>
      <xdr:rowOff>38100</xdr:rowOff>
    </xdr:to>
    <xdr:graphicFrame macro="">
      <xdr:nvGraphicFramePr>
        <xdr:cNvPr id="23" name="Chart 22">
          <a:extLst>
            <a:ext uri="{FF2B5EF4-FFF2-40B4-BE49-F238E27FC236}">
              <a16:creationId xmlns:a16="http://schemas.microsoft.com/office/drawing/2014/main" id="{445BC599-652D-406A-A541-51C7BED9E8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243498</xdr:colOff>
      <xdr:row>26</xdr:row>
      <xdr:rowOff>166818</xdr:rowOff>
    </xdr:from>
    <xdr:to>
      <xdr:col>22</xdr:col>
      <xdr:colOff>235878</xdr:colOff>
      <xdr:row>38</xdr:row>
      <xdr:rowOff>133048</xdr:rowOff>
    </xdr:to>
    <xdr:graphicFrame macro="">
      <xdr:nvGraphicFramePr>
        <xdr:cNvPr id="24" name="Chart 23">
          <a:extLst>
            <a:ext uri="{FF2B5EF4-FFF2-40B4-BE49-F238E27FC236}">
              <a16:creationId xmlns:a16="http://schemas.microsoft.com/office/drawing/2014/main" id="{3BFDC260-F03B-4DE0-8D69-F1C0ADF307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243840</xdr:colOff>
      <xdr:row>14</xdr:row>
      <xdr:rowOff>106680</xdr:rowOff>
    </xdr:from>
    <xdr:to>
      <xdr:col>22</xdr:col>
      <xdr:colOff>320040</xdr:colOff>
      <xdr:row>26</xdr:row>
      <xdr:rowOff>72390</xdr:rowOff>
    </xdr:to>
    <xdr:graphicFrame macro="">
      <xdr:nvGraphicFramePr>
        <xdr:cNvPr id="25" name="Chart 24">
          <a:extLst>
            <a:ext uri="{FF2B5EF4-FFF2-40B4-BE49-F238E27FC236}">
              <a16:creationId xmlns:a16="http://schemas.microsoft.com/office/drawing/2014/main" id="{CAD29A71-63C6-46B7-BE7F-61437EDC61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509210</xdr:colOff>
      <xdr:row>26</xdr:row>
      <xdr:rowOff>172962</xdr:rowOff>
    </xdr:from>
    <xdr:to>
      <xdr:col>14</xdr:col>
      <xdr:colOff>486350</xdr:colOff>
      <xdr:row>38</xdr:row>
      <xdr:rowOff>146292</xdr:rowOff>
    </xdr:to>
    <xdr:graphicFrame macro="">
      <xdr:nvGraphicFramePr>
        <xdr:cNvPr id="26" name="Chart 25">
          <a:extLst>
            <a:ext uri="{FF2B5EF4-FFF2-40B4-BE49-F238E27FC236}">
              <a16:creationId xmlns:a16="http://schemas.microsoft.com/office/drawing/2014/main" id="{220AEC16-B6FA-4D1F-9BBB-DE36F2219F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170906</xdr:colOff>
      <xdr:row>26</xdr:row>
      <xdr:rowOff>173447</xdr:rowOff>
    </xdr:from>
    <xdr:to>
      <xdr:col>7</xdr:col>
      <xdr:colOff>12095</xdr:colOff>
      <xdr:row>38</xdr:row>
      <xdr:rowOff>146776</xdr:rowOff>
    </xdr:to>
    <xdr:graphicFrame macro="">
      <xdr:nvGraphicFramePr>
        <xdr:cNvPr id="28" name="Chart 27">
          <a:extLst>
            <a:ext uri="{FF2B5EF4-FFF2-40B4-BE49-F238E27FC236}">
              <a16:creationId xmlns:a16="http://schemas.microsoft.com/office/drawing/2014/main" id="{041F9B22-2471-4639-8CEC-6C824F7775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14</xdr:col>
      <xdr:colOff>53340</xdr:colOff>
      <xdr:row>0</xdr:row>
      <xdr:rowOff>60960</xdr:rowOff>
    </xdr:from>
    <xdr:to>
      <xdr:col>19</xdr:col>
      <xdr:colOff>68580</xdr:colOff>
      <xdr:row>6</xdr:row>
      <xdr:rowOff>160020</xdr:rowOff>
    </xdr:to>
    <mc:AlternateContent xmlns:mc="http://schemas.openxmlformats.org/markup-compatibility/2006">
      <mc:Choice xmlns:a14="http://schemas.microsoft.com/office/drawing/2010/main" Requires="a14">
        <xdr:graphicFrame macro="">
          <xdr:nvGraphicFramePr>
            <xdr:cNvPr id="29" name="Department">
              <a:extLst>
                <a:ext uri="{FF2B5EF4-FFF2-40B4-BE49-F238E27FC236}">
                  <a16:creationId xmlns:a16="http://schemas.microsoft.com/office/drawing/2014/main" id="{DB69605B-9CD6-075E-0A99-9AC568326FED}"/>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8587740" y="60960"/>
              <a:ext cx="3063240" cy="120940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23</xdr:col>
      <xdr:colOff>54428</xdr:colOff>
      <xdr:row>0</xdr:row>
      <xdr:rowOff>87086</xdr:rowOff>
    </xdr:from>
    <xdr:to>
      <xdr:col>33</xdr:col>
      <xdr:colOff>21771</xdr:colOff>
      <xdr:row>39</xdr:row>
      <xdr:rowOff>1</xdr:rowOff>
    </xdr:to>
    <xdr:sp macro="" textlink="">
      <xdr:nvSpPr>
        <xdr:cNvPr id="30" name="Rectangle: Rounded Corners 29">
          <a:extLst>
            <a:ext uri="{FF2B5EF4-FFF2-40B4-BE49-F238E27FC236}">
              <a16:creationId xmlns:a16="http://schemas.microsoft.com/office/drawing/2014/main" id="{CE54E46D-8827-0391-2F45-5EDE5329D042}"/>
            </a:ext>
          </a:extLst>
        </xdr:cNvPr>
        <xdr:cNvSpPr/>
      </xdr:nvSpPr>
      <xdr:spPr>
        <a:xfrm>
          <a:off x="14075228" y="87086"/>
          <a:ext cx="6063343" cy="7141029"/>
        </a:xfrm>
        <a:prstGeom prst="roundRect">
          <a:avLst/>
        </a:prstGeom>
        <a:solidFill>
          <a:srgbClr val="0B1D5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lvl="2" algn="l"/>
          <a:r>
            <a:rPr lang="en-IN" sz="4000" b="1"/>
            <a:t>INSIGHT</a:t>
          </a:r>
          <a:r>
            <a:rPr lang="en-IN" sz="4000" b="1" baseline="0"/>
            <a:t> BOX</a:t>
          </a:r>
        </a:p>
        <a:p>
          <a:pPr lvl="2" algn="l"/>
          <a:endParaRPr lang="en-IN" sz="4000" b="1" baseline="0"/>
        </a:p>
        <a:p>
          <a:pPr lvl="0" algn="l"/>
          <a:r>
            <a:rPr lang="en-IN" sz="1600"/>
            <a:t>• The </a:t>
          </a:r>
          <a:r>
            <a:rPr lang="en-IN" sz="1600" b="1"/>
            <a:t>Research &amp; Development department shows the highest attrition</a:t>
          </a:r>
          <a:r>
            <a:rPr lang="en-IN" sz="1600"/>
            <a:t>, which may be partly due to the large number of employees working in this department.</a:t>
          </a:r>
        </a:p>
        <a:p>
          <a:pPr lvl="0" algn="l"/>
          <a:br>
            <a:rPr lang="en-IN" sz="1600"/>
          </a:br>
          <a:r>
            <a:rPr lang="en-IN" sz="1600"/>
            <a:t>• Employees in the </a:t>
          </a:r>
          <a:r>
            <a:rPr lang="en-IN" sz="1600" b="1"/>
            <a:t>26–35 age group appear to leave the company more often</a:t>
          </a:r>
          <a:r>
            <a:rPr lang="en-IN" sz="1600"/>
            <a:t>, suggesting that mid-career professionals may be exploring better opportunities or growth.</a:t>
          </a:r>
        </a:p>
        <a:p>
          <a:pPr lvl="0" algn="l"/>
          <a:endParaRPr lang="en-IN" sz="1600"/>
        </a:p>
        <a:p>
          <a:pPr lvl="0" algn="l"/>
          <a:r>
            <a:rPr lang="en-IN" sz="1600"/>
            <a:t>• A large portion of employees leaving the company have </a:t>
          </a:r>
          <a:r>
            <a:rPr lang="en-IN" sz="1600" b="1"/>
            <a:t>0–9 years of experience</a:t>
          </a:r>
          <a:r>
            <a:rPr lang="en-IN" sz="1600"/>
            <a:t>, indicating that attrition is higher during the early stages of employment.</a:t>
          </a:r>
        </a:p>
        <a:p>
          <a:pPr lvl="0" algn="l"/>
          <a:endParaRPr lang="en-IN" sz="1600"/>
        </a:p>
        <a:p>
          <a:pPr lvl="0" algn="l"/>
          <a:r>
            <a:rPr lang="en-IN" sz="1600"/>
            <a:t>• </a:t>
          </a:r>
          <a:r>
            <a:rPr lang="en-IN" sz="1600" b="1"/>
            <a:t>Entry-level employees contribute the most to attrition</a:t>
          </a:r>
          <a:r>
            <a:rPr lang="en-IN" sz="1600"/>
            <a:t>, which could mean that junior employees may be facing challenges related to growth, role fit, or expectations.</a:t>
          </a:r>
        </a:p>
        <a:p>
          <a:pPr lvl="0" algn="l"/>
          <a:endParaRPr lang="en-IN" sz="1600"/>
        </a:p>
        <a:p>
          <a:pPr lvl="0" algn="l"/>
          <a:r>
            <a:rPr lang="en-IN" sz="1600"/>
            <a:t>• Employees from </a:t>
          </a:r>
          <a:r>
            <a:rPr lang="en-IN" sz="1600" b="1"/>
            <a:t>Life Sciences and Medical education backgrounds show higher attrition</a:t>
          </a:r>
          <a:r>
            <a:rPr lang="en-IN" sz="1600"/>
            <a:t>, which also reflects that a significant share of the workforce belongs to these fields.</a:t>
          </a:r>
          <a:endParaRPr lang="en-IN" sz="1600" b="1"/>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yoti" refreshedDate="46096.533895601853" createdVersion="8" refreshedVersion="8" minRefreshableVersion="3" recordCount="1470" xr:uid="{CD228247-7FFA-44C3-B5FD-E575C096355B}">
  <cacheSource type="worksheet">
    <worksheetSource name="Table1"/>
  </cacheSource>
  <cacheFields count="34">
    <cacheField name="Age" numFmtId="0">
      <sharedItems containsSemiMixedTypes="0" containsString="0" containsNumber="1" containsInteger="1" minValue="18" maxValue="60"/>
    </cacheField>
    <cacheField name="Age group" numFmtId="0">
      <sharedItems count="5">
        <s v="36-45"/>
        <s v="46-55"/>
        <s v="26-35"/>
        <s v="55+"/>
        <s v="18-25"/>
      </sharedItems>
    </cacheField>
    <cacheField name="Attrition" numFmtId="0">
      <sharedItems containsSemiMixedTypes="0" containsString="0" containsNumber="1" containsInteger="1" minValue="0" maxValue="1" count="2">
        <n v="1"/>
        <n v="0"/>
      </sharedItems>
    </cacheField>
    <cacheField name="BusinessTravel" numFmtId="0">
      <sharedItems/>
    </cacheField>
    <cacheField name="DailyRate" numFmtId="0">
      <sharedItems containsMixedTypes="1" containsNumber="1" containsInteger="1" minValue="102" maxValue="1499"/>
    </cacheField>
    <cacheField name="Department" numFmtId="0">
      <sharedItems count="4">
        <s v="Research &amp; Development"/>
        <s v="Sales"/>
        <s v="Human Resources"/>
        <s v="A2&lt;=45" u="1"/>
      </sharedItems>
    </cacheField>
    <cacheField name="DistanceFromHome" numFmtId="0">
      <sharedItems containsMixedTypes="1" containsNumber="1" containsInteger="1" minValue="1" maxValue="29"/>
    </cacheField>
    <cacheField name="Education" numFmtId="0">
      <sharedItems/>
    </cacheField>
    <cacheField name="EducationField" numFmtId="0">
      <sharedItems count="7">
        <s v="Life Sciences"/>
        <s v="Other"/>
        <s v="Medical"/>
        <s v="Marketing"/>
        <s v="Technical Degree"/>
        <s v="Human Resources"/>
        <s v="46-55" u="1"/>
      </sharedItems>
    </cacheField>
    <cacheField name="EnvironmentSatisfaction" numFmtId="0">
      <sharedItems/>
    </cacheField>
    <cacheField name="Gender" numFmtId="0">
      <sharedItems count="3">
        <s v="Male"/>
        <s v="Female"/>
        <s v="55+)" u="1"/>
      </sharedItems>
    </cacheField>
    <cacheField name="HourlyRate" numFmtId="0">
      <sharedItems containsSemiMixedTypes="0" containsString="0" containsNumber="1" containsInteger="1" minValue="30" maxValue="100"/>
    </cacheField>
    <cacheField name="JobInvolvement" numFmtId="0">
      <sharedItems/>
    </cacheField>
    <cacheField name="JobLevel" numFmtId="0">
      <sharedItems count="5">
        <s v="Junior Level"/>
        <s v="Entry Level"/>
        <s v="Mid Level"/>
        <s v="Senior Level"/>
        <s v="Executive Level"/>
      </sharedItems>
    </cacheField>
    <cacheField name="JobRole" numFmtId="0">
      <sharedItems/>
    </cacheField>
    <cacheField name="JobSatisfaction" numFmtId="0">
      <sharedItems/>
    </cacheField>
    <cacheField name="MaritalStatus" numFmtId="0">
      <sharedItems/>
    </cacheField>
    <cacheField name="MonthlyIncome" numFmtId="0">
      <sharedItems containsSemiMixedTypes="0" containsString="0" containsNumber="1" containsInteger="1" minValue="1009" maxValue="19999"/>
    </cacheField>
    <cacheField name="MonthlyRate" numFmtId="0">
      <sharedItems containsSemiMixedTypes="0" containsString="0" containsNumber="1" containsInteger="1" minValue="2094" maxValue="26999"/>
    </cacheField>
    <cacheField name="NumCompaniesWorked" numFmtId="0">
      <sharedItems containsSemiMixedTypes="0" containsString="0" containsNumber="1" containsInteger="1" minValue="0" maxValue="9"/>
    </cacheField>
    <cacheField name="OverTime" numFmtId="0">
      <sharedItems/>
    </cacheField>
    <cacheField name="PercentSalaryHike" numFmtId="0">
      <sharedItems containsSemiMixedTypes="0" containsString="0" containsNumber="1" containsInteger="1" minValue="11" maxValue="25"/>
    </cacheField>
    <cacheField name="PerformanceRating" numFmtId="0">
      <sharedItems/>
    </cacheField>
    <cacheField name="RelationshipSatisfaction" numFmtId="0">
      <sharedItems/>
    </cacheField>
    <cacheField name="StockOptionLevel" numFmtId="0">
      <sharedItems containsSemiMixedTypes="0" containsString="0" containsNumber="1" containsInteger="1" minValue="0" maxValue="3"/>
    </cacheField>
    <cacheField name="TotalWorkingYears" numFmtId="0">
      <sharedItems containsSemiMixedTypes="0" containsString="0" containsNumber="1" containsInteger="1" minValue="0" maxValue="40"/>
    </cacheField>
    <cacheField name="TrainingTimesLastYear" numFmtId="0">
      <sharedItems containsSemiMixedTypes="0" containsString="0" containsNumber="1" containsInteger="1" minValue="0" maxValue="6"/>
    </cacheField>
    <cacheField name="WorkLifeBalance" numFmtId="0">
      <sharedItems/>
    </cacheField>
    <cacheField name="YearsAtCompany" numFmtId="0">
      <sharedItems containsSemiMixedTypes="0" containsString="0" containsNumber="1" containsInteger="1" minValue="0" maxValue="40" count="37">
        <n v="6"/>
        <n v="10"/>
        <n v="0"/>
        <n v="8"/>
        <n v="2"/>
        <n v="7"/>
        <n v="1"/>
        <n v="9"/>
        <n v="5"/>
        <n v="4"/>
        <n v="25"/>
        <n v="3"/>
        <n v="12"/>
        <n v="14"/>
        <n v="22"/>
        <n v="15"/>
        <n v="27"/>
        <n v="21"/>
        <n v="17"/>
        <n v="11"/>
        <n v="13"/>
        <n v="37"/>
        <n v="16"/>
        <n v="20"/>
        <n v="40"/>
        <n v="24"/>
        <n v="33"/>
        <n v="19"/>
        <n v="36"/>
        <n v="18"/>
        <n v="29"/>
        <n v="31"/>
        <n v="32"/>
        <n v="34"/>
        <n v="26"/>
        <n v="30"/>
        <n v="23"/>
      </sharedItems>
    </cacheField>
    <cacheField name="years group" numFmtId="0">
      <sharedItems/>
    </cacheField>
    <cacheField name="YearsInCurrentRole" numFmtId="0">
      <sharedItems containsSemiMixedTypes="0" containsString="0" containsNumber="1" containsInteger="1" minValue="0" maxValue="18"/>
    </cacheField>
    <cacheField name="YearsSinceLastPromotion" numFmtId="0">
      <sharedItems containsSemiMixedTypes="0" containsString="0" containsNumber="1" containsInteger="1" minValue="0" maxValue="15"/>
    </cacheField>
    <cacheField name="YearsWithCurrManager" numFmtId="0">
      <sharedItems containsSemiMixedTypes="0" containsString="0" containsNumber="1" containsInteger="1" minValue="0" maxValue="17"/>
    </cacheField>
    <cacheField name="employe id" numFmtId="0">
      <sharedItems containsSemiMixedTypes="0" containsString="0" containsNumber="1" containsInteger="1" minValue="1" maxValue="1470"/>
    </cacheField>
  </cacheFields>
  <extLst>
    <ext xmlns:x14="http://schemas.microsoft.com/office/spreadsheetml/2009/9/main" uri="{725AE2AE-9491-48be-B2B4-4EB974FC3084}">
      <x14:pivotCacheDefinition pivotCacheId="156591172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n v="41"/>
    <x v="0"/>
    <x v="0"/>
    <s v="A2&lt;=35"/>
    <s v="26-35"/>
    <x v="0"/>
    <s v="36-45"/>
    <s v="A2&lt;=55"/>
    <x v="0"/>
    <s v="A2&gt;55"/>
    <x v="0"/>
    <n v="94"/>
    <s v="High"/>
    <x v="0"/>
    <s v="Sales Executive"/>
    <s v="Very High"/>
    <s v="Single"/>
    <n v="5993"/>
    <n v="19479"/>
    <n v="8"/>
    <s v="Yes"/>
    <n v="11"/>
    <s v="Excellent"/>
    <s v="Low"/>
    <n v="0"/>
    <n v="8"/>
    <n v="0"/>
    <s v="Bad"/>
    <x v="0"/>
    <s v="5-10"/>
    <n v="4"/>
    <n v="0"/>
    <n v="5"/>
    <n v="1"/>
  </r>
  <r>
    <n v="49"/>
    <x v="1"/>
    <x v="1"/>
    <s v="Travel_Frequently"/>
    <n v="279"/>
    <x v="0"/>
    <n v="8"/>
    <s v="Below College"/>
    <x v="0"/>
    <s v="High"/>
    <x v="0"/>
    <n v="61"/>
    <s v="Medium"/>
    <x v="0"/>
    <s v="Research Scientist"/>
    <s v="Medium"/>
    <s v="Married"/>
    <n v="5130"/>
    <n v="24907"/>
    <n v="1"/>
    <s v="No"/>
    <n v="23"/>
    <s v="Outstanding"/>
    <s v="Very High"/>
    <n v="1"/>
    <n v="10"/>
    <n v="3"/>
    <s v="Better"/>
    <x v="1"/>
    <s v="5-10"/>
    <n v="7"/>
    <n v="1"/>
    <n v="7"/>
    <n v="2"/>
  </r>
  <r>
    <n v="37"/>
    <x v="0"/>
    <x v="0"/>
    <s v="Travel_Rarely"/>
    <n v="1373"/>
    <x v="0"/>
    <n v="2"/>
    <s v="College"/>
    <x v="1"/>
    <s v="Very High"/>
    <x v="0"/>
    <n v="92"/>
    <s v="Medium"/>
    <x v="1"/>
    <s v="Laboratory Technician"/>
    <s v="High"/>
    <s v="Single"/>
    <n v="2090"/>
    <n v="2396"/>
    <n v="6"/>
    <s v="Yes"/>
    <n v="15"/>
    <s v="Excellent"/>
    <s v="Medium"/>
    <n v="0"/>
    <n v="7"/>
    <n v="3"/>
    <s v="Better"/>
    <x v="2"/>
    <s v="0-5"/>
    <n v="0"/>
    <n v="0"/>
    <n v="0"/>
    <n v="3"/>
  </r>
  <r>
    <n v="33"/>
    <x v="2"/>
    <x v="1"/>
    <s v="Travel_Frequently"/>
    <n v="1392"/>
    <x v="0"/>
    <n v="3"/>
    <s v="Master"/>
    <x v="0"/>
    <s v="Very High"/>
    <x v="1"/>
    <n v="56"/>
    <s v="High"/>
    <x v="1"/>
    <s v="Research Scientist"/>
    <s v="High"/>
    <s v="Married"/>
    <n v="2909"/>
    <n v="23159"/>
    <n v="1"/>
    <s v="Yes"/>
    <n v="11"/>
    <s v="Excellent"/>
    <s v="High"/>
    <n v="0"/>
    <n v="8"/>
    <n v="3"/>
    <s v="Better"/>
    <x v="3"/>
    <s v="5-10"/>
    <n v="7"/>
    <n v="3"/>
    <n v="0"/>
    <n v="4"/>
  </r>
  <r>
    <n v="27"/>
    <x v="2"/>
    <x v="1"/>
    <s v="Travel_Rarely"/>
    <n v="591"/>
    <x v="0"/>
    <n v="2"/>
    <s v="Below College"/>
    <x v="2"/>
    <s v="Low"/>
    <x v="0"/>
    <n v="40"/>
    <s v="High"/>
    <x v="1"/>
    <s v="Laboratory Technician"/>
    <s v="Medium"/>
    <s v="Married"/>
    <n v="3468"/>
    <n v="16632"/>
    <n v="9"/>
    <s v="No"/>
    <n v="12"/>
    <s v="Excellent"/>
    <s v="Very High"/>
    <n v="1"/>
    <n v="6"/>
    <n v="3"/>
    <s v="Better"/>
    <x v="4"/>
    <s v="0-5"/>
    <n v="2"/>
    <n v="2"/>
    <n v="2"/>
    <n v="5"/>
  </r>
  <r>
    <n v="32"/>
    <x v="2"/>
    <x v="1"/>
    <s v="Travel_Frequently"/>
    <n v="1005"/>
    <x v="0"/>
    <n v="2"/>
    <s v="College"/>
    <x v="0"/>
    <s v="Very High"/>
    <x v="0"/>
    <n v="79"/>
    <s v="High"/>
    <x v="1"/>
    <s v="Laboratory Technician"/>
    <s v="Very High"/>
    <s v="Single"/>
    <n v="3068"/>
    <n v="11864"/>
    <n v="0"/>
    <s v="No"/>
    <n v="13"/>
    <s v="Excellent"/>
    <s v="High"/>
    <n v="0"/>
    <n v="8"/>
    <n v="2"/>
    <s v="Good"/>
    <x v="5"/>
    <s v="5-10"/>
    <n v="7"/>
    <n v="3"/>
    <n v="6"/>
    <n v="6"/>
  </r>
  <r>
    <n v="59"/>
    <x v="3"/>
    <x v="1"/>
    <s v="Travel_Rarely"/>
    <n v="1324"/>
    <x v="0"/>
    <n v="3"/>
    <s v="Bachelor"/>
    <x v="2"/>
    <s v="High"/>
    <x v="1"/>
    <n v="81"/>
    <s v="Very High"/>
    <x v="1"/>
    <s v="Laboratory Technician"/>
    <s v="Low"/>
    <s v="Married"/>
    <n v="2670"/>
    <n v="9964"/>
    <n v="4"/>
    <s v="Yes"/>
    <n v="20"/>
    <s v="Outstanding"/>
    <s v="Low"/>
    <n v="3"/>
    <n v="12"/>
    <n v="3"/>
    <s v="Good"/>
    <x v="6"/>
    <s v="0-5"/>
    <n v="0"/>
    <n v="0"/>
    <n v="0"/>
    <n v="7"/>
  </r>
  <r>
    <n v="30"/>
    <x v="2"/>
    <x v="1"/>
    <s v="Travel_Rarely"/>
    <n v="1358"/>
    <x v="0"/>
    <n v="24"/>
    <s v="Below College"/>
    <x v="0"/>
    <s v="Very High"/>
    <x v="0"/>
    <n v="67"/>
    <s v="High"/>
    <x v="1"/>
    <s v="Laboratory Technician"/>
    <s v="High"/>
    <s v="Divorced"/>
    <n v="2693"/>
    <n v="13335"/>
    <n v="1"/>
    <s v="No"/>
    <n v="22"/>
    <s v="Outstanding"/>
    <s v="Medium"/>
    <n v="1"/>
    <n v="1"/>
    <n v="2"/>
    <s v="Better"/>
    <x v="6"/>
    <s v="0-5"/>
    <n v="0"/>
    <n v="0"/>
    <n v="0"/>
    <n v="8"/>
  </r>
  <r>
    <n v="38"/>
    <x v="0"/>
    <x v="1"/>
    <s v="Travel_Frequently"/>
    <n v="216"/>
    <x v="0"/>
    <n v="23"/>
    <s v="Bachelor"/>
    <x v="0"/>
    <s v="Very High"/>
    <x v="0"/>
    <n v="44"/>
    <s v="Medium"/>
    <x v="2"/>
    <s v="Manufacturing Director"/>
    <s v="High"/>
    <s v="Single"/>
    <n v="9526"/>
    <n v="8787"/>
    <n v="0"/>
    <s v="No"/>
    <n v="21"/>
    <s v="Outstanding"/>
    <s v="Medium"/>
    <n v="0"/>
    <n v="10"/>
    <n v="2"/>
    <s v="Better"/>
    <x v="7"/>
    <s v="5-10"/>
    <n v="7"/>
    <n v="1"/>
    <n v="8"/>
    <n v="9"/>
  </r>
  <r>
    <n v="36"/>
    <x v="0"/>
    <x v="1"/>
    <s v="Travel_Rarely"/>
    <n v="1299"/>
    <x v="0"/>
    <n v="27"/>
    <s v="Bachelor"/>
    <x v="2"/>
    <s v="High"/>
    <x v="0"/>
    <n v="94"/>
    <s v="High"/>
    <x v="0"/>
    <s v="Healthcare Representative"/>
    <s v="High"/>
    <s v="Married"/>
    <n v="5237"/>
    <n v="16577"/>
    <n v="6"/>
    <s v="No"/>
    <n v="13"/>
    <s v="Excellent"/>
    <s v="Medium"/>
    <n v="2"/>
    <n v="17"/>
    <n v="3"/>
    <s v="Good"/>
    <x v="5"/>
    <s v="5-10"/>
    <n v="7"/>
    <n v="7"/>
    <n v="7"/>
    <n v="10"/>
  </r>
  <r>
    <n v="35"/>
    <x v="2"/>
    <x v="1"/>
    <s v="Travel_Rarely"/>
    <n v="809"/>
    <x v="0"/>
    <n v="16"/>
    <s v="Bachelor"/>
    <x v="2"/>
    <s v="Low"/>
    <x v="0"/>
    <n v="84"/>
    <s v="Very High"/>
    <x v="1"/>
    <s v="Laboratory Technician"/>
    <s v="Medium"/>
    <s v="Married"/>
    <n v="2426"/>
    <n v="16479"/>
    <n v="0"/>
    <s v="No"/>
    <n v="13"/>
    <s v="Excellent"/>
    <s v="High"/>
    <n v="1"/>
    <n v="6"/>
    <n v="5"/>
    <s v="Better"/>
    <x v="8"/>
    <s v="0-5"/>
    <n v="4"/>
    <n v="0"/>
    <n v="3"/>
    <n v="11"/>
  </r>
  <r>
    <n v="29"/>
    <x v="2"/>
    <x v="1"/>
    <s v="Travel_Rarely"/>
    <n v="153"/>
    <x v="0"/>
    <n v="15"/>
    <s v="College"/>
    <x v="0"/>
    <s v="Very High"/>
    <x v="1"/>
    <n v="49"/>
    <s v="Medium"/>
    <x v="0"/>
    <s v="Laboratory Technician"/>
    <s v="High"/>
    <s v="Single"/>
    <n v="4193"/>
    <n v="12682"/>
    <n v="0"/>
    <s v="Yes"/>
    <n v="12"/>
    <s v="Excellent"/>
    <s v="Very High"/>
    <n v="0"/>
    <n v="10"/>
    <n v="3"/>
    <s v="Better"/>
    <x v="7"/>
    <s v="5-10"/>
    <n v="5"/>
    <n v="0"/>
    <n v="8"/>
    <n v="12"/>
  </r>
  <r>
    <n v="31"/>
    <x v="2"/>
    <x v="1"/>
    <s v="Travel_Rarely"/>
    <n v="670"/>
    <x v="0"/>
    <n v="26"/>
    <s v="Below College"/>
    <x v="0"/>
    <s v="Low"/>
    <x v="0"/>
    <n v="31"/>
    <s v="High"/>
    <x v="1"/>
    <s v="Research Scientist"/>
    <s v="High"/>
    <s v="Divorced"/>
    <n v="2911"/>
    <n v="15170"/>
    <n v="1"/>
    <s v="No"/>
    <n v="17"/>
    <s v="Excellent"/>
    <s v="Very High"/>
    <n v="1"/>
    <n v="5"/>
    <n v="1"/>
    <s v="Good"/>
    <x v="8"/>
    <s v="0-5"/>
    <n v="2"/>
    <n v="4"/>
    <n v="3"/>
    <n v="13"/>
  </r>
  <r>
    <n v="34"/>
    <x v="2"/>
    <x v="1"/>
    <s v="Travel_Rarely"/>
    <n v="1346"/>
    <x v="0"/>
    <n v="19"/>
    <s v="College"/>
    <x v="2"/>
    <s v="Medium"/>
    <x v="0"/>
    <n v="93"/>
    <s v="High"/>
    <x v="1"/>
    <s v="Laboratory Technician"/>
    <s v="Very High"/>
    <s v="Divorced"/>
    <n v="2661"/>
    <n v="8758"/>
    <n v="0"/>
    <s v="No"/>
    <n v="11"/>
    <s v="Excellent"/>
    <s v="High"/>
    <n v="1"/>
    <n v="3"/>
    <n v="2"/>
    <s v="Better"/>
    <x v="4"/>
    <s v="0-5"/>
    <n v="2"/>
    <n v="1"/>
    <n v="2"/>
    <n v="14"/>
  </r>
  <r>
    <n v="28"/>
    <x v="2"/>
    <x v="0"/>
    <s v="Travel_Rarely"/>
    <n v="103"/>
    <x v="0"/>
    <n v="24"/>
    <s v="Bachelor"/>
    <x v="0"/>
    <s v="High"/>
    <x v="0"/>
    <n v="50"/>
    <s v="Medium"/>
    <x v="1"/>
    <s v="Laboratory Technician"/>
    <s v="High"/>
    <s v="Single"/>
    <n v="2028"/>
    <n v="12947"/>
    <n v="5"/>
    <s v="Yes"/>
    <n v="14"/>
    <s v="Excellent"/>
    <s v="Medium"/>
    <n v="0"/>
    <n v="6"/>
    <n v="4"/>
    <s v="Better"/>
    <x v="9"/>
    <s v="0-5"/>
    <n v="2"/>
    <n v="0"/>
    <n v="3"/>
    <n v="15"/>
  </r>
  <r>
    <n v="29"/>
    <x v="2"/>
    <x v="1"/>
    <s v="Travel_Rarely"/>
    <n v="1389"/>
    <x v="0"/>
    <n v="21"/>
    <s v="Master"/>
    <x v="0"/>
    <s v="Medium"/>
    <x v="1"/>
    <n v="51"/>
    <s v="Very High"/>
    <x v="2"/>
    <s v="Manufacturing Director"/>
    <s v="Low"/>
    <s v="Divorced"/>
    <n v="9980"/>
    <n v="10195"/>
    <n v="1"/>
    <s v="No"/>
    <n v="11"/>
    <s v="Excellent"/>
    <s v="High"/>
    <n v="1"/>
    <n v="10"/>
    <n v="1"/>
    <s v="Better"/>
    <x v="1"/>
    <s v="5-10"/>
    <n v="9"/>
    <n v="8"/>
    <n v="8"/>
    <n v="16"/>
  </r>
  <r>
    <n v="32"/>
    <x v="2"/>
    <x v="1"/>
    <s v="Travel_Rarely"/>
    <n v="334"/>
    <x v="0"/>
    <n v="5"/>
    <s v="College"/>
    <x v="0"/>
    <s v="Low"/>
    <x v="0"/>
    <n v="80"/>
    <s v="Very High"/>
    <x v="1"/>
    <s v="Research Scientist"/>
    <s v="Medium"/>
    <s v="Divorced"/>
    <n v="3298"/>
    <n v="15053"/>
    <n v="0"/>
    <s v="Yes"/>
    <n v="12"/>
    <s v="Excellent"/>
    <s v="Very High"/>
    <n v="2"/>
    <n v="7"/>
    <n v="5"/>
    <s v="Good"/>
    <x v="0"/>
    <s v="5-10"/>
    <n v="2"/>
    <n v="0"/>
    <n v="5"/>
    <n v="17"/>
  </r>
  <r>
    <n v="22"/>
    <x v="4"/>
    <x v="1"/>
    <s v="Non-Travel"/>
    <n v="1123"/>
    <x v="0"/>
    <n v="16"/>
    <s v="College"/>
    <x v="2"/>
    <s v="Very High"/>
    <x v="0"/>
    <n v="96"/>
    <s v="Very High"/>
    <x v="1"/>
    <s v="Laboratory Technician"/>
    <s v="Very High"/>
    <s v="Divorced"/>
    <n v="2935"/>
    <n v="7324"/>
    <n v="1"/>
    <s v="Yes"/>
    <n v="13"/>
    <s v="Excellent"/>
    <s v="Medium"/>
    <n v="2"/>
    <n v="1"/>
    <n v="2"/>
    <s v="Good"/>
    <x v="6"/>
    <s v="0-5"/>
    <n v="0"/>
    <n v="0"/>
    <n v="0"/>
    <n v="18"/>
  </r>
  <r>
    <n v="53"/>
    <x v="1"/>
    <x v="1"/>
    <s v="Travel_Rarely"/>
    <n v="1219"/>
    <x v="1"/>
    <n v="2"/>
    <s v="Master"/>
    <x v="0"/>
    <s v="Low"/>
    <x v="1"/>
    <n v="78"/>
    <s v="Medium"/>
    <x v="3"/>
    <s v="Manager"/>
    <s v="Very High"/>
    <s v="Married"/>
    <n v="15427"/>
    <n v="22021"/>
    <n v="2"/>
    <s v="No"/>
    <n v="16"/>
    <s v="Excellent"/>
    <s v="High"/>
    <n v="0"/>
    <n v="31"/>
    <n v="3"/>
    <s v="Better"/>
    <x v="10"/>
    <s v="10-40"/>
    <n v="8"/>
    <n v="3"/>
    <n v="7"/>
    <n v="19"/>
  </r>
  <r>
    <n v="38"/>
    <x v="0"/>
    <x v="1"/>
    <s v="Travel_Rarely"/>
    <n v="371"/>
    <x v="0"/>
    <n v="2"/>
    <s v="Bachelor"/>
    <x v="0"/>
    <s v="Very High"/>
    <x v="0"/>
    <n v="45"/>
    <s v="High"/>
    <x v="1"/>
    <s v="Research Scientist"/>
    <s v="Very High"/>
    <s v="Single"/>
    <n v="3944"/>
    <n v="4306"/>
    <n v="5"/>
    <s v="Yes"/>
    <n v="11"/>
    <s v="Excellent"/>
    <s v="High"/>
    <n v="0"/>
    <n v="6"/>
    <n v="3"/>
    <s v="Better"/>
    <x v="11"/>
    <s v="0-5"/>
    <n v="2"/>
    <n v="1"/>
    <n v="2"/>
    <n v="20"/>
  </r>
  <r>
    <n v="24"/>
    <x v="4"/>
    <x v="1"/>
    <s v="Non-Travel"/>
    <n v="673"/>
    <x v="0"/>
    <n v="11"/>
    <s v="College"/>
    <x v="1"/>
    <s v="Low"/>
    <x v="1"/>
    <n v="96"/>
    <s v="Very High"/>
    <x v="0"/>
    <s v="Manufacturing Director"/>
    <s v="High"/>
    <s v="Divorced"/>
    <n v="4011"/>
    <n v="8232"/>
    <n v="0"/>
    <s v="No"/>
    <n v="18"/>
    <s v="Excellent"/>
    <s v="Very High"/>
    <n v="1"/>
    <n v="5"/>
    <n v="5"/>
    <s v="Good"/>
    <x v="9"/>
    <s v="0-5"/>
    <n v="2"/>
    <n v="1"/>
    <n v="3"/>
    <n v="21"/>
  </r>
  <r>
    <n v="36"/>
    <x v="0"/>
    <x v="0"/>
    <s v="Travel_Rarely"/>
    <n v="1218"/>
    <x v="1"/>
    <n v="9"/>
    <s v="Master"/>
    <x v="0"/>
    <s v="High"/>
    <x v="0"/>
    <n v="82"/>
    <s v="Medium"/>
    <x v="1"/>
    <s v="Sales Representative"/>
    <s v="Low"/>
    <s v="Single"/>
    <n v="3407"/>
    <n v="6986"/>
    <n v="7"/>
    <s v="No"/>
    <n v="23"/>
    <s v="Outstanding"/>
    <s v="Medium"/>
    <n v="0"/>
    <n v="10"/>
    <n v="4"/>
    <s v="Better"/>
    <x v="8"/>
    <s v="0-5"/>
    <n v="3"/>
    <n v="0"/>
    <n v="3"/>
    <n v="22"/>
  </r>
  <r>
    <n v="34"/>
    <x v="2"/>
    <x v="1"/>
    <s v="Travel_Rarely"/>
    <n v="419"/>
    <x v="0"/>
    <n v="7"/>
    <s v="Master"/>
    <x v="0"/>
    <s v="Low"/>
    <x v="1"/>
    <n v="53"/>
    <s v="High"/>
    <x v="2"/>
    <s v="Research Director"/>
    <s v="Medium"/>
    <s v="Single"/>
    <n v="11994"/>
    <n v="21293"/>
    <n v="0"/>
    <s v="No"/>
    <n v="11"/>
    <s v="Excellent"/>
    <s v="High"/>
    <n v="0"/>
    <n v="13"/>
    <n v="4"/>
    <s v="Better"/>
    <x v="12"/>
    <s v="10-40"/>
    <n v="6"/>
    <n v="2"/>
    <n v="11"/>
    <n v="23"/>
  </r>
  <r>
    <n v="21"/>
    <x v="4"/>
    <x v="1"/>
    <s v="Travel_Rarely"/>
    <n v="391"/>
    <x v="0"/>
    <n v="15"/>
    <s v="College"/>
    <x v="0"/>
    <s v="High"/>
    <x v="0"/>
    <n v="96"/>
    <s v="High"/>
    <x v="1"/>
    <s v="Research Scientist"/>
    <s v="Very High"/>
    <s v="Single"/>
    <n v="1232"/>
    <n v="19281"/>
    <n v="1"/>
    <s v="No"/>
    <n v="14"/>
    <s v="Excellent"/>
    <s v="Very High"/>
    <n v="0"/>
    <n v="0"/>
    <n v="6"/>
    <s v="Better"/>
    <x v="2"/>
    <s v="0-5"/>
    <n v="0"/>
    <n v="0"/>
    <n v="0"/>
    <n v="24"/>
  </r>
  <r>
    <n v="34"/>
    <x v="2"/>
    <x v="0"/>
    <s v="Travel_Rarely"/>
    <n v="699"/>
    <x v="0"/>
    <n v="6"/>
    <s v="Below College"/>
    <x v="2"/>
    <s v="Medium"/>
    <x v="0"/>
    <n v="83"/>
    <s v="High"/>
    <x v="1"/>
    <s v="Research Scientist"/>
    <s v="Low"/>
    <s v="Single"/>
    <n v="2960"/>
    <n v="17102"/>
    <n v="2"/>
    <s v="No"/>
    <n v="11"/>
    <s v="Excellent"/>
    <s v="High"/>
    <n v="0"/>
    <n v="8"/>
    <n v="2"/>
    <s v="Better"/>
    <x v="9"/>
    <s v="0-5"/>
    <n v="2"/>
    <n v="1"/>
    <n v="3"/>
    <n v="25"/>
  </r>
  <r>
    <n v="53"/>
    <x v="1"/>
    <x v="1"/>
    <s v="Travel_Rarely"/>
    <n v="1282"/>
    <x v="0"/>
    <n v="5"/>
    <s v="Bachelor"/>
    <x v="1"/>
    <s v="High"/>
    <x v="1"/>
    <n v="58"/>
    <s v="High"/>
    <x v="4"/>
    <s v="Manager"/>
    <s v="High"/>
    <s v="Divorced"/>
    <n v="19094"/>
    <n v="10735"/>
    <n v="4"/>
    <s v="No"/>
    <n v="11"/>
    <s v="Excellent"/>
    <s v="Very High"/>
    <n v="1"/>
    <n v="26"/>
    <n v="3"/>
    <s v="Good"/>
    <x v="13"/>
    <s v="10-40"/>
    <n v="13"/>
    <n v="4"/>
    <n v="8"/>
    <n v="26"/>
  </r>
  <r>
    <n v="32"/>
    <x v="2"/>
    <x v="0"/>
    <s v="Travel_Frequently"/>
    <n v="1125"/>
    <x v="0"/>
    <n v="16"/>
    <s v="Below College"/>
    <x v="0"/>
    <s v="Medium"/>
    <x v="1"/>
    <n v="72"/>
    <s v="Low"/>
    <x v="1"/>
    <s v="Research Scientist"/>
    <s v="Low"/>
    <s v="Single"/>
    <n v="3919"/>
    <n v="4681"/>
    <n v="1"/>
    <s v="Yes"/>
    <n v="22"/>
    <s v="Outstanding"/>
    <s v="Medium"/>
    <n v="0"/>
    <n v="10"/>
    <n v="5"/>
    <s v="Better"/>
    <x v="1"/>
    <s v="5-10"/>
    <n v="2"/>
    <n v="6"/>
    <n v="7"/>
    <n v="27"/>
  </r>
  <r>
    <n v="42"/>
    <x v="0"/>
    <x v="1"/>
    <s v="Travel_Rarely"/>
    <n v="691"/>
    <x v="1"/>
    <n v="8"/>
    <s v="Master"/>
    <x v="3"/>
    <s v="High"/>
    <x v="0"/>
    <n v="48"/>
    <s v="High"/>
    <x v="0"/>
    <s v="Sales Executive"/>
    <s v="Medium"/>
    <s v="Married"/>
    <n v="6825"/>
    <n v="21173"/>
    <n v="0"/>
    <s v="No"/>
    <n v="11"/>
    <s v="Excellent"/>
    <s v="Very High"/>
    <n v="1"/>
    <n v="10"/>
    <n v="2"/>
    <s v="Better"/>
    <x v="7"/>
    <s v="5-10"/>
    <n v="7"/>
    <n v="4"/>
    <n v="2"/>
    <n v="28"/>
  </r>
  <r>
    <n v="44"/>
    <x v="0"/>
    <x v="1"/>
    <s v="Travel_Rarely"/>
    <n v="477"/>
    <x v="0"/>
    <n v="7"/>
    <s v="Master"/>
    <x v="2"/>
    <s v="Low"/>
    <x v="1"/>
    <n v="42"/>
    <s v="Medium"/>
    <x v="2"/>
    <s v="Healthcare Representative"/>
    <s v="Very High"/>
    <s v="Married"/>
    <n v="10248"/>
    <n v="2094"/>
    <n v="3"/>
    <s v="No"/>
    <n v="14"/>
    <s v="Excellent"/>
    <s v="Very High"/>
    <n v="1"/>
    <n v="24"/>
    <n v="4"/>
    <s v="Better"/>
    <x v="14"/>
    <s v="10-40"/>
    <n v="6"/>
    <n v="5"/>
    <n v="17"/>
    <n v="29"/>
  </r>
  <r>
    <n v="46"/>
    <x v="1"/>
    <x v="1"/>
    <s v="Travel_Rarely"/>
    <n v="705"/>
    <x v="1"/>
    <n v="2"/>
    <s v="Master"/>
    <x v="3"/>
    <s v="Medium"/>
    <x v="1"/>
    <n v="83"/>
    <s v="High"/>
    <x v="4"/>
    <s v="Manager"/>
    <s v="Low"/>
    <s v="Single"/>
    <n v="18947"/>
    <n v="22822"/>
    <n v="3"/>
    <s v="No"/>
    <n v="12"/>
    <s v="Excellent"/>
    <s v="Very High"/>
    <n v="0"/>
    <n v="22"/>
    <n v="2"/>
    <s v="Good"/>
    <x v="4"/>
    <s v="0-5"/>
    <n v="2"/>
    <n v="2"/>
    <n v="1"/>
    <n v="30"/>
  </r>
  <r>
    <n v="33"/>
    <x v="2"/>
    <x v="1"/>
    <s v="Travel_Rarely"/>
    <n v="924"/>
    <x v="0"/>
    <n v="2"/>
    <s v="Bachelor"/>
    <x v="2"/>
    <s v="High"/>
    <x v="0"/>
    <n v="78"/>
    <s v="High"/>
    <x v="1"/>
    <s v="Laboratory Technician"/>
    <s v="Very High"/>
    <s v="Single"/>
    <n v="2496"/>
    <n v="6670"/>
    <n v="4"/>
    <s v="No"/>
    <n v="11"/>
    <s v="Excellent"/>
    <s v="Very High"/>
    <n v="0"/>
    <n v="7"/>
    <n v="3"/>
    <s v="Better"/>
    <x v="6"/>
    <s v="0-5"/>
    <n v="1"/>
    <n v="0"/>
    <n v="0"/>
    <n v="31"/>
  </r>
  <r>
    <n v="44"/>
    <x v="0"/>
    <x v="1"/>
    <s v="Travel_Rarely"/>
    <n v="1459"/>
    <x v="0"/>
    <n v="10"/>
    <s v="Master"/>
    <x v="1"/>
    <s v="Very High"/>
    <x v="0"/>
    <n v="41"/>
    <s v="High"/>
    <x v="0"/>
    <s v="Healthcare Representative"/>
    <s v="Very High"/>
    <s v="Married"/>
    <n v="6465"/>
    <n v="19121"/>
    <n v="2"/>
    <s v="Yes"/>
    <n v="13"/>
    <s v="Excellent"/>
    <s v="Very High"/>
    <n v="0"/>
    <n v="9"/>
    <n v="5"/>
    <s v="Best"/>
    <x v="9"/>
    <s v="0-5"/>
    <n v="2"/>
    <n v="1"/>
    <n v="3"/>
    <n v="32"/>
  </r>
  <r>
    <n v="30"/>
    <x v="2"/>
    <x v="1"/>
    <s v="Travel_Rarely"/>
    <n v="125"/>
    <x v="0"/>
    <n v="9"/>
    <s v="College"/>
    <x v="2"/>
    <s v="Very High"/>
    <x v="0"/>
    <n v="83"/>
    <s v="Medium"/>
    <x v="1"/>
    <s v="Laboratory Technician"/>
    <s v="High"/>
    <s v="Single"/>
    <n v="2206"/>
    <n v="16117"/>
    <n v="1"/>
    <s v="No"/>
    <n v="13"/>
    <s v="Excellent"/>
    <s v="Low"/>
    <n v="0"/>
    <n v="10"/>
    <n v="5"/>
    <s v="Better"/>
    <x v="1"/>
    <s v="5-10"/>
    <n v="0"/>
    <n v="1"/>
    <n v="8"/>
    <n v="33"/>
  </r>
  <r>
    <n v="39"/>
    <x v="0"/>
    <x v="0"/>
    <s v="Travel_Rarely"/>
    <n v="895"/>
    <x v="1"/>
    <n v="5"/>
    <s v="Bachelor"/>
    <x v="4"/>
    <s v="Very High"/>
    <x v="0"/>
    <n v="56"/>
    <s v="High"/>
    <x v="0"/>
    <s v="Sales Representative"/>
    <s v="Very High"/>
    <s v="Married"/>
    <n v="2086"/>
    <n v="3335"/>
    <n v="3"/>
    <s v="No"/>
    <n v="14"/>
    <s v="Excellent"/>
    <s v="High"/>
    <n v="1"/>
    <n v="19"/>
    <n v="6"/>
    <s v="Best"/>
    <x v="6"/>
    <s v="0-5"/>
    <n v="0"/>
    <n v="0"/>
    <n v="0"/>
    <n v="34"/>
  </r>
  <r>
    <n v="24"/>
    <x v="4"/>
    <x v="0"/>
    <s v="Travel_Rarely"/>
    <n v="813"/>
    <x v="0"/>
    <n v="1"/>
    <s v="Bachelor"/>
    <x v="2"/>
    <s v="Medium"/>
    <x v="0"/>
    <n v="61"/>
    <s v="High"/>
    <x v="1"/>
    <s v="Research Scientist"/>
    <s v="Very High"/>
    <s v="Married"/>
    <n v="2293"/>
    <n v="3020"/>
    <n v="2"/>
    <s v="Yes"/>
    <n v="16"/>
    <s v="Excellent"/>
    <s v="Low"/>
    <n v="1"/>
    <n v="6"/>
    <n v="2"/>
    <s v="Good"/>
    <x v="4"/>
    <s v="0-5"/>
    <n v="0"/>
    <n v="2"/>
    <n v="0"/>
    <n v="35"/>
  </r>
  <r>
    <n v="43"/>
    <x v="0"/>
    <x v="1"/>
    <s v="Travel_Rarely"/>
    <n v="1273"/>
    <x v="0"/>
    <n v="2"/>
    <s v="College"/>
    <x v="2"/>
    <s v="Very High"/>
    <x v="1"/>
    <n v="72"/>
    <s v="Very High"/>
    <x v="1"/>
    <s v="Research Scientist"/>
    <s v="High"/>
    <s v="Divorced"/>
    <n v="2645"/>
    <n v="21923"/>
    <n v="1"/>
    <s v="No"/>
    <n v="12"/>
    <s v="Excellent"/>
    <s v="Very High"/>
    <n v="2"/>
    <n v="6"/>
    <n v="3"/>
    <s v="Good"/>
    <x v="8"/>
    <s v="0-5"/>
    <n v="3"/>
    <n v="1"/>
    <n v="4"/>
    <n v="36"/>
  </r>
  <r>
    <n v="50"/>
    <x v="1"/>
    <x v="0"/>
    <s v="Travel_Rarely"/>
    <n v="869"/>
    <x v="1"/>
    <n v="3"/>
    <s v="College"/>
    <x v="3"/>
    <s v="Low"/>
    <x v="0"/>
    <n v="86"/>
    <s v="Medium"/>
    <x v="1"/>
    <s v="Sales Representative"/>
    <s v="High"/>
    <s v="Married"/>
    <n v="2683"/>
    <n v="3810"/>
    <n v="1"/>
    <s v="Yes"/>
    <n v="14"/>
    <s v="Excellent"/>
    <s v="High"/>
    <n v="0"/>
    <n v="3"/>
    <n v="2"/>
    <s v="Better"/>
    <x v="11"/>
    <s v="0-5"/>
    <n v="2"/>
    <n v="0"/>
    <n v="2"/>
    <n v="37"/>
  </r>
  <r>
    <n v="35"/>
    <x v="2"/>
    <x v="1"/>
    <s v="Travel_Rarely"/>
    <n v="890"/>
    <x v="1"/>
    <n v="2"/>
    <s v="Bachelor"/>
    <x v="3"/>
    <s v="Very High"/>
    <x v="1"/>
    <n v="97"/>
    <s v="High"/>
    <x v="1"/>
    <s v="Sales Representative"/>
    <s v="Very High"/>
    <s v="Married"/>
    <n v="2014"/>
    <n v="9687"/>
    <n v="1"/>
    <s v="No"/>
    <n v="13"/>
    <s v="Excellent"/>
    <s v="Low"/>
    <n v="0"/>
    <n v="2"/>
    <n v="3"/>
    <s v="Better"/>
    <x v="4"/>
    <s v="0-5"/>
    <n v="2"/>
    <n v="2"/>
    <n v="2"/>
    <n v="38"/>
  </r>
  <r>
    <n v="36"/>
    <x v="0"/>
    <x v="1"/>
    <s v="Travel_Rarely"/>
    <n v="852"/>
    <x v="0"/>
    <n v="5"/>
    <s v="Master"/>
    <x v="0"/>
    <s v="Medium"/>
    <x v="1"/>
    <n v="82"/>
    <s v="Medium"/>
    <x v="1"/>
    <s v="Research Scientist"/>
    <s v="Low"/>
    <s v="Married"/>
    <n v="3419"/>
    <n v="13072"/>
    <n v="9"/>
    <s v="Yes"/>
    <n v="14"/>
    <s v="Excellent"/>
    <s v="Very High"/>
    <n v="1"/>
    <n v="6"/>
    <n v="3"/>
    <s v="Best"/>
    <x v="6"/>
    <s v="0-5"/>
    <n v="1"/>
    <n v="0"/>
    <n v="0"/>
    <n v="39"/>
  </r>
  <r>
    <n v="33"/>
    <x v="2"/>
    <x v="1"/>
    <s v="Travel_Frequently"/>
    <n v="1141"/>
    <x v="1"/>
    <n v="1"/>
    <s v="Bachelor"/>
    <x v="0"/>
    <s v="High"/>
    <x v="1"/>
    <n v="42"/>
    <s v="Very High"/>
    <x v="0"/>
    <s v="Sales Executive"/>
    <s v="Low"/>
    <s v="Married"/>
    <n v="5376"/>
    <n v="3193"/>
    <n v="2"/>
    <s v="No"/>
    <n v="19"/>
    <s v="Excellent"/>
    <s v="Low"/>
    <n v="2"/>
    <n v="10"/>
    <n v="3"/>
    <s v="Better"/>
    <x v="8"/>
    <s v="0-5"/>
    <n v="3"/>
    <n v="1"/>
    <n v="3"/>
    <n v="40"/>
  </r>
  <r>
    <n v="35"/>
    <x v="2"/>
    <x v="1"/>
    <s v="Travel_Rarely"/>
    <n v="464"/>
    <x v="0"/>
    <n v="4"/>
    <s v="College"/>
    <x v="1"/>
    <s v="High"/>
    <x v="0"/>
    <n v="75"/>
    <s v="High"/>
    <x v="1"/>
    <s v="Laboratory Technician"/>
    <s v="Very High"/>
    <s v="Divorced"/>
    <n v="1951"/>
    <n v="10910"/>
    <n v="1"/>
    <s v="No"/>
    <n v="12"/>
    <s v="Excellent"/>
    <s v="High"/>
    <n v="1"/>
    <n v="1"/>
    <n v="3"/>
    <s v="Better"/>
    <x v="6"/>
    <s v="0-5"/>
    <n v="0"/>
    <n v="0"/>
    <n v="0"/>
    <n v="41"/>
  </r>
  <r>
    <n v="27"/>
    <x v="2"/>
    <x v="1"/>
    <s v="Travel_Rarely"/>
    <n v="1240"/>
    <x v="0"/>
    <n v="2"/>
    <s v="Master"/>
    <x v="0"/>
    <s v="Very High"/>
    <x v="1"/>
    <n v="33"/>
    <s v="High"/>
    <x v="1"/>
    <s v="Laboratory Technician"/>
    <s v="Low"/>
    <s v="Divorced"/>
    <n v="2341"/>
    <n v="19715"/>
    <n v="1"/>
    <s v="No"/>
    <n v="13"/>
    <s v="Excellent"/>
    <s v="Very High"/>
    <n v="1"/>
    <n v="1"/>
    <n v="6"/>
    <s v="Better"/>
    <x v="6"/>
    <s v="0-5"/>
    <n v="0"/>
    <n v="0"/>
    <n v="0"/>
    <n v="42"/>
  </r>
  <r>
    <n v="26"/>
    <x v="2"/>
    <x v="0"/>
    <s v="Travel_Rarely"/>
    <n v="1357"/>
    <x v="0"/>
    <n v="25"/>
    <s v="Bachelor"/>
    <x v="0"/>
    <s v="Low"/>
    <x v="0"/>
    <n v="48"/>
    <s v="Low"/>
    <x v="1"/>
    <s v="Laboratory Technician"/>
    <s v="High"/>
    <s v="Single"/>
    <n v="2293"/>
    <n v="10558"/>
    <n v="1"/>
    <s v="No"/>
    <n v="12"/>
    <s v="Excellent"/>
    <s v="High"/>
    <n v="0"/>
    <n v="1"/>
    <n v="2"/>
    <s v="Good"/>
    <x v="6"/>
    <s v="0-5"/>
    <n v="0"/>
    <n v="0"/>
    <n v="1"/>
    <n v="43"/>
  </r>
  <r>
    <n v="27"/>
    <x v="2"/>
    <x v="1"/>
    <s v="Travel_Frequently"/>
    <n v="994"/>
    <x v="1"/>
    <n v="8"/>
    <s v="Bachelor"/>
    <x v="0"/>
    <s v="Very High"/>
    <x v="0"/>
    <n v="37"/>
    <s v="High"/>
    <x v="2"/>
    <s v="Sales Executive"/>
    <s v="High"/>
    <s v="Single"/>
    <n v="8726"/>
    <n v="2975"/>
    <n v="1"/>
    <s v="No"/>
    <n v="15"/>
    <s v="Excellent"/>
    <s v="Very High"/>
    <n v="0"/>
    <n v="9"/>
    <n v="0"/>
    <s v="Better"/>
    <x v="7"/>
    <s v="5-10"/>
    <n v="8"/>
    <n v="1"/>
    <n v="7"/>
    <n v="44"/>
  </r>
  <r>
    <n v="30"/>
    <x v="2"/>
    <x v="1"/>
    <s v="Travel_Frequently"/>
    <n v="721"/>
    <x v="0"/>
    <n v="1"/>
    <s v="College"/>
    <x v="2"/>
    <s v="High"/>
    <x v="1"/>
    <n v="58"/>
    <s v="High"/>
    <x v="0"/>
    <s v="Laboratory Technician"/>
    <s v="Very High"/>
    <s v="Single"/>
    <n v="4011"/>
    <n v="10781"/>
    <n v="1"/>
    <s v="No"/>
    <n v="23"/>
    <s v="Outstanding"/>
    <s v="Very High"/>
    <n v="0"/>
    <n v="12"/>
    <n v="2"/>
    <s v="Better"/>
    <x v="12"/>
    <s v="10-40"/>
    <n v="8"/>
    <n v="3"/>
    <n v="7"/>
    <n v="45"/>
  </r>
  <r>
    <n v="41"/>
    <x v="0"/>
    <x v="0"/>
    <s v="Travel_Rarely"/>
    <n v="1360"/>
    <x v="0"/>
    <n v="12"/>
    <s v="Bachelor"/>
    <x v="4"/>
    <s v="Medium"/>
    <x v="1"/>
    <n v="49"/>
    <s v="High"/>
    <x v="4"/>
    <s v="Research Director"/>
    <s v="High"/>
    <s v="Married"/>
    <n v="19545"/>
    <n v="16280"/>
    <n v="1"/>
    <s v="No"/>
    <n v="12"/>
    <s v="Excellent"/>
    <s v="Very High"/>
    <n v="0"/>
    <n v="23"/>
    <n v="0"/>
    <s v="Better"/>
    <x v="14"/>
    <s v="10-40"/>
    <n v="15"/>
    <n v="15"/>
    <n v="8"/>
    <n v="46"/>
  </r>
  <r>
    <n v="34"/>
    <x v="2"/>
    <x v="1"/>
    <s v="Non-Travel"/>
    <n v="1065"/>
    <x v="1"/>
    <n v="23"/>
    <s v="Master"/>
    <x v="3"/>
    <s v="Medium"/>
    <x v="0"/>
    <n v="72"/>
    <s v="High"/>
    <x v="0"/>
    <s v="Sales Executive"/>
    <s v="High"/>
    <s v="Single"/>
    <n v="4568"/>
    <n v="10034"/>
    <n v="0"/>
    <s v="No"/>
    <n v="20"/>
    <s v="Outstanding"/>
    <s v="High"/>
    <n v="0"/>
    <n v="10"/>
    <n v="2"/>
    <s v="Better"/>
    <x v="7"/>
    <s v="5-10"/>
    <n v="5"/>
    <n v="8"/>
    <n v="7"/>
    <n v="47"/>
  </r>
  <r>
    <n v="37"/>
    <x v="0"/>
    <x v="1"/>
    <s v="Travel_Rarely"/>
    <n v="408"/>
    <x v="0"/>
    <n v="19"/>
    <s v="College"/>
    <x v="0"/>
    <s v="Medium"/>
    <x v="0"/>
    <n v="73"/>
    <s v="High"/>
    <x v="1"/>
    <s v="Research Scientist"/>
    <s v="Medium"/>
    <s v="Married"/>
    <n v="3022"/>
    <n v="10227"/>
    <n v="4"/>
    <s v="No"/>
    <n v="21"/>
    <s v="Outstanding"/>
    <s v="Low"/>
    <n v="0"/>
    <n v="8"/>
    <n v="1"/>
    <s v="Better"/>
    <x v="6"/>
    <s v="0-5"/>
    <n v="0"/>
    <n v="0"/>
    <n v="0"/>
    <n v="48"/>
  </r>
  <r>
    <n v="46"/>
    <x v="1"/>
    <x v="1"/>
    <s v="Travel_Frequently"/>
    <n v="1211"/>
    <x v="1"/>
    <n v="5"/>
    <s v="Master"/>
    <x v="3"/>
    <s v="Low"/>
    <x v="0"/>
    <n v="98"/>
    <s v="High"/>
    <x v="0"/>
    <s v="Sales Executive"/>
    <s v="Very High"/>
    <s v="Single"/>
    <n v="5772"/>
    <n v="20445"/>
    <n v="4"/>
    <s v="Yes"/>
    <n v="21"/>
    <s v="Outstanding"/>
    <s v="High"/>
    <n v="0"/>
    <n v="14"/>
    <n v="4"/>
    <s v="Better"/>
    <x v="7"/>
    <s v="5-10"/>
    <n v="6"/>
    <n v="0"/>
    <n v="8"/>
    <n v="49"/>
  </r>
  <r>
    <n v="35"/>
    <x v="2"/>
    <x v="1"/>
    <s v="Travel_Rarely"/>
    <n v="1229"/>
    <x v="0"/>
    <n v="8"/>
    <s v="Below College"/>
    <x v="0"/>
    <s v="Very High"/>
    <x v="0"/>
    <n v="36"/>
    <s v="Very High"/>
    <x v="1"/>
    <s v="Laboratory Technician"/>
    <s v="Very High"/>
    <s v="Married"/>
    <n v="2269"/>
    <n v="4892"/>
    <n v="1"/>
    <s v="No"/>
    <n v="19"/>
    <s v="Excellent"/>
    <s v="Very High"/>
    <n v="0"/>
    <n v="1"/>
    <n v="2"/>
    <s v="Better"/>
    <x v="6"/>
    <s v="0-5"/>
    <n v="0"/>
    <n v="0"/>
    <n v="1"/>
    <n v="50"/>
  </r>
  <r>
    <n v="48"/>
    <x v="1"/>
    <x v="0"/>
    <s v="Travel_Rarely"/>
    <n v="626"/>
    <x v="0"/>
    <n v="1"/>
    <s v="College"/>
    <x v="0"/>
    <s v="Low"/>
    <x v="0"/>
    <n v="98"/>
    <s v="Medium"/>
    <x v="2"/>
    <s v="Laboratory Technician"/>
    <s v="High"/>
    <s v="Single"/>
    <n v="5381"/>
    <n v="19294"/>
    <n v="9"/>
    <s v="Yes"/>
    <n v="13"/>
    <s v="Excellent"/>
    <s v="Very High"/>
    <n v="0"/>
    <n v="23"/>
    <n v="2"/>
    <s v="Better"/>
    <x v="6"/>
    <s v="0-5"/>
    <n v="0"/>
    <n v="0"/>
    <n v="0"/>
    <n v="51"/>
  </r>
  <r>
    <n v="28"/>
    <x v="2"/>
    <x v="0"/>
    <s v="Travel_Rarely"/>
    <n v="1434"/>
    <x v="0"/>
    <n v="5"/>
    <s v="Master"/>
    <x v="4"/>
    <s v="High"/>
    <x v="0"/>
    <n v="50"/>
    <s v="High"/>
    <x v="1"/>
    <s v="Laboratory Technician"/>
    <s v="High"/>
    <s v="Single"/>
    <n v="3441"/>
    <n v="11179"/>
    <n v="1"/>
    <s v="Yes"/>
    <n v="13"/>
    <s v="Excellent"/>
    <s v="High"/>
    <n v="0"/>
    <n v="2"/>
    <n v="3"/>
    <s v="Good"/>
    <x v="4"/>
    <s v="0-5"/>
    <n v="2"/>
    <n v="2"/>
    <n v="2"/>
    <n v="52"/>
  </r>
  <r>
    <n v="44"/>
    <x v="0"/>
    <x v="1"/>
    <s v="Travel_Rarely"/>
    <n v="1488"/>
    <x v="1"/>
    <n v="1"/>
    <s v="Doctor"/>
    <x v="3"/>
    <s v="Medium"/>
    <x v="1"/>
    <n v="75"/>
    <s v="High"/>
    <x v="0"/>
    <s v="Sales Executive"/>
    <s v="Low"/>
    <s v="Divorced"/>
    <n v="5454"/>
    <n v="4009"/>
    <n v="5"/>
    <s v="Yes"/>
    <n v="21"/>
    <s v="Outstanding"/>
    <s v="High"/>
    <n v="1"/>
    <n v="9"/>
    <n v="2"/>
    <s v="Good"/>
    <x v="9"/>
    <s v="0-5"/>
    <n v="3"/>
    <n v="1"/>
    <n v="3"/>
    <n v="53"/>
  </r>
  <r>
    <n v="35"/>
    <x v="2"/>
    <x v="1"/>
    <s v="Non-Travel"/>
    <n v="1097"/>
    <x v="0"/>
    <n v="11"/>
    <s v="College"/>
    <x v="2"/>
    <s v="High"/>
    <x v="0"/>
    <n v="79"/>
    <s v="Medium"/>
    <x v="2"/>
    <s v="Healthcare Representative"/>
    <s v="Low"/>
    <s v="Married"/>
    <n v="9884"/>
    <n v="8302"/>
    <n v="2"/>
    <s v="Yes"/>
    <n v="13"/>
    <s v="Excellent"/>
    <s v="High"/>
    <n v="1"/>
    <n v="10"/>
    <n v="3"/>
    <s v="Better"/>
    <x v="9"/>
    <s v="0-5"/>
    <n v="0"/>
    <n v="2"/>
    <n v="3"/>
    <n v="54"/>
  </r>
  <r>
    <n v="26"/>
    <x v="2"/>
    <x v="1"/>
    <s v="Travel_Rarely"/>
    <n v="1443"/>
    <x v="1"/>
    <n v="23"/>
    <s v="Bachelor"/>
    <x v="3"/>
    <s v="High"/>
    <x v="1"/>
    <n v="47"/>
    <s v="Medium"/>
    <x v="0"/>
    <s v="Sales Executive"/>
    <s v="Very High"/>
    <s v="Married"/>
    <n v="4157"/>
    <n v="21436"/>
    <n v="7"/>
    <s v="Yes"/>
    <n v="19"/>
    <s v="Excellent"/>
    <s v="High"/>
    <n v="1"/>
    <n v="5"/>
    <n v="2"/>
    <s v="Good"/>
    <x v="4"/>
    <s v="0-5"/>
    <n v="2"/>
    <n v="0"/>
    <n v="0"/>
    <n v="55"/>
  </r>
  <r>
    <n v="33"/>
    <x v="2"/>
    <x v="1"/>
    <s v="Travel_Frequently"/>
    <n v="515"/>
    <x v="0"/>
    <n v="1"/>
    <s v="College"/>
    <x v="0"/>
    <s v="Low"/>
    <x v="1"/>
    <n v="98"/>
    <s v="High"/>
    <x v="2"/>
    <s v="Research Director"/>
    <s v="Very High"/>
    <s v="Single"/>
    <n v="13458"/>
    <n v="15146"/>
    <n v="1"/>
    <s v="Yes"/>
    <n v="12"/>
    <s v="Excellent"/>
    <s v="High"/>
    <n v="0"/>
    <n v="15"/>
    <n v="1"/>
    <s v="Better"/>
    <x v="15"/>
    <s v="10-40"/>
    <n v="14"/>
    <n v="8"/>
    <n v="12"/>
    <n v="56"/>
  </r>
  <r>
    <n v="35"/>
    <x v="2"/>
    <x v="1"/>
    <s v="Travel_Frequently"/>
    <n v="853"/>
    <x v="1"/>
    <n v="18"/>
    <s v="Doctor"/>
    <x v="0"/>
    <s v="Medium"/>
    <x v="0"/>
    <n v="71"/>
    <s v="High"/>
    <x v="2"/>
    <s v="Sales Executive"/>
    <s v="Low"/>
    <s v="Married"/>
    <n v="9069"/>
    <n v="11031"/>
    <n v="1"/>
    <s v="No"/>
    <n v="22"/>
    <s v="Outstanding"/>
    <s v="Very High"/>
    <n v="1"/>
    <n v="9"/>
    <n v="3"/>
    <s v="Good"/>
    <x v="7"/>
    <s v="5-10"/>
    <n v="8"/>
    <n v="1"/>
    <n v="8"/>
    <n v="57"/>
  </r>
  <r>
    <n v="35"/>
    <x v="2"/>
    <x v="1"/>
    <s v="Travel_Rarely"/>
    <n v="1142"/>
    <x v="0"/>
    <n v="23"/>
    <s v="Master"/>
    <x v="2"/>
    <s v="High"/>
    <x v="1"/>
    <n v="30"/>
    <s v="High"/>
    <x v="1"/>
    <s v="Laboratory Technician"/>
    <s v="Low"/>
    <s v="Married"/>
    <n v="4014"/>
    <n v="16002"/>
    <n v="3"/>
    <s v="Yes"/>
    <n v="15"/>
    <s v="Excellent"/>
    <s v="High"/>
    <n v="1"/>
    <n v="4"/>
    <n v="3"/>
    <s v="Better"/>
    <x v="4"/>
    <s v="0-5"/>
    <n v="2"/>
    <n v="2"/>
    <n v="2"/>
    <n v="58"/>
  </r>
  <r>
    <n v="31"/>
    <x v="2"/>
    <x v="1"/>
    <s v="Travel_Rarely"/>
    <n v="655"/>
    <x v="0"/>
    <n v="7"/>
    <s v="Master"/>
    <x v="0"/>
    <s v="Very High"/>
    <x v="0"/>
    <n v="48"/>
    <s v="High"/>
    <x v="0"/>
    <s v="Laboratory Technician"/>
    <s v="Very High"/>
    <s v="Divorced"/>
    <n v="5915"/>
    <n v="9528"/>
    <n v="3"/>
    <s v="No"/>
    <n v="22"/>
    <s v="Outstanding"/>
    <s v="Very High"/>
    <n v="1"/>
    <n v="10"/>
    <n v="3"/>
    <s v="Good"/>
    <x v="5"/>
    <s v="5-10"/>
    <n v="7"/>
    <n v="1"/>
    <n v="7"/>
    <n v="59"/>
  </r>
  <r>
    <n v="37"/>
    <x v="0"/>
    <x v="1"/>
    <s v="Travel_Rarely"/>
    <n v="1115"/>
    <x v="0"/>
    <n v="1"/>
    <s v="Master"/>
    <x v="0"/>
    <s v="Low"/>
    <x v="0"/>
    <n v="51"/>
    <s v="Medium"/>
    <x v="0"/>
    <s v="Manufacturing Director"/>
    <s v="High"/>
    <s v="Divorced"/>
    <n v="5993"/>
    <n v="2689"/>
    <n v="1"/>
    <s v="No"/>
    <n v="18"/>
    <s v="Excellent"/>
    <s v="High"/>
    <n v="1"/>
    <n v="7"/>
    <n v="2"/>
    <s v="Best"/>
    <x v="5"/>
    <s v="5-10"/>
    <n v="5"/>
    <n v="0"/>
    <n v="7"/>
    <n v="60"/>
  </r>
  <r>
    <n v="32"/>
    <x v="2"/>
    <x v="1"/>
    <s v="Travel_Rarely"/>
    <n v="427"/>
    <x v="0"/>
    <n v="1"/>
    <s v="Bachelor"/>
    <x v="2"/>
    <s v="Low"/>
    <x v="0"/>
    <n v="33"/>
    <s v="High"/>
    <x v="0"/>
    <s v="Manufacturing Director"/>
    <s v="Very High"/>
    <s v="Married"/>
    <n v="6162"/>
    <n v="10877"/>
    <n v="1"/>
    <s v="Yes"/>
    <n v="22"/>
    <s v="Outstanding"/>
    <s v="Medium"/>
    <n v="1"/>
    <n v="9"/>
    <n v="3"/>
    <s v="Better"/>
    <x v="7"/>
    <s v="5-10"/>
    <n v="8"/>
    <n v="7"/>
    <n v="8"/>
    <n v="61"/>
  </r>
  <r>
    <n v="38"/>
    <x v="0"/>
    <x v="1"/>
    <s v="Travel_Frequently"/>
    <n v="653"/>
    <x v="0"/>
    <n v="29"/>
    <s v="Doctor"/>
    <x v="0"/>
    <s v="Very High"/>
    <x v="1"/>
    <n v="50"/>
    <s v="High"/>
    <x v="0"/>
    <s v="Laboratory Technician"/>
    <s v="Very High"/>
    <s v="Single"/>
    <n v="2406"/>
    <n v="5456"/>
    <n v="1"/>
    <s v="No"/>
    <n v="11"/>
    <s v="Excellent"/>
    <s v="Very High"/>
    <n v="0"/>
    <n v="10"/>
    <n v="2"/>
    <s v="Better"/>
    <x v="1"/>
    <s v="5-10"/>
    <n v="3"/>
    <n v="9"/>
    <n v="9"/>
    <n v="62"/>
  </r>
  <r>
    <n v="50"/>
    <x v="1"/>
    <x v="1"/>
    <s v="Travel_Rarely"/>
    <n v="989"/>
    <x v="0"/>
    <n v="7"/>
    <s v="College"/>
    <x v="2"/>
    <s v="Medium"/>
    <x v="1"/>
    <n v="43"/>
    <s v="Medium"/>
    <x v="4"/>
    <s v="Research Director"/>
    <s v="High"/>
    <s v="Divorced"/>
    <n v="18740"/>
    <n v="16701"/>
    <n v="5"/>
    <s v="Yes"/>
    <n v="12"/>
    <s v="Excellent"/>
    <s v="Very High"/>
    <n v="1"/>
    <n v="29"/>
    <n v="2"/>
    <s v="Good"/>
    <x v="16"/>
    <s v="10-40"/>
    <n v="3"/>
    <n v="13"/>
    <n v="8"/>
    <n v="63"/>
  </r>
  <r>
    <n v="59"/>
    <x v="3"/>
    <x v="1"/>
    <s v="Travel_Rarely"/>
    <n v="1435"/>
    <x v="1"/>
    <n v="25"/>
    <s v="Bachelor"/>
    <x v="0"/>
    <s v="Low"/>
    <x v="1"/>
    <n v="99"/>
    <s v="High"/>
    <x v="2"/>
    <s v="Sales Executive"/>
    <s v="Low"/>
    <s v="Single"/>
    <n v="7637"/>
    <n v="2354"/>
    <n v="7"/>
    <s v="No"/>
    <n v="11"/>
    <s v="Excellent"/>
    <s v="Very High"/>
    <n v="0"/>
    <n v="28"/>
    <n v="3"/>
    <s v="Good"/>
    <x v="17"/>
    <s v="10-40"/>
    <n v="16"/>
    <n v="7"/>
    <n v="9"/>
    <n v="64"/>
  </r>
  <r>
    <n v="36"/>
    <x v="0"/>
    <x v="1"/>
    <s v="Travel_Rarely"/>
    <n v="1223"/>
    <x v="0"/>
    <n v="8"/>
    <s v="Bachelor"/>
    <x v="4"/>
    <s v="High"/>
    <x v="1"/>
    <n v="59"/>
    <s v="High"/>
    <x v="2"/>
    <s v="Healthcare Representative"/>
    <s v="High"/>
    <s v="Divorced"/>
    <n v="10096"/>
    <n v="8202"/>
    <n v="1"/>
    <s v="No"/>
    <n v="13"/>
    <s v="Excellent"/>
    <s v="Medium"/>
    <n v="3"/>
    <n v="17"/>
    <n v="2"/>
    <s v="Better"/>
    <x v="18"/>
    <s v="10-40"/>
    <n v="14"/>
    <n v="12"/>
    <n v="8"/>
    <n v="65"/>
  </r>
  <r>
    <n v="55"/>
    <x v="1"/>
    <x v="1"/>
    <s v="Travel_Rarely"/>
    <n v="836"/>
    <x v="0"/>
    <n v="8"/>
    <s v="Bachelor"/>
    <x v="2"/>
    <s v="Very High"/>
    <x v="1"/>
    <n v="33"/>
    <s v="High"/>
    <x v="3"/>
    <s v="Manager"/>
    <s v="High"/>
    <s v="Divorced"/>
    <n v="14756"/>
    <n v="19730"/>
    <n v="2"/>
    <s v="Yes"/>
    <n v="14"/>
    <s v="Excellent"/>
    <s v="High"/>
    <n v="3"/>
    <n v="21"/>
    <n v="2"/>
    <s v="Better"/>
    <x v="8"/>
    <s v="0-5"/>
    <n v="0"/>
    <n v="0"/>
    <n v="2"/>
    <n v="66"/>
  </r>
  <r>
    <n v="36"/>
    <x v="0"/>
    <x v="1"/>
    <s v="Travel_Frequently"/>
    <n v="1195"/>
    <x v="0"/>
    <n v="11"/>
    <s v="Bachelor"/>
    <x v="0"/>
    <s v="Medium"/>
    <x v="0"/>
    <n v="95"/>
    <s v="Medium"/>
    <x v="0"/>
    <s v="Manufacturing Director"/>
    <s v="Medium"/>
    <s v="Single"/>
    <n v="6499"/>
    <n v="22656"/>
    <n v="1"/>
    <s v="No"/>
    <n v="13"/>
    <s v="Excellent"/>
    <s v="High"/>
    <n v="0"/>
    <n v="6"/>
    <n v="3"/>
    <s v="Better"/>
    <x v="0"/>
    <s v="5-10"/>
    <n v="5"/>
    <n v="0"/>
    <n v="3"/>
    <n v="67"/>
  </r>
  <r>
    <n v="45"/>
    <x v="0"/>
    <x v="1"/>
    <s v="Travel_Rarely"/>
    <n v="1339"/>
    <x v="0"/>
    <n v="7"/>
    <s v="Bachelor"/>
    <x v="0"/>
    <s v="Medium"/>
    <x v="0"/>
    <n v="59"/>
    <s v="High"/>
    <x v="2"/>
    <s v="Research Scientist"/>
    <s v="Low"/>
    <s v="Divorced"/>
    <n v="9724"/>
    <n v="18787"/>
    <n v="2"/>
    <s v="No"/>
    <n v="17"/>
    <s v="Excellent"/>
    <s v="High"/>
    <n v="1"/>
    <n v="25"/>
    <n v="2"/>
    <s v="Better"/>
    <x v="6"/>
    <s v="0-5"/>
    <n v="0"/>
    <n v="0"/>
    <n v="0"/>
    <n v="68"/>
  </r>
  <r>
    <n v="35"/>
    <x v="2"/>
    <x v="1"/>
    <s v="Travel_Frequently"/>
    <n v="664"/>
    <x v="0"/>
    <n v="1"/>
    <s v="Bachelor"/>
    <x v="2"/>
    <s v="Medium"/>
    <x v="0"/>
    <n v="79"/>
    <s v="High"/>
    <x v="1"/>
    <s v="Research Scientist"/>
    <s v="Low"/>
    <s v="Married"/>
    <n v="2194"/>
    <n v="5868"/>
    <n v="4"/>
    <s v="No"/>
    <n v="13"/>
    <s v="Excellent"/>
    <s v="Very High"/>
    <n v="1"/>
    <n v="5"/>
    <n v="2"/>
    <s v="Good"/>
    <x v="11"/>
    <s v="0-5"/>
    <n v="2"/>
    <n v="1"/>
    <n v="2"/>
    <n v="69"/>
  </r>
  <r>
    <n v="36"/>
    <x v="0"/>
    <x v="0"/>
    <s v="Travel_Rarely"/>
    <n v="318"/>
    <x v="0"/>
    <n v="9"/>
    <s v="Bachelor"/>
    <x v="2"/>
    <s v="Very High"/>
    <x v="0"/>
    <n v="79"/>
    <s v="Medium"/>
    <x v="1"/>
    <s v="Research Scientist"/>
    <s v="High"/>
    <s v="Married"/>
    <n v="3388"/>
    <n v="21777"/>
    <n v="0"/>
    <s v="Yes"/>
    <n v="17"/>
    <s v="Excellent"/>
    <s v="Low"/>
    <n v="1"/>
    <n v="2"/>
    <n v="0"/>
    <s v="Good"/>
    <x v="6"/>
    <s v="0-5"/>
    <n v="0"/>
    <n v="0"/>
    <n v="0"/>
    <n v="70"/>
  </r>
  <r>
    <n v="59"/>
    <x v="3"/>
    <x v="1"/>
    <s v="Travel_Frequently"/>
    <n v="1225"/>
    <x v="1"/>
    <n v="1"/>
    <s v="Below College"/>
    <x v="0"/>
    <s v="Low"/>
    <x v="1"/>
    <n v="57"/>
    <s v="Medium"/>
    <x v="0"/>
    <s v="Sales Executive"/>
    <s v="High"/>
    <s v="Single"/>
    <n v="5473"/>
    <n v="24668"/>
    <n v="7"/>
    <s v="No"/>
    <n v="11"/>
    <s v="Excellent"/>
    <s v="Very High"/>
    <n v="0"/>
    <n v="20"/>
    <n v="2"/>
    <s v="Good"/>
    <x v="9"/>
    <s v="0-5"/>
    <n v="3"/>
    <n v="1"/>
    <n v="3"/>
    <n v="71"/>
  </r>
  <r>
    <n v="29"/>
    <x v="2"/>
    <x v="1"/>
    <s v="Travel_Rarely"/>
    <n v="1328"/>
    <x v="0"/>
    <n v="2"/>
    <s v="Bachelor"/>
    <x v="0"/>
    <s v="High"/>
    <x v="0"/>
    <n v="76"/>
    <s v="High"/>
    <x v="1"/>
    <s v="Research Scientist"/>
    <s v="Medium"/>
    <s v="Married"/>
    <n v="2703"/>
    <n v="4956"/>
    <n v="0"/>
    <s v="No"/>
    <n v="23"/>
    <s v="Outstanding"/>
    <s v="Very High"/>
    <n v="1"/>
    <n v="6"/>
    <n v="3"/>
    <s v="Better"/>
    <x v="8"/>
    <s v="0-5"/>
    <n v="4"/>
    <n v="0"/>
    <n v="4"/>
    <n v="72"/>
  </r>
  <r>
    <n v="31"/>
    <x v="2"/>
    <x v="1"/>
    <s v="Travel_Rarely"/>
    <n v="1082"/>
    <x v="0"/>
    <n v="1"/>
    <s v="Master"/>
    <x v="2"/>
    <s v="High"/>
    <x v="0"/>
    <n v="87"/>
    <s v="High"/>
    <x v="1"/>
    <s v="Research Scientist"/>
    <s v="Medium"/>
    <s v="Single"/>
    <n v="2501"/>
    <n v="18775"/>
    <n v="1"/>
    <s v="No"/>
    <n v="17"/>
    <s v="Excellent"/>
    <s v="Medium"/>
    <n v="0"/>
    <n v="1"/>
    <n v="4"/>
    <s v="Better"/>
    <x v="6"/>
    <s v="0-5"/>
    <n v="1"/>
    <n v="1"/>
    <n v="0"/>
    <n v="73"/>
  </r>
  <r>
    <n v="32"/>
    <x v="2"/>
    <x v="1"/>
    <s v="Travel_Rarely"/>
    <n v="548"/>
    <x v="0"/>
    <n v="1"/>
    <s v="Bachelor"/>
    <x v="0"/>
    <s v="Medium"/>
    <x v="0"/>
    <n v="66"/>
    <s v="High"/>
    <x v="0"/>
    <s v="Research Scientist"/>
    <s v="Medium"/>
    <s v="Married"/>
    <n v="6220"/>
    <n v="7346"/>
    <n v="1"/>
    <s v="No"/>
    <n v="17"/>
    <s v="Excellent"/>
    <s v="Medium"/>
    <n v="2"/>
    <n v="10"/>
    <n v="3"/>
    <s v="Better"/>
    <x v="1"/>
    <s v="5-10"/>
    <n v="4"/>
    <n v="0"/>
    <n v="9"/>
    <n v="74"/>
  </r>
  <r>
    <n v="36"/>
    <x v="0"/>
    <x v="1"/>
    <s v="Travel_Rarely"/>
    <n v="132"/>
    <x v="0"/>
    <n v="6"/>
    <s v="Bachelor"/>
    <x v="0"/>
    <s v="Medium"/>
    <x v="1"/>
    <n v="55"/>
    <s v="Very High"/>
    <x v="1"/>
    <s v="Laboratory Technician"/>
    <s v="Very High"/>
    <s v="Married"/>
    <n v="3038"/>
    <n v="22002"/>
    <n v="3"/>
    <s v="No"/>
    <n v="12"/>
    <s v="Excellent"/>
    <s v="Medium"/>
    <n v="0"/>
    <n v="5"/>
    <n v="3"/>
    <s v="Better"/>
    <x v="6"/>
    <s v="0-5"/>
    <n v="0"/>
    <n v="0"/>
    <n v="0"/>
    <n v="75"/>
  </r>
  <r>
    <n v="31"/>
    <x v="2"/>
    <x v="1"/>
    <s v="Travel_Rarely"/>
    <n v="746"/>
    <x v="0"/>
    <n v="8"/>
    <s v="Master"/>
    <x v="0"/>
    <s v="High"/>
    <x v="1"/>
    <n v="61"/>
    <s v="High"/>
    <x v="0"/>
    <s v="Manufacturing Director"/>
    <s v="Very High"/>
    <s v="Single"/>
    <n v="4424"/>
    <n v="20682"/>
    <n v="1"/>
    <s v="No"/>
    <n v="23"/>
    <s v="Outstanding"/>
    <s v="Very High"/>
    <n v="0"/>
    <n v="11"/>
    <n v="2"/>
    <s v="Better"/>
    <x v="19"/>
    <s v="10-40"/>
    <n v="7"/>
    <n v="1"/>
    <n v="8"/>
    <n v="76"/>
  </r>
  <r>
    <n v="35"/>
    <x v="2"/>
    <x v="1"/>
    <s v="Travel_Rarely"/>
    <n v="776"/>
    <x v="1"/>
    <n v="1"/>
    <s v="Master"/>
    <x v="3"/>
    <s v="High"/>
    <x v="0"/>
    <n v="32"/>
    <s v="Medium"/>
    <x v="0"/>
    <s v="Sales Executive"/>
    <s v="Low"/>
    <s v="Single"/>
    <n v="4312"/>
    <n v="23016"/>
    <n v="0"/>
    <s v="No"/>
    <n v="14"/>
    <s v="Excellent"/>
    <s v="Medium"/>
    <n v="0"/>
    <n v="16"/>
    <n v="2"/>
    <s v="Better"/>
    <x v="15"/>
    <s v="10-40"/>
    <n v="13"/>
    <n v="2"/>
    <n v="8"/>
    <n v="77"/>
  </r>
  <r>
    <n v="45"/>
    <x v="0"/>
    <x v="1"/>
    <s v="Travel_Rarely"/>
    <n v="193"/>
    <x v="0"/>
    <n v="6"/>
    <s v="Master"/>
    <x v="1"/>
    <s v="Very High"/>
    <x v="0"/>
    <n v="52"/>
    <s v="High"/>
    <x v="2"/>
    <s v="Research Director"/>
    <s v="Low"/>
    <s v="Married"/>
    <n v="13245"/>
    <n v="15067"/>
    <n v="4"/>
    <s v="Yes"/>
    <n v="14"/>
    <s v="Excellent"/>
    <s v="Medium"/>
    <n v="0"/>
    <n v="17"/>
    <n v="3"/>
    <s v="Best"/>
    <x v="2"/>
    <s v="0-5"/>
    <n v="0"/>
    <n v="0"/>
    <n v="0"/>
    <n v="78"/>
  </r>
  <r>
    <n v="37"/>
    <x v="0"/>
    <x v="1"/>
    <s v="Travel_Rarely"/>
    <n v="397"/>
    <x v="0"/>
    <n v="7"/>
    <s v="Master"/>
    <x v="2"/>
    <s v="Low"/>
    <x v="0"/>
    <n v="30"/>
    <s v="High"/>
    <x v="2"/>
    <s v="Research Director"/>
    <s v="High"/>
    <s v="Single"/>
    <n v="13664"/>
    <n v="25258"/>
    <n v="4"/>
    <s v="No"/>
    <n v="13"/>
    <s v="Excellent"/>
    <s v="Low"/>
    <n v="0"/>
    <n v="16"/>
    <n v="3"/>
    <s v="Best"/>
    <x v="8"/>
    <s v="0-5"/>
    <n v="2"/>
    <n v="0"/>
    <n v="2"/>
    <n v="79"/>
  </r>
  <r>
    <n v="46"/>
    <x v="1"/>
    <x v="1"/>
    <s v="Travel_Rarely"/>
    <n v="945"/>
    <x v="2"/>
    <n v="5"/>
    <s v="College"/>
    <x v="2"/>
    <s v="Medium"/>
    <x v="0"/>
    <n v="80"/>
    <s v="High"/>
    <x v="0"/>
    <s v="Human Resources"/>
    <s v="Medium"/>
    <s v="Divorced"/>
    <n v="5021"/>
    <n v="10425"/>
    <n v="8"/>
    <s v="Yes"/>
    <n v="22"/>
    <s v="Outstanding"/>
    <s v="Very High"/>
    <n v="1"/>
    <n v="16"/>
    <n v="2"/>
    <s v="Better"/>
    <x v="9"/>
    <s v="0-5"/>
    <n v="2"/>
    <n v="0"/>
    <n v="2"/>
    <n v="80"/>
  </r>
  <r>
    <n v="30"/>
    <x v="2"/>
    <x v="1"/>
    <s v="Travel_Rarely"/>
    <n v="852"/>
    <x v="0"/>
    <n v="1"/>
    <s v="Below College"/>
    <x v="0"/>
    <s v="Very High"/>
    <x v="0"/>
    <n v="55"/>
    <s v="Medium"/>
    <x v="0"/>
    <s v="Laboratory Technician"/>
    <s v="Very High"/>
    <s v="Married"/>
    <n v="5126"/>
    <n v="15998"/>
    <n v="1"/>
    <s v="Yes"/>
    <n v="12"/>
    <s v="Excellent"/>
    <s v="High"/>
    <n v="2"/>
    <n v="10"/>
    <n v="1"/>
    <s v="Good"/>
    <x v="1"/>
    <s v="5-10"/>
    <n v="8"/>
    <n v="3"/>
    <n v="0"/>
    <n v="81"/>
  </r>
  <r>
    <n v="35"/>
    <x v="2"/>
    <x v="1"/>
    <s v="Travel_Rarely"/>
    <n v="1214"/>
    <x v="0"/>
    <n v="1"/>
    <s v="Bachelor"/>
    <x v="2"/>
    <s v="Medium"/>
    <x v="0"/>
    <n v="30"/>
    <s v="Medium"/>
    <x v="1"/>
    <s v="Research Scientist"/>
    <s v="High"/>
    <s v="Single"/>
    <n v="2859"/>
    <n v="26278"/>
    <n v="1"/>
    <s v="No"/>
    <n v="18"/>
    <s v="Excellent"/>
    <s v="Low"/>
    <n v="0"/>
    <n v="6"/>
    <n v="3"/>
    <s v="Better"/>
    <x v="0"/>
    <s v="5-10"/>
    <n v="4"/>
    <n v="0"/>
    <n v="4"/>
    <n v="82"/>
  </r>
  <r>
    <n v="55"/>
    <x v="1"/>
    <x v="1"/>
    <s v="Travel_Rarely"/>
    <n v="111"/>
    <x v="1"/>
    <n v="1"/>
    <s v="College"/>
    <x v="0"/>
    <s v="Low"/>
    <x v="0"/>
    <n v="70"/>
    <s v="High"/>
    <x v="2"/>
    <s v="Sales Executive"/>
    <s v="Very High"/>
    <s v="Married"/>
    <n v="10239"/>
    <n v="18092"/>
    <n v="3"/>
    <s v="No"/>
    <n v="14"/>
    <s v="Excellent"/>
    <s v="Very High"/>
    <n v="1"/>
    <n v="24"/>
    <n v="4"/>
    <s v="Better"/>
    <x v="6"/>
    <s v="0-5"/>
    <n v="0"/>
    <n v="1"/>
    <n v="0"/>
    <n v="83"/>
  </r>
  <r>
    <n v="38"/>
    <x v="0"/>
    <x v="1"/>
    <s v="Non-Travel"/>
    <n v="573"/>
    <x v="0"/>
    <n v="6"/>
    <s v="Bachelor"/>
    <x v="2"/>
    <s v="Medium"/>
    <x v="1"/>
    <n v="79"/>
    <s v="Low"/>
    <x v="0"/>
    <s v="Research Scientist"/>
    <s v="Very High"/>
    <s v="Divorced"/>
    <n v="5329"/>
    <n v="15717"/>
    <n v="7"/>
    <s v="Yes"/>
    <n v="12"/>
    <s v="Excellent"/>
    <s v="Very High"/>
    <n v="3"/>
    <n v="17"/>
    <n v="3"/>
    <s v="Better"/>
    <x v="20"/>
    <s v="10-40"/>
    <n v="11"/>
    <n v="1"/>
    <n v="9"/>
    <n v="84"/>
  </r>
  <r>
    <n v="34"/>
    <x v="2"/>
    <x v="1"/>
    <s v="Travel_Rarely"/>
    <n v="1153"/>
    <x v="0"/>
    <n v="1"/>
    <s v="College"/>
    <x v="2"/>
    <s v="Low"/>
    <x v="0"/>
    <n v="94"/>
    <s v="High"/>
    <x v="0"/>
    <s v="Manufacturing Director"/>
    <s v="Medium"/>
    <s v="Married"/>
    <n v="4325"/>
    <n v="17736"/>
    <n v="1"/>
    <s v="No"/>
    <n v="15"/>
    <s v="Excellent"/>
    <s v="High"/>
    <n v="0"/>
    <n v="5"/>
    <n v="2"/>
    <s v="Better"/>
    <x v="8"/>
    <s v="0-5"/>
    <n v="2"/>
    <n v="1"/>
    <n v="3"/>
    <n v="85"/>
  </r>
  <r>
    <n v="56"/>
    <x v="3"/>
    <x v="1"/>
    <s v="Travel_Rarely"/>
    <n v="1400"/>
    <x v="0"/>
    <n v="7"/>
    <s v="Bachelor"/>
    <x v="0"/>
    <s v="Very High"/>
    <x v="0"/>
    <n v="49"/>
    <s v="Low"/>
    <x v="2"/>
    <s v="Manufacturing Director"/>
    <s v="Very High"/>
    <s v="Single"/>
    <n v="7260"/>
    <n v="21698"/>
    <n v="4"/>
    <s v="No"/>
    <n v="11"/>
    <s v="Excellent"/>
    <s v="Low"/>
    <n v="0"/>
    <n v="37"/>
    <n v="3"/>
    <s v="Good"/>
    <x v="0"/>
    <s v="5-10"/>
    <n v="4"/>
    <n v="0"/>
    <n v="2"/>
    <n v="86"/>
  </r>
  <r>
    <n v="23"/>
    <x v="4"/>
    <x v="1"/>
    <s v="Travel_Rarely"/>
    <n v="541"/>
    <x v="1"/>
    <n v="2"/>
    <s v="Below College"/>
    <x v="4"/>
    <s v="High"/>
    <x v="0"/>
    <n v="62"/>
    <s v="High"/>
    <x v="1"/>
    <s v="Sales Representative"/>
    <s v="Low"/>
    <s v="Divorced"/>
    <n v="2322"/>
    <n v="9518"/>
    <n v="3"/>
    <s v="No"/>
    <n v="13"/>
    <s v="Excellent"/>
    <s v="High"/>
    <n v="1"/>
    <n v="3"/>
    <n v="3"/>
    <s v="Better"/>
    <x v="2"/>
    <s v="0-5"/>
    <n v="0"/>
    <n v="0"/>
    <n v="0"/>
    <n v="87"/>
  </r>
  <r>
    <n v="51"/>
    <x v="1"/>
    <x v="1"/>
    <s v="Travel_Rarely"/>
    <n v="432"/>
    <x v="0"/>
    <n v="9"/>
    <s v="Master"/>
    <x v="0"/>
    <s v="Very High"/>
    <x v="0"/>
    <n v="96"/>
    <s v="High"/>
    <x v="1"/>
    <s v="Laboratory Technician"/>
    <s v="Very High"/>
    <s v="Married"/>
    <n v="2075"/>
    <n v="18725"/>
    <n v="3"/>
    <s v="No"/>
    <n v="23"/>
    <s v="Outstanding"/>
    <s v="Medium"/>
    <n v="2"/>
    <n v="10"/>
    <n v="4"/>
    <s v="Better"/>
    <x v="9"/>
    <s v="0-5"/>
    <n v="2"/>
    <n v="0"/>
    <n v="3"/>
    <n v="88"/>
  </r>
  <r>
    <n v="30"/>
    <x v="2"/>
    <x v="1"/>
    <s v="Travel_Rarely"/>
    <n v="288"/>
    <x v="0"/>
    <n v="2"/>
    <s v="Bachelor"/>
    <x v="0"/>
    <s v="High"/>
    <x v="0"/>
    <n v="99"/>
    <s v="Medium"/>
    <x v="0"/>
    <s v="Healthcare Representative"/>
    <s v="Very High"/>
    <s v="Married"/>
    <n v="4152"/>
    <n v="15830"/>
    <n v="1"/>
    <s v="No"/>
    <n v="19"/>
    <s v="Excellent"/>
    <s v="Low"/>
    <n v="3"/>
    <n v="11"/>
    <n v="3"/>
    <s v="Better"/>
    <x v="19"/>
    <s v="10-40"/>
    <n v="10"/>
    <n v="10"/>
    <n v="8"/>
    <n v="89"/>
  </r>
  <r>
    <n v="46"/>
    <x v="1"/>
    <x v="0"/>
    <s v="Travel_Rarely"/>
    <n v="669"/>
    <x v="1"/>
    <n v="9"/>
    <s v="College"/>
    <x v="2"/>
    <s v="High"/>
    <x v="0"/>
    <n v="64"/>
    <s v="Medium"/>
    <x v="2"/>
    <s v="Sales Executive"/>
    <s v="Very High"/>
    <s v="Single"/>
    <n v="9619"/>
    <n v="13596"/>
    <n v="1"/>
    <s v="No"/>
    <n v="16"/>
    <s v="Excellent"/>
    <s v="Very High"/>
    <n v="0"/>
    <n v="9"/>
    <n v="3"/>
    <s v="Better"/>
    <x v="7"/>
    <s v="5-10"/>
    <n v="8"/>
    <n v="4"/>
    <n v="7"/>
    <n v="90"/>
  </r>
  <r>
    <n v="40"/>
    <x v="0"/>
    <x v="1"/>
    <s v="Travel_Frequently"/>
    <n v="530"/>
    <x v="0"/>
    <n v="1"/>
    <s v="Master"/>
    <x v="0"/>
    <s v="High"/>
    <x v="0"/>
    <n v="78"/>
    <s v="Medium"/>
    <x v="3"/>
    <s v="Healthcare Representative"/>
    <s v="Medium"/>
    <s v="Married"/>
    <n v="13503"/>
    <n v="14115"/>
    <n v="1"/>
    <s v="No"/>
    <n v="22"/>
    <s v="Outstanding"/>
    <s v="Very High"/>
    <n v="1"/>
    <n v="22"/>
    <n v="3"/>
    <s v="Good"/>
    <x v="14"/>
    <s v="10-40"/>
    <n v="3"/>
    <n v="11"/>
    <n v="11"/>
    <n v="91"/>
  </r>
  <r>
    <n v="51"/>
    <x v="1"/>
    <x v="1"/>
    <s v="Travel_Rarely"/>
    <n v="632"/>
    <x v="1"/>
    <n v="21"/>
    <s v="Master"/>
    <x v="3"/>
    <s v="High"/>
    <x v="0"/>
    <n v="71"/>
    <s v="High"/>
    <x v="0"/>
    <s v="Sales Executive"/>
    <s v="Very High"/>
    <s v="Single"/>
    <n v="5441"/>
    <n v="8423"/>
    <n v="0"/>
    <s v="Yes"/>
    <n v="22"/>
    <s v="Outstanding"/>
    <s v="Very High"/>
    <n v="0"/>
    <n v="11"/>
    <n v="2"/>
    <s v="Bad"/>
    <x v="1"/>
    <s v="5-10"/>
    <n v="7"/>
    <n v="1"/>
    <n v="0"/>
    <n v="92"/>
  </r>
  <r>
    <n v="30"/>
    <x v="2"/>
    <x v="1"/>
    <s v="Travel_Rarely"/>
    <n v="1334"/>
    <x v="1"/>
    <n v="4"/>
    <s v="College"/>
    <x v="2"/>
    <s v="High"/>
    <x v="1"/>
    <n v="63"/>
    <s v="Medium"/>
    <x v="0"/>
    <s v="Sales Executive"/>
    <s v="Medium"/>
    <s v="Divorced"/>
    <n v="5209"/>
    <n v="19760"/>
    <n v="1"/>
    <s v="Yes"/>
    <n v="12"/>
    <s v="Excellent"/>
    <s v="Medium"/>
    <n v="3"/>
    <n v="11"/>
    <n v="4"/>
    <s v="Good"/>
    <x v="19"/>
    <s v="10-40"/>
    <n v="8"/>
    <n v="2"/>
    <n v="7"/>
    <n v="93"/>
  </r>
  <r>
    <n v="46"/>
    <x v="1"/>
    <x v="1"/>
    <s v="Travel_Frequently"/>
    <n v="638"/>
    <x v="0"/>
    <n v="1"/>
    <s v="Bachelor"/>
    <x v="2"/>
    <s v="High"/>
    <x v="0"/>
    <n v="40"/>
    <s v="Medium"/>
    <x v="2"/>
    <s v="Healthcare Representative"/>
    <s v="Low"/>
    <s v="Married"/>
    <n v="10673"/>
    <n v="3142"/>
    <n v="2"/>
    <s v="Yes"/>
    <n v="13"/>
    <s v="Excellent"/>
    <s v="High"/>
    <n v="1"/>
    <n v="21"/>
    <n v="5"/>
    <s v="Good"/>
    <x v="1"/>
    <s v="5-10"/>
    <n v="9"/>
    <n v="9"/>
    <n v="5"/>
    <n v="94"/>
  </r>
  <r>
    <n v="32"/>
    <x v="2"/>
    <x v="1"/>
    <s v="Travel_Rarely"/>
    <n v="1093"/>
    <x v="1"/>
    <n v="6"/>
    <s v="Master"/>
    <x v="2"/>
    <s v="Medium"/>
    <x v="0"/>
    <n v="87"/>
    <s v="High"/>
    <x v="0"/>
    <s v="Sales Executive"/>
    <s v="High"/>
    <s v="Single"/>
    <n v="5010"/>
    <n v="24301"/>
    <n v="1"/>
    <s v="No"/>
    <n v="16"/>
    <s v="Excellent"/>
    <s v="Low"/>
    <n v="0"/>
    <n v="12"/>
    <n v="0"/>
    <s v="Better"/>
    <x v="19"/>
    <s v="10-40"/>
    <n v="8"/>
    <n v="5"/>
    <n v="7"/>
    <n v="95"/>
  </r>
  <r>
    <n v="54"/>
    <x v="1"/>
    <x v="1"/>
    <s v="Travel_Rarely"/>
    <n v="1217"/>
    <x v="0"/>
    <n v="2"/>
    <s v="Master"/>
    <x v="4"/>
    <s v="Low"/>
    <x v="1"/>
    <n v="60"/>
    <s v="High"/>
    <x v="2"/>
    <s v="Research Director"/>
    <s v="High"/>
    <s v="Married"/>
    <n v="13549"/>
    <n v="24001"/>
    <n v="9"/>
    <s v="No"/>
    <n v="12"/>
    <s v="Excellent"/>
    <s v="Low"/>
    <n v="1"/>
    <n v="16"/>
    <n v="5"/>
    <s v="Bad"/>
    <x v="9"/>
    <s v="0-5"/>
    <n v="3"/>
    <n v="0"/>
    <n v="3"/>
    <n v="96"/>
  </r>
  <r>
    <n v="24"/>
    <x v="4"/>
    <x v="1"/>
    <s v="Travel_Rarely"/>
    <n v="1353"/>
    <x v="1"/>
    <n v="3"/>
    <s v="College"/>
    <x v="1"/>
    <s v="Low"/>
    <x v="1"/>
    <n v="33"/>
    <s v="High"/>
    <x v="0"/>
    <s v="Sales Executive"/>
    <s v="High"/>
    <s v="Married"/>
    <n v="4999"/>
    <n v="17519"/>
    <n v="0"/>
    <s v="No"/>
    <n v="21"/>
    <s v="Outstanding"/>
    <s v="Low"/>
    <n v="1"/>
    <n v="4"/>
    <n v="2"/>
    <s v="Good"/>
    <x v="11"/>
    <s v="0-5"/>
    <n v="2"/>
    <n v="0"/>
    <n v="2"/>
    <n v="97"/>
  </r>
  <r>
    <n v="28"/>
    <x v="2"/>
    <x v="1"/>
    <s v="Non-Travel"/>
    <n v="120"/>
    <x v="1"/>
    <n v="4"/>
    <s v="Bachelor"/>
    <x v="2"/>
    <s v="Medium"/>
    <x v="0"/>
    <n v="43"/>
    <s v="High"/>
    <x v="0"/>
    <s v="Sales Executive"/>
    <s v="High"/>
    <s v="Married"/>
    <n v="4221"/>
    <n v="8863"/>
    <n v="1"/>
    <s v="No"/>
    <n v="15"/>
    <s v="Excellent"/>
    <s v="Medium"/>
    <n v="0"/>
    <n v="5"/>
    <n v="3"/>
    <s v="Best"/>
    <x v="8"/>
    <s v="0-5"/>
    <n v="4"/>
    <n v="0"/>
    <n v="4"/>
    <n v="98"/>
  </r>
  <r>
    <n v="58"/>
    <x v="3"/>
    <x v="1"/>
    <s v="Travel_Rarely"/>
    <n v="682"/>
    <x v="1"/>
    <n v="10"/>
    <s v="Master"/>
    <x v="2"/>
    <s v="Very High"/>
    <x v="0"/>
    <n v="37"/>
    <s v="High"/>
    <x v="3"/>
    <s v="Sales Executive"/>
    <s v="High"/>
    <s v="Single"/>
    <n v="13872"/>
    <n v="24409"/>
    <n v="0"/>
    <s v="No"/>
    <n v="13"/>
    <s v="Excellent"/>
    <s v="High"/>
    <n v="0"/>
    <n v="38"/>
    <n v="1"/>
    <s v="Good"/>
    <x v="21"/>
    <s v="10-40"/>
    <n v="10"/>
    <n v="1"/>
    <n v="8"/>
    <n v="99"/>
  </r>
  <r>
    <n v="44"/>
    <x v="0"/>
    <x v="1"/>
    <s v="Non-Travel"/>
    <n v="489"/>
    <x v="0"/>
    <n v="23"/>
    <s v="Bachelor"/>
    <x v="2"/>
    <s v="Medium"/>
    <x v="0"/>
    <n v="67"/>
    <s v="High"/>
    <x v="0"/>
    <s v="Laboratory Technician"/>
    <s v="Medium"/>
    <s v="Married"/>
    <n v="2042"/>
    <n v="25043"/>
    <n v="4"/>
    <s v="No"/>
    <n v="12"/>
    <s v="Excellent"/>
    <s v="High"/>
    <n v="1"/>
    <n v="17"/>
    <n v="3"/>
    <s v="Best"/>
    <x v="11"/>
    <s v="0-5"/>
    <n v="2"/>
    <n v="1"/>
    <n v="2"/>
    <n v="100"/>
  </r>
  <r>
    <n v="37"/>
    <x v="0"/>
    <x v="0"/>
    <s v="Travel_Rarely"/>
    <n v="807"/>
    <x v="2"/>
    <n v="6"/>
    <s v="Master"/>
    <x v="5"/>
    <s v="High"/>
    <x v="0"/>
    <n v="63"/>
    <s v="High"/>
    <x v="1"/>
    <s v="Human Resources"/>
    <s v="Low"/>
    <s v="Divorced"/>
    <n v="2073"/>
    <n v="23648"/>
    <n v="4"/>
    <s v="Yes"/>
    <n v="22"/>
    <s v="Outstanding"/>
    <s v="Very High"/>
    <n v="0"/>
    <n v="7"/>
    <n v="3"/>
    <s v="Better"/>
    <x v="11"/>
    <s v="0-5"/>
    <n v="2"/>
    <n v="0"/>
    <n v="2"/>
    <n v="101"/>
  </r>
  <r>
    <n v="32"/>
    <x v="2"/>
    <x v="1"/>
    <s v="Travel_Rarely"/>
    <n v="827"/>
    <x v="0"/>
    <n v="1"/>
    <s v="Below College"/>
    <x v="0"/>
    <s v="Very High"/>
    <x v="0"/>
    <n v="71"/>
    <s v="High"/>
    <x v="1"/>
    <s v="Research Scientist"/>
    <s v="Low"/>
    <s v="Single"/>
    <n v="2956"/>
    <n v="15178"/>
    <n v="1"/>
    <s v="No"/>
    <n v="13"/>
    <s v="Excellent"/>
    <s v="Very High"/>
    <n v="0"/>
    <n v="1"/>
    <n v="2"/>
    <s v="Better"/>
    <x v="6"/>
    <s v="0-5"/>
    <n v="0"/>
    <n v="0"/>
    <n v="0"/>
    <n v="102"/>
  </r>
  <r>
    <n v="20"/>
    <x v="4"/>
    <x v="0"/>
    <s v="Travel_Frequently"/>
    <n v="871"/>
    <x v="0"/>
    <n v="6"/>
    <s v="Bachelor"/>
    <x v="0"/>
    <s v="Very High"/>
    <x v="1"/>
    <n v="66"/>
    <s v="Medium"/>
    <x v="1"/>
    <s v="Laboratory Technician"/>
    <s v="Very High"/>
    <s v="Single"/>
    <n v="2926"/>
    <n v="19783"/>
    <n v="1"/>
    <s v="Yes"/>
    <n v="18"/>
    <s v="Excellent"/>
    <s v="Medium"/>
    <n v="0"/>
    <n v="1"/>
    <n v="5"/>
    <s v="Better"/>
    <x v="6"/>
    <s v="0-5"/>
    <n v="0"/>
    <n v="1"/>
    <n v="0"/>
    <n v="103"/>
  </r>
  <r>
    <n v="34"/>
    <x v="2"/>
    <x v="1"/>
    <s v="Travel_Rarely"/>
    <n v="665"/>
    <x v="0"/>
    <n v="6"/>
    <s v="Master"/>
    <x v="1"/>
    <s v="Low"/>
    <x v="1"/>
    <n v="41"/>
    <s v="High"/>
    <x v="0"/>
    <s v="Research Scientist"/>
    <s v="High"/>
    <s v="Single"/>
    <n v="4809"/>
    <n v="12482"/>
    <n v="1"/>
    <s v="No"/>
    <n v="14"/>
    <s v="Excellent"/>
    <s v="High"/>
    <n v="0"/>
    <n v="16"/>
    <n v="3"/>
    <s v="Better"/>
    <x v="22"/>
    <s v="10-40"/>
    <n v="13"/>
    <n v="2"/>
    <n v="10"/>
    <n v="104"/>
  </r>
  <r>
    <n v="37"/>
    <x v="0"/>
    <x v="1"/>
    <s v="Non-Travel"/>
    <n v="1040"/>
    <x v="0"/>
    <n v="2"/>
    <s v="College"/>
    <x v="0"/>
    <s v="High"/>
    <x v="0"/>
    <n v="100"/>
    <s v="Medium"/>
    <x v="0"/>
    <s v="Healthcare Representative"/>
    <s v="Very High"/>
    <s v="Divorced"/>
    <n v="5163"/>
    <n v="15850"/>
    <n v="5"/>
    <s v="No"/>
    <n v="14"/>
    <s v="Excellent"/>
    <s v="Very High"/>
    <n v="1"/>
    <n v="17"/>
    <n v="2"/>
    <s v="Best"/>
    <x v="6"/>
    <s v="0-5"/>
    <n v="0"/>
    <n v="0"/>
    <n v="0"/>
    <n v="105"/>
  </r>
  <r>
    <n v="59"/>
    <x v="3"/>
    <x v="1"/>
    <s v="Non-Travel"/>
    <n v="1420"/>
    <x v="2"/>
    <n v="2"/>
    <s v="Master"/>
    <x v="5"/>
    <s v="High"/>
    <x v="1"/>
    <n v="32"/>
    <s v="Medium"/>
    <x v="4"/>
    <s v="Manager"/>
    <s v="Very High"/>
    <s v="Married"/>
    <n v="18844"/>
    <n v="21922"/>
    <n v="9"/>
    <s v="No"/>
    <n v="21"/>
    <s v="Outstanding"/>
    <s v="Very High"/>
    <n v="1"/>
    <n v="30"/>
    <n v="3"/>
    <s v="Better"/>
    <x v="11"/>
    <s v="0-5"/>
    <n v="2"/>
    <n v="2"/>
    <n v="2"/>
    <n v="106"/>
  </r>
  <r>
    <n v="50"/>
    <x v="1"/>
    <x v="1"/>
    <s v="Travel_Frequently"/>
    <n v="1115"/>
    <x v="0"/>
    <n v="1"/>
    <s v="Bachelor"/>
    <x v="0"/>
    <s v="Low"/>
    <x v="1"/>
    <n v="73"/>
    <s v="High"/>
    <x v="4"/>
    <s v="Research Director"/>
    <s v="Medium"/>
    <s v="Married"/>
    <n v="18172"/>
    <n v="9755"/>
    <n v="3"/>
    <s v="Yes"/>
    <n v="19"/>
    <s v="Excellent"/>
    <s v="Low"/>
    <n v="0"/>
    <n v="28"/>
    <n v="1"/>
    <s v="Good"/>
    <x v="3"/>
    <s v="5-10"/>
    <n v="3"/>
    <n v="0"/>
    <n v="7"/>
    <n v="107"/>
  </r>
  <r>
    <n v="25"/>
    <x v="4"/>
    <x v="0"/>
    <s v="Travel_Rarely"/>
    <n v="240"/>
    <x v="1"/>
    <n v="5"/>
    <s v="Bachelor"/>
    <x v="3"/>
    <s v="High"/>
    <x v="0"/>
    <n v="46"/>
    <s v="Medium"/>
    <x v="0"/>
    <s v="Sales Executive"/>
    <s v="High"/>
    <s v="Single"/>
    <n v="5744"/>
    <n v="26959"/>
    <n v="1"/>
    <s v="Yes"/>
    <n v="11"/>
    <s v="Excellent"/>
    <s v="Very High"/>
    <n v="0"/>
    <n v="6"/>
    <n v="1"/>
    <s v="Better"/>
    <x v="0"/>
    <s v="5-10"/>
    <n v="4"/>
    <n v="0"/>
    <n v="3"/>
    <n v="108"/>
  </r>
  <r>
    <n v="25"/>
    <x v="4"/>
    <x v="1"/>
    <s v="Travel_Rarely"/>
    <n v="1280"/>
    <x v="0"/>
    <n v="7"/>
    <s v="Below College"/>
    <x v="2"/>
    <s v="Very High"/>
    <x v="0"/>
    <n v="64"/>
    <s v="Medium"/>
    <x v="1"/>
    <s v="Research Scientist"/>
    <s v="Very High"/>
    <s v="Married"/>
    <n v="2889"/>
    <n v="26897"/>
    <n v="1"/>
    <s v="No"/>
    <n v="11"/>
    <s v="Excellent"/>
    <s v="High"/>
    <n v="2"/>
    <n v="2"/>
    <n v="2"/>
    <s v="Better"/>
    <x v="4"/>
    <s v="0-5"/>
    <n v="2"/>
    <n v="2"/>
    <n v="1"/>
    <n v="109"/>
  </r>
  <r>
    <n v="22"/>
    <x v="4"/>
    <x v="1"/>
    <s v="Travel_Rarely"/>
    <n v="534"/>
    <x v="0"/>
    <n v="15"/>
    <s v="Bachelor"/>
    <x v="2"/>
    <s v="Medium"/>
    <x v="1"/>
    <n v="59"/>
    <s v="High"/>
    <x v="1"/>
    <s v="Laboratory Technician"/>
    <s v="Very High"/>
    <s v="Single"/>
    <n v="2871"/>
    <n v="23785"/>
    <n v="1"/>
    <s v="No"/>
    <n v="15"/>
    <s v="Excellent"/>
    <s v="High"/>
    <n v="0"/>
    <n v="1"/>
    <n v="5"/>
    <s v="Better"/>
    <x v="2"/>
    <s v="0-5"/>
    <n v="0"/>
    <n v="0"/>
    <n v="0"/>
    <n v="110"/>
  </r>
  <r>
    <n v="51"/>
    <x v="1"/>
    <x v="1"/>
    <s v="Travel_Frequently"/>
    <n v="1456"/>
    <x v="0"/>
    <n v="1"/>
    <s v="Master"/>
    <x v="2"/>
    <s v="Low"/>
    <x v="1"/>
    <n v="30"/>
    <s v="Medium"/>
    <x v="2"/>
    <s v="Healthcare Representative"/>
    <s v="Low"/>
    <s v="Single"/>
    <n v="7484"/>
    <n v="25796"/>
    <n v="3"/>
    <s v="No"/>
    <n v="20"/>
    <s v="Outstanding"/>
    <s v="High"/>
    <n v="0"/>
    <n v="23"/>
    <n v="1"/>
    <s v="Good"/>
    <x v="20"/>
    <s v="10-40"/>
    <n v="12"/>
    <n v="12"/>
    <n v="8"/>
    <n v="111"/>
  </r>
  <r>
    <n v="34"/>
    <x v="2"/>
    <x v="0"/>
    <s v="Travel_Frequently"/>
    <n v="658"/>
    <x v="0"/>
    <n v="7"/>
    <s v="Bachelor"/>
    <x v="0"/>
    <s v="Low"/>
    <x v="0"/>
    <n v="66"/>
    <s v="Low"/>
    <x v="0"/>
    <s v="Laboratory Technician"/>
    <s v="High"/>
    <s v="Single"/>
    <n v="6074"/>
    <n v="22887"/>
    <n v="1"/>
    <s v="Yes"/>
    <n v="24"/>
    <s v="Outstanding"/>
    <s v="Very High"/>
    <n v="0"/>
    <n v="9"/>
    <n v="3"/>
    <s v="Better"/>
    <x v="7"/>
    <s v="5-10"/>
    <n v="7"/>
    <n v="0"/>
    <n v="6"/>
    <n v="112"/>
  </r>
  <r>
    <n v="54"/>
    <x v="1"/>
    <x v="1"/>
    <s v="Non-Travel"/>
    <n v="142"/>
    <x v="2"/>
    <n v="26"/>
    <s v="Bachelor"/>
    <x v="5"/>
    <s v="Very High"/>
    <x v="1"/>
    <n v="30"/>
    <s v="Very High"/>
    <x v="3"/>
    <s v="Manager"/>
    <s v="Very High"/>
    <s v="Single"/>
    <n v="17328"/>
    <n v="13871"/>
    <n v="2"/>
    <s v="Yes"/>
    <n v="12"/>
    <s v="Excellent"/>
    <s v="High"/>
    <n v="0"/>
    <n v="23"/>
    <n v="3"/>
    <s v="Better"/>
    <x v="8"/>
    <s v="0-5"/>
    <n v="3"/>
    <n v="4"/>
    <n v="4"/>
    <n v="113"/>
  </r>
  <r>
    <n v="24"/>
    <x v="4"/>
    <x v="1"/>
    <s v="Travel_Rarely"/>
    <n v="1127"/>
    <x v="0"/>
    <n v="18"/>
    <s v="Below College"/>
    <x v="0"/>
    <s v="Medium"/>
    <x v="0"/>
    <n v="52"/>
    <s v="High"/>
    <x v="1"/>
    <s v="Laboratory Technician"/>
    <s v="High"/>
    <s v="Married"/>
    <n v="2774"/>
    <n v="13257"/>
    <n v="0"/>
    <s v="No"/>
    <n v="12"/>
    <s v="Excellent"/>
    <s v="High"/>
    <n v="1"/>
    <n v="6"/>
    <n v="2"/>
    <s v="Better"/>
    <x v="8"/>
    <s v="0-5"/>
    <n v="3"/>
    <n v="1"/>
    <n v="2"/>
    <n v="114"/>
  </r>
  <r>
    <n v="34"/>
    <x v="2"/>
    <x v="1"/>
    <s v="Travel_Rarely"/>
    <n v="1031"/>
    <x v="0"/>
    <n v="6"/>
    <s v="Master"/>
    <x v="0"/>
    <s v="High"/>
    <x v="1"/>
    <n v="45"/>
    <s v="Medium"/>
    <x v="0"/>
    <s v="Research Scientist"/>
    <s v="Medium"/>
    <s v="Divorced"/>
    <n v="4505"/>
    <n v="15000"/>
    <n v="6"/>
    <s v="No"/>
    <n v="15"/>
    <s v="Excellent"/>
    <s v="High"/>
    <n v="1"/>
    <n v="12"/>
    <n v="3"/>
    <s v="Better"/>
    <x v="6"/>
    <s v="0-5"/>
    <n v="0"/>
    <n v="0"/>
    <n v="0"/>
    <n v="115"/>
  </r>
  <r>
    <n v="37"/>
    <x v="0"/>
    <x v="1"/>
    <s v="Travel_Rarely"/>
    <n v="1189"/>
    <x v="1"/>
    <n v="3"/>
    <s v="Bachelor"/>
    <x v="0"/>
    <s v="High"/>
    <x v="0"/>
    <n v="87"/>
    <s v="High"/>
    <x v="2"/>
    <s v="Sales Executive"/>
    <s v="Very High"/>
    <s v="Single"/>
    <n v="7428"/>
    <n v="14506"/>
    <n v="2"/>
    <s v="No"/>
    <n v="12"/>
    <s v="Excellent"/>
    <s v="Low"/>
    <n v="0"/>
    <n v="12"/>
    <n v="3"/>
    <s v="Better"/>
    <x v="8"/>
    <s v="0-5"/>
    <n v="3"/>
    <n v="1"/>
    <n v="3"/>
    <n v="116"/>
  </r>
  <r>
    <n v="34"/>
    <x v="2"/>
    <x v="1"/>
    <s v="Travel_Rarely"/>
    <n v="1354"/>
    <x v="0"/>
    <n v="5"/>
    <s v="Bachelor"/>
    <x v="2"/>
    <s v="High"/>
    <x v="1"/>
    <n v="45"/>
    <s v="Medium"/>
    <x v="2"/>
    <s v="Manager"/>
    <s v="Low"/>
    <s v="Single"/>
    <n v="11631"/>
    <n v="5615"/>
    <n v="2"/>
    <s v="No"/>
    <n v="12"/>
    <s v="Excellent"/>
    <s v="Very High"/>
    <n v="0"/>
    <n v="14"/>
    <n v="6"/>
    <s v="Better"/>
    <x v="19"/>
    <s v="10-40"/>
    <n v="10"/>
    <n v="5"/>
    <n v="8"/>
    <n v="117"/>
  </r>
  <r>
    <n v="36"/>
    <x v="0"/>
    <x v="1"/>
    <s v="Travel_Frequently"/>
    <n v="1467"/>
    <x v="1"/>
    <n v="11"/>
    <s v="College"/>
    <x v="4"/>
    <s v="Medium"/>
    <x v="1"/>
    <n v="92"/>
    <s v="High"/>
    <x v="2"/>
    <s v="Sales Executive"/>
    <s v="Very High"/>
    <s v="Married"/>
    <n v="9738"/>
    <n v="22952"/>
    <n v="0"/>
    <s v="No"/>
    <n v="14"/>
    <s v="Excellent"/>
    <s v="High"/>
    <n v="1"/>
    <n v="10"/>
    <n v="6"/>
    <s v="Better"/>
    <x v="7"/>
    <s v="5-10"/>
    <n v="7"/>
    <n v="2"/>
    <n v="8"/>
    <n v="118"/>
  </r>
  <r>
    <n v="36"/>
    <x v="0"/>
    <x v="1"/>
    <s v="Travel_Rarely"/>
    <n v="922"/>
    <x v="0"/>
    <n v="3"/>
    <s v="College"/>
    <x v="0"/>
    <s v="Low"/>
    <x v="1"/>
    <n v="39"/>
    <s v="High"/>
    <x v="1"/>
    <s v="Laboratory Technician"/>
    <s v="Very High"/>
    <s v="Divorced"/>
    <n v="2835"/>
    <n v="2561"/>
    <n v="5"/>
    <s v="No"/>
    <n v="22"/>
    <s v="Outstanding"/>
    <s v="Low"/>
    <n v="1"/>
    <n v="7"/>
    <n v="2"/>
    <s v="Better"/>
    <x v="6"/>
    <s v="0-5"/>
    <n v="0"/>
    <n v="0"/>
    <n v="0"/>
    <n v="119"/>
  </r>
  <r>
    <n v="43"/>
    <x v="0"/>
    <x v="1"/>
    <s v="Travel_Frequently"/>
    <n v="394"/>
    <x v="1"/>
    <n v="26"/>
    <s v="College"/>
    <x v="0"/>
    <s v="High"/>
    <x v="0"/>
    <n v="92"/>
    <s v="High"/>
    <x v="3"/>
    <s v="Manager"/>
    <s v="Very High"/>
    <s v="Married"/>
    <n v="16959"/>
    <n v="19494"/>
    <n v="1"/>
    <s v="Yes"/>
    <n v="12"/>
    <s v="Excellent"/>
    <s v="Very High"/>
    <n v="2"/>
    <n v="25"/>
    <n v="3"/>
    <s v="Best"/>
    <x v="10"/>
    <s v="10-40"/>
    <n v="12"/>
    <n v="4"/>
    <n v="12"/>
    <n v="120"/>
  </r>
  <r>
    <n v="30"/>
    <x v="2"/>
    <x v="1"/>
    <s v="Travel_Frequently"/>
    <n v="1312"/>
    <x v="0"/>
    <n v="23"/>
    <s v="Bachelor"/>
    <x v="0"/>
    <s v="Low"/>
    <x v="0"/>
    <n v="96"/>
    <s v="Low"/>
    <x v="1"/>
    <s v="Research Scientist"/>
    <s v="High"/>
    <s v="Divorced"/>
    <n v="2613"/>
    <n v="22310"/>
    <n v="1"/>
    <s v="No"/>
    <n v="25"/>
    <s v="Outstanding"/>
    <s v="High"/>
    <n v="3"/>
    <n v="10"/>
    <n v="2"/>
    <s v="Good"/>
    <x v="1"/>
    <s v="5-10"/>
    <n v="7"/>
    <n v="0"/>
    <n v="9"/>
    <n v="121"/>
  </r>
  <r>
    <n v="33"/>
    <x v="2"/>
    <x v="1"/>
    <s v="Non-Travel"/>
    <n v="750"/>
    <x v="1"/>
    <n v="22"/>
    <s v="College"/>
    <x v="3"/>
    <s v="High"/>
    <x v="0"/>
    <n v="95"/>
    <s v="High"/>
    <x v="0"/>
    <s v="Sales Executive"/>
    <s v="Medium"/>
    <s v="Married"/>
    <n v="6146"/>
    <n v="15480"/>
    <n v="0"/>
    <s v="No"/>
    <n v="13"/>
    <s v="Excellent"/>
    <s v="Low"/>
    <n v="1"/>
    <n v="8"/>
    <n v="2"/>
    <s v="Best"/>
    <x v="5"/>
    <s v="5-10"/>
    <n v="7"/>
    <n v="0"/>
    <n v="7"/>
    <n v="122"/>
  </r>
  <r>
    <n v="56"/>
    <x v="3"/>
    <x v="0"/>
    <s v="Travel_Rarely"/>
    <n v="441"/>
    <x v="0"/>
    <n v="14"/>
    <s v="Master"/>
    <x v="0"/>
    <s v="Medium"/>
    <x v="1"/>
    <n v="72"/>
    <s v="High"/>
    <x v="1"/>
    <s v="Research Scientist"/>
    <s v="Medium"/>
    <s v="Married"/>
    <n v="4963"/>
    <n v="4510"/>
    <n v="9"/>
    <s v="Yes"/>
    <n v="18"/>
    <s v="Excellent"/>
    <s v="Low"/>
    <n v="3"/>
    <n v="7"/>
    <n v="2"/>
    <s v="Better"/>
    <x v="8"/>
    <s v="0-5"/>
    <n v="4"/>
    <n v="4"/>
    <n v="3"/>
    <n v="123"/>
  </r>
  <r>
    <n v="51"/>
    <x v="1"/>
    <x v="1"/>
    <s v="Travel_Rarely"/>
    <n v="684"/>
    <x v="0"/>
    <n v="6"/>
    <s v="Bachelor"/>
    <x v="0"/>
    <s v="Low"/>
    <x v="0"/>
    <n v="51"/>
    <s v="High"/>
    <x v="4"/>
    <s v="Research Director"/>
    <s v="High"/>
    <s v="Single"/>
    <n v="19537"/>
    <n v="6462"/>
    <n v="7"/>
    <s v="No"/>
    <n v="13"/>
    <s v="Excellent"/>
    <s v="High"/>
    <n v="0"/>
    <n v="23"/>
    <n v="5"/>
    <s v="Better"/>
    <x v="23"/>
    <s v="10-40"/>
    <n v="18"/>
    <n v="15"/>
    <n v="15"/>
    <n v="124"/>
  </r>
  <r>
    <n v="31"/>
    <x v="2"/>
    <x v="0"/>
    <s v="Travel_Rarely"/>
    <n v="249"/>
    <x v="1"/>
    <n v="6"/>
    <s v="Master"/>
    <x v="0"/>
    <s v="Medium"/>
    <x v="0"/>
    <n v="76"/>
    <s v="Low"/>
    <x v="0"/>
    <s v="Sales Executive"/>
    <s v="High"/>
    <s v="Married"/>
    <n v="6172"/>
    <n v="20739"/>
    <n v="4"/>
    <s v="Yes"/>
    <n v="18"/>
    <s v="Excellent"/>
    <s v="Medium"/>
    <n v="0"/>
    <n v="12"/>
    <n v="3"/>
    <s v="Good"/>
    <x v="5"/>
    <s v="5-10"/>
    <n v="7"/>
    <n v="7"/>
    <n v="7"/>
    <n v="125"/>
  </r>
  <r>
    <n v="26"/>
    <x v="2"/>
    <x v="1"/>
    <s v="Travel_Rarely"/>
    <n v="841"/>
    <x v="0"/>
    <n v="6"/>
    <s v="Bachelor"/>
    <x v="1"/>
    <s v="High"/>
    <x v="1"/>
    <n v="46"/>
    <s v="Medium"/>
    <x v="1"/>
    <s v="Research Scientist"/>
    <s v="Medium"/>
    <s v="Married"/>
    <n v="2368"/>
    <n v="23300"/>
    <n v="1"/>
    <s v="No"/>
    <n v="19"/>
    <s v="Excellent"/>
    <s v="High"/>
    <n v="0"/>
    <n v="5"/>
    <n v="3"/>
    <s v="Good"/>
    <x v="8"/>
    <s v="0-5"/>
    <n v="4"/>
    <n v="4"/>
    <n v="3"/>
    <n v="126"/>
  </r>
  <r>
    <n v="58"/>
    <x v="3"/>
    <x v="0"/>
    <s v="Travel_Rarely"/>
    <n v="147"/>
    <x v="0"/>
    <n v="23"/>
    <s v="Master"/>
    <x v="2"/>
    <s v="Very High"/>
    <x v="1"/>
    <n v="94"/>
    <s v="High"/>
    <x v="2"/>
    <s v="Healthcare Representative"/>
    <s v="Very High"/>
    <s v="Married"/>
    <n v="10312"/>
    <n v="3465"/>
    <n v="1"/>
    <s v="No"/>
    <n v="12"/>
    <s v="Excellent"/>
    <s v="Very High"/>
    <n v="1"/>
    <n v="40"/>
    <n v="3"/>
    <s v="Good"/>
    <x v="24"/>
    <s v="10-40"/>
    <n v="10"/>
    <n v="15"/>
    <n v="6"/>
    <n v="127"/>
  </r>
  <r>
    <n v="19"/>
    <x v="4"/>
    <x v="0"/>
    <s v="Travel_Rarely"/>
    <n v="528"/>
    <x v="1"/>
    <n v="22"/>
    <s v="Below College"/>
    <x v="3"/>
    <s v="Very High"/>
    <x v="0"/>
    <n v="50"/>
    <s v="High"/>
    <x v="1"/>
    <s v="Sales Representative"/>
    <s v="High"/>
    <s v="Single"/>
    <n v="1675"/>
    <n v="26820"/>
    <n v="1"/>
    <s v="Yes"/>
    <n v="19"/>
    <s v="Excellent"/>
    <s v="Very High"/>
    <n v="0"/>
    <n v="0"/>
    <n v="2"/>
    <s v="Good"/>
    <x v="2"/>
    <s v="0-5"/>
    <n v="0"/>
    <n v="0"/>
    <n v="0"/>
    <n v="128"/>
  </r>
  <r>
    <n v="22"/>
    <x v="4"/>
    <x v="1"/>
    <s v="Travel_Rarely"/>
    <n v="594"/>
    <x v="0"/>
    <n v="2"/>
    <s v="Below College"/>
    <x v="4"/>
    <s v="High"/>
    <x v="0"/>
    <n v="100"/>
    <s v="High"/>
    <x v="1"/>
    <s v="Laboratory Technician"/>
    <s v="Very High"/>
    <s v="Married"/>
    <n v="2523"/>
    <n v="19299"/>
    <n v="0"/>
    <s v="No"/>
    <n v="14"/>
    <s v="Excellent"/>
    <s v="High"/>
    <n v="1"/>
    <n v="3"/>
    <n v="2"/>
    <s v="Better"/>
    <x v="4"/>
    <s v="0-5"/>
    <n v="1"/>
    <n v="2"/>
    <n v="1"/>
    <n v="129"/>
  </r>
  <r>
    <n v="49"/>
    <x v="1"/>
    <x v="1"/>
    <s v="Travel_Rarely"/>
    <n v="470"/>
    <x v="0"/>
    <n v="20"/>
    <s v="Master"/>
    <x v="2"/>
    <s v="High"/>
    <x v="1"/>
    <n v="96"/>
    <s v="High"/>
    <x v="0"/>
    <s v="Manufacturing Director"/>
    <s v="Low"/>
    <s v="Married"/>
    <n v="6567"/>
    <n v="5549"/>
    <n v="1"/>
    <s v="No"/>
    <n v="14"/>
    <s v="Excellent"/>
    <s v="High"/>
    <n v="0"/>
    <n v="16"/>
    <n v="2"/>
    <s v="Good"/>
    <x v="15"/>
    <s v="10-40"/>
    <n v="11"/>
    <n v="5"/>
    <n v="11"/>
    <n v="130"/>
  </r>
  <r>
    <n v="43"/>
    <x v="0"/>
    <x v="1"/>
    <s v="Travel_Frequently"/>
    <n v="957"/>
    <x v="0"/>
    <n v="28"/>
    <s v="Bachelor"/>
    <x v="2"/>
    <s v="Medium"/>
    <x v="1"/>
    <n v="72"/>
    <s v="Very High"/>
    <x v="1"/>
    <s v="Research Scientist"/>
    <s v="High"/>
    <s v="Single"/>
    <n v="4739"/>
    <n v="16090"/>
    <n v="4"/>
    <s v="No"/>
    <n v="12"/>
    <s v="Excellent"/>
    <s v="Very High"/>
    <n v="0"/>
    <n v="18"/>
    <n v="2"/>
    <s v="Better"/>
    <x v="11"/>
    <s v="0-5"/>
    <n v="2"/>
    <n v="1"/>
    <n v="2"/>
    <n v="131"/>
  </r>
  <r>
    <n v="50"/>
    <x v="1"/>
    <x v="1"/>
    <s v="Travel_Frequently"/>
    <n v="809"/>
    <x v="1"/>
    <n v="12"/>
    <s v="Bachelor"/>
    <x v="3"/>
    <s v="High"/>
    <x v="1"/>
    <n v="77"/>
    <s v="High"/>
    <x v="2"/>
    <s v="Sales Executive"/>
    <s v="Very High"/>
    <s v="Single"/>
    <n v="9208"/>
    <n v="6645"/>
    <n v="4"/>
    <s v="No"/>
    <n v="11"/>
    <s v="Excellent"/>
    <s v="Very High"/>
    <n v="0"/>
    <n v="16"/>
    <n v="3"/>
    <s v="Better"/>
    <x v="4"/>
    <s v="0-5"/>
    <n v="2"/>
    <n v="2"/>
    <n v="1"/>
    <n v="132"/>
  </r>
  <r>
    <n v="31"/>
    <x v="2"/>
    <x v="0"/>
    <s v="Travel_Rarely"/>
    <n v="542"/>
    <x v="1"/>
    <n v="20"/>
    <s v="Bachelor"/>
    <x v="0"/>
    <s v="Medium"/>
    <x v="1"/>
    <n v="71"/>
    <s v="Low"/>
    <x v="0"/>
    <s v="Sales Executive"/>
    <s v="High"/>
    <s v="Married"/>
    <n v="4559"/>
    <n v="24788"/>
    <n v="3"/>
    <s v="Yes"/>
    <n v="11"/>
    <s v="Excellent"/>
    <s v="High"/>
    <n v="1"/>
    <n v="4"/>
    <n v="2"/>
    <s v="Better"/>
    <x v="4"/>
    <s v="0-5"/>
    <n v="2"/>
    <n v="2"/>
    <n v="2"/>
    <n v="133"/>
  </r>
  <r>
    <n v="41"/>
    <x v="0"/>
    <x v="1"/>
    <s v="Travel_Rarely"/>
    <n v="802"/>
    <x v="1"/>
    <n v="9"/>
    <s v="Below College"/>
    <x v="0"/>
    <s v="High"/>
    <x v="0"/>
    <n v="96"/>
    <s v="High"/>
    <x v="2"/>
    <s v="Sales Executive"/>
    <s v="High"/>
    <s v="Divorced"/>
    <n v="8189"/>
    <n v="21196"/>
    <n v="3"/>
    <s v="Yes"/>
    <n v="13"/>
    <s v="Excellent"/>
    <s v="High"/>
    <n v="1"/>
    <n v="12"/>
    <n v="2"/>
    <s v="Better"/>
    <x v="7"/>
    <s v="5-10"/>
    <n v="7"/>
    <n v="0"/>
    <n v="7"/>
    <n v="134"/>
  </r>
  <r>
    <n v="26"/>
    <x v="2"/>
    <x v="1"/>
    <s v="Travel_Rarely"/>
    <n v="1355"/>
    <x v="2"/>
    <n v="25"/>
    <s v="Below College"/>
    <x v="0"/>
    <s v="High"/>
    <x v="1"/>
    <n v="61"/>
    <s v="High"/>
    <x v="1"/>
    <s v="Human Resources"/>
    <s v="High"/>
    <s v="Married"/>
    <n v="2942"/>
    <n v="8916"/>
    <n v="1"/>
    <s v="No"/>
    <n v="23"/>
    <s v="Outstanding"/>
    <s v="Very High"/>
    <n v="1"/>
    <n v="8"/>
    <n v="3"/>
    <s v="Better"/>
    <x v="3"/>
    <s v="5-10"/>
    <n v="7"/>
    <n v="5"/>
    <n v="7"/>
    <n v="135"/>
  </r>
  <r>
    <n v="36"/>
    <x v="0"/>
    <x v="1"/>
    <s v="Travel_Rarely"/>
    <n v="216"/>
    <x v="0"/>
    <n v="6"/>
    <s v="College"/>
    <x v="2"/>
    <s v="Medium"/>
    <x v="0"/>
    <n v="84"/>
    <s v="High"/>
    <x v="0"/>
    <s v="Manufacturing Director"/>
    <s v="Medium"/>
    <s v="Divorced"/>
    <n v="4941"/>
    <n v="2819"/>
    <n v="6"/>
    <s v="No"/>
    <n v="20"/>
    <s v="Outstanding"/>
    <s v="Very High"/>
    <n v="2"/>
    <n v="7"/>
    <n v="0"/>
    <s v="Better"/>
    <x v="11"/>
    <s v="0-5"/>
    <n v="2"/>
    <n v="0"/>
    <n v="1"/>
    <n v="136"/>
  </r>
  <r>
    <n v="51"/>
    <x v="1"/>
    <x v="0"/>
    <s v="Travel_Frequently"/>
    <n v="1150"/>
    <x v="0"/>
    <n v="8"/>
    <s v="Master"/>
    <x v="0"/>
    <s v="Low"/>
    <x v="0"/>
    <n v="53"/>
    <s v="Low"/>
    <x v="2"/>
    <s v="Manufacturing Director"/>
    <s v="Very High"/>
    <s v="Single"/>
    <n v="10650"/>
    <n v="25150"/>
    <n v="2"/>
    <s v="No"/>
    <n v="15"/>
    <s v="Excellent"/>
    <s v="Very High"/>
    <n v="0"/>
    <n v="18"/>
    <n v="2"/>
    <s v="Better"/>
    <x v="9"/>
    <s v="0-5"/>
    <n v="2"/>
    <n v="0"/>
    <n v="3"/>
    <n v="137"/>
  </r>
  <r>
    <n v="39"/>
    <x v="0"/>
    <x v="1"/>
    <s v="Travel_Rarely"/>
    <n v="1329"/>
    <x v="1"/>
    <n v="4"/>
    <s v="Master"/>
    <x v="0"/>
    <s v="Very High"/>
    <x v="1"/>
    <n v="47"/>
    <s v="Medium"/>
    <x v="0"/>
    <s v="Sales Executive"/>
    <s v="High"/>
    <s v="Married"/>
    <n v="5902"/>
    <n v="14590"/>
    <n v="4"/>
    <s v="No"/>
    <n v="14"/>
    <s v="Excellent"/>
    <s v="High"/>
    <n v="1"/>
    <n v="17"/>
    <n v="1"/>
    <s v="Best"/>
    <x v="15"/>
    <s v="10-40"/>
    <n v="11"/>
    <n v="5"/>
    <n v="9"/>
    <n v="138"/>
  </r>
  <r>
    <n v="25"/>
    <x v="4"/>
    <x v="1"/>
    <s v="Travel_Rarely"/>
    <n v="959"/>
    <x v="1"/>
    <n v="28"/>
    <s v="Bachelor"/>
    <x v="0"/>
    <s v="Low"/>
    <x v="0"/>
    <n v="41"/>
    <s v="Medium"/>
    <x v="0"/>
    <s v="Sales Executive"/>
    <s v="High"/>
    <s v="Married"/>
    <n v="8639"/>
    <n v="24835"/>
    <n v="2"/>
    <s v="No"/>
    <n v="18"/>
    <s v="Excellent"/>
    <s v="Very High"/>
    <n v="0"/>
    <n v="6"/>
    <n v="3"/>
    <s v="Better"/>
    <x v="4"/>
    <s v="0-5"/>
    <n v="2"/>
    <n v="2"/>
    <n v="2"/>
    <n v="139"/>
  </r>
  <r>
    <n v="30"/>
    <x v="2"/>
    <x v="1"/>
    <s v="Travel_Rarely"/>
    <n v="1240"/>
    <x v="2"/>
    <n v="9"/>
    <s v="Bachelor"/>
    <x v="5"/>
    <s v="High"/>
    <x v="0"/>
    <n v="48"/>
    <s v="High"/>
    <x v="0"/>
    <s v="Human Resources"/>
    <s v="Very High"/>
    <s v="Married"/>
    <n v="6347"/>
    <n v="13982"/>
    <n v="0"/>
    <s v="Yes"/>
    <n v="19"/>
    <s v="Excellent"/>
    <s v="Very High"/>
    <n v="0"/>
    <n v="12"/>
    <n v="2"/>
    <s v="Bad"/>
    <x v="19"/>
    <s v="10-40"/>
    <n v="9"/>
    <n v="4"/>
    <n v="7"/>
    <n v="140"/>
  </r>
  <r>
    <n v="32"/>
    <x v="2"/>
    <x v="0"/>
    <s v="Travel_Rarely"/>
    <n v="1033"/>
    <x v="0"/>
    <n v="9"/>
    <s v="Bachelor"/>
    <x v="2"/>
    <s v="Low"/>
    <x v="1"/>
    <n v="41"/>
    <s v="High"/>
    <x v="1"/>
    <s v="Laboratory Technician"/>
    <s v="Low"/>
    <s v="Single"/>
    <n v="4200"/>
    <n v="10224"/>
    <n v="7"/>
    <s v="No"/>
    <n v="22"/>
    <s v="Outstanding"/>
    <s v="Low"/>
    <n v="0"/>
    <n v="10"/>
    <n v="2"/>
    <s v="Best"/>
    <x v="8"/>
    <s v="0-5"/>
    <n v="4"/>
    <n v="0"/>
    <n v="4"/>
    <n v="141"/>
  </r>
  <r>
    <n v="45"/>
    <x v="0"/>
    <x v="1"/>
    <s v="Travel_Rarely"/>
    <n v="1316"/>
    <x v="0"/>
    <n v="29"/>
    <s v="Bachelor"/>
    <x v="2"/>
    <s v="High"/>
    <x v="0"/>
    <n v="83"/>
    <s v="High"/>
    <x v="1"/>
    <s v="Research Scientist"/>
    <s v="Very High"/>
    <s v="Single"/>
    <n v="3452"/>
    <n v="9752"/>
    <n v="5"/>
    <s v="No"/>
    <n v="13"/>
    <s v="Excellent"/>
    <s v="Medium"/>
    <n v="0"/>
    <n v="9"/>
    <n v="2"/>
    <s v="Good"/>
    <x v="0"/>
    <s v="5-10"/>
    <n v="5"/>
    <n v="0"/>
    <n v="3"/>
    <n v="142"/>
  </r>
  <r>
    <n v="38"/>
    <x v="0"/>
    <x v="1"/>
    <s v="Travel_Rarely"/>
    <n v="364"/>
    <x v="0"/>
    <n v="3"/>
    <s v="Doctor"/>
    <x v="4"/>
    <s v="Very High"/>
    <x v="1"/>
    <n v="32"/>
    <s v="High"/>
    <x v="0"/>
    <s v="Research Scientist"/>
    <s v="High"/>
    <s v="Single"/>
    <n v="4317"/>
    <n v="2302"/>
    <n v="3"/>
    <s v="Yes"/>
    <n v="20"/>
    <s v="Outstanding"/>
    <s v="Medium"/>
    <n v="0"/>
    <n v="19"/>
    <n v="2"/>
    <s v="Better"/>
    <x v="11"/>
    <s v="0-5"/>
    <n v="2"/>
    <n v="2"/>
    <n v="2"/>
    <n v="143"/>
  </r>
  <r>
    <n v="30"/>
    <x v="2"/>
    <x v="1"/>
    <s v="Travel_Rarely"/>
    <n v="438"/>
    <x v="0"/>
    <n v="18"/>
    <s v="Bachelor"/>
    <x v="0"/>
    <s v="Low"/>
    <x v="1"/>
    <n v="75"/>
    <s v="High"/>
    <x v="1"/>
    <s v="Research Scientist"/>
    <s v="High"/>
    <s v="Single"/>
    <n v="2632"/>
    <n v="23910"/>
    <n v="1"/>
    <s v="No"/>
    <n v="14"/>
    <s v="Excellent"/>
    <s v="High"/>
    <n v="0"/>
    <n v="5"/>
    <n v="4"/>
    <s v="Good"/>
    <x v="8"/>
    <s v="0-5"/>
    <n v="4"/>
    <n v="0"/>
    <n v="4"/>
    <n v="144"/>
  </r>
  <r>
    <n v="32"/>
    <x v="2"/>
    <x v="1"/>
    <s v="Travel_Frequently"/>
    <n v="689"/>
    <x v="1"/>
    <n v="9"/>
    <s v="College"/>
    <x v="2"/>
    <s v="Very High"/>
    <x v="0"/>
    <n v="35"/>
    <s v="Low"/>
    <x v="0"/>
    <s v="Sales Executive"/>
    <s v="Very High"/>
    <s v="Divorced"/>
    <n v="4668"/>
    <n v="22812"/>
    <n v="0"/>
    <s v="No"/>
    <n v="17"/>
    <s v="Excellent"/>
    <s v="Very High"/>
    <n v="3"/>
    <n v="9"/>
    <n v="2"/>
    <s v="Best"/>
    <x v="3"/>
    <s v="5-10"/>
    <n v="7"/>
    <n v="0"/>
    <n v="7"/>
    <n v="145"/>
  </r>
  <r>
    <n v="30"/>
    <x v="2"/>
    <x v="1"/>
    <s v="Travel_Rarely"/>
    <n v="201"/>
    <x v="0"/>
    <n v="5"/>
    <s v="Bachelor"/>
    <x v="4"/>
    <s v="Very High"/>
    <x v="1"/>
    <n v="84"/>
    <s v="High"/>
    <x v="1"/>
    <s v="Research Scientist"/>
    <s v="Low"/>
    <s v="Divorced"/>
    <n v="3204"/>
    <n v="10415"/>
    <n v="5"/>
    <s v="No"/>
    <n v="14"/>
    <s v="Excellent"/>
    <s v="Very High"/>
    <n v="1"/>
    <n v="8"/>
    <n v="3"/>
    <s v="Better"/>
    <x v="11"/>
    <s v="0-5"/>
    <n v="2"/>
    <n v="2"/>
    <n v="2"/>
    <n v="146"/>
  </r>
  <r>
    <n v="30"/>
    <x v="2"/>
    <x v="1"/>
    <s v="Travel_Rarely"/>
    <n v="1427"/>
    <x v="0"/>
    <n v="2"/>
    <s v="Below College"/>
    <x v="2"/>
    <s v="Medium"/>
    <x v="0"/>
    <n v="35"/>
    <s v="Medium"/>
    <x v="1"/>
    <s v="Laboratory Technician"/>
    <s v="Very High"/>
    <s v="Single"/>
    <n v="2720"/>
    <n v="11162"/>
    <n v="0"/>
    <s v="No"/>
    <n v="13"/>
    <s v="Excellent"/>
    <s v="Very High"/>
    <n v="0"/>
    <n v="6"/>
    <n v="3"/>
    <s v="Better"/>
    <x v="8"/>
    <s v="0-5"/>
    <n v="3"/>
    <n v="1"/>
    <n v="2"/>
    <n v="147"/>
  </r>
  <r>
    <n v="41"/>
    <x v="0"/>
    <x v="1"/>
    <s v="Travel_Frequently"/>
    <n v="857"/>
    <x v="0"/>
    <n v="10"/>
    <s v="Bachelor"/>
    <x v="0"/>
    <s v="Very High"/>
    <x v="0"/>
    <n v="91"/>
    <s v="Medium"/>
    <x v="3"/>
    <s v="Manager"/>
    <s v="Low"/>
    <s v="Divorced"/>
    <n v="17181"/>
    <n v="12888"/>
    <n v="4"/>
    <s v="No"/>
    <n v="13"/>
    <s v="Excellent"/>
    <s v="Medium"/>
    <n v="1"/>
    <n v="21"/>
    <n v="2"/>
    <s v="Good"/>
    <x v="5"/>
    <s v="5-10"/>
    <n v="6"/>
    <n v="7"/>
    <n v="7"/>
    <n v="148"/>
  </r>
  <r>
    <n v="41"/>
    <x v="0"/>
    <x v="1"/>
    <s v="Travel_Rarely"/>
    <n v="933"/>
    <x v="0"/>
    <n v="9"/>
    <s v="Master"/>
    <x v="0"/>
    <s v="High"/>
    <x v="0"/>
    <n v="94"/>
    <s v="High"/>
    <x v="1"/>
    <s v="Laboratory Technician"/>
    <s v="Low"/>
    <s v="Married"/>
    <n v="2238"/>
    <n v="6961"/>
    <n v="2"/>
    <s v="No"/>
    <n v="21"/>
    <s v="Outstanding"/>
    <s v="Very High"/>
    <n v="1"/>
    <n v="7"/>
    <n v="2"/>
    <s v="Better"/>
    <x v="8"/>
    <s v="0-5"/>
    <n v="0"/>
    <n v="1"/>
    <n v="4"/>
    <n v="149"/>
  </r>
  <r>
    <n v="19"/>
    <x v="4"/>
    <x v="1"/>
    <s v="Travel_Rarely"/>
    <n v="1181"/>
    <x v="0"/>
    <n v="3"/>
    <s v="Below College"/>
    <x v="2"/>
    <s v="Medium"/>
    <x v="1"/>
    <n v="79"/>
    <s v="High"/>
    <x v="1"/>
    <s v="Laboratory Technician"/>
    <s v="Medium"/>
    <s v="Single"/>
    <n v="1483"/>
    <n v="16102"/>
    <n v="1"/>
    <s v="No"/>
    <n v="14"/>
    <s v="Excellent"/>
    <s v="Very High"/>
    <n v="0"/>
    <n v="1"/>
    <n v="3"/>
    <s v="Better"/>
    <x v="6"/>
    <s v="0-5"/>
    <n v="0"/>
    <n v="0"/>
    <n v="0"/>
    <n v="150"/>
  </r>
  <r>
    <n v="40"/>
    <x v="0"/>
    <x v="1"/>
    <s v="Travel_Frequently"/>
    <n v="1395"/>
    <x v="0"/>
    <n v="26"/>
    <s v="Bachelor"/>
    <x v="2"/>
    <s v="Medium"/>
    <x v="1"/>
    <n v="54"/>
    <s v="High"/>
    <x v="0"/>
    <s v="Research Scientist"/>
    <s v="Medium"/>
    <s v="Divorced"/>
    <n v="5605"/>
    <n v="8504"/>
    <n v="1"/>
    <s v="No"/>
    <n v="11"/>
    <s v="Excellent"/>
    <s v="Low"/>
    <n v="1"/>
    <n v="20"/>
    <n v="2"/>
    <s v="Better"/>
    <x v="23"/>
    <s v="10-40"/>
    <n v="7"/>
    <n v="2"/>
    <n v="13"/>
    <n v="151"/>
  </r>
  <r>
    <n v="35"/>
    <x v="2"/>
    <x v="1"/>
    <s v="Travel_Rarely"/>
    <n v="662"/>
    <x v="1"/>
    <n v="1"/>
    <s v="Doctor"/>
    <x v="3"/>
    <s v="High"/>
    <x v="0"/>
    <n v="94"/>
    <s v="High"/>
    <x v="2"/>
    <s v="Sales Executive"/>
    <s v="Medium"/>
    <s v="Married"/>
    <n v="7295"/>
    <n v="11439"/>
    <n v="1"/>
    <s v="No"/>
    <n v="13"/>
    <s v="Excellent"/>
    <s v="Low"/>
    <n v="2"/>
    <n v="10"/>
    <n v="3"/>
    <s v="Better"/>
    <x v="1"/>
    <s v="5-10"/>
    <n v="8"/>
    <n v="0"/>
    <n v="6"/>
    <n v="152"/>
  </r>
  <r>
    <n v="53"/>
    <x v="1"/>
    <x v="1"/>
    <s v="Travel_Rarely"/>
    <n v="1436"/>
    <x v="1"/>
    <n v="6"/>
    <s v="College"/>
    <x v="3"/>
    <s v="Medium"/>
    <x v="0"/>
    <n v="34"/>
    <s v="High"/>
    <x v="0"/>
    <s v="Sales Representative"/>
    <s v="High"/>
    <s v="Married"/>
    <n v="2306"/>
    <n v="16047"/>
    <n v="2"/>
    <s v="Yes"/>
    <n v="20"/>
    <s v="Outstanding"/>
    <s v="Very High"/>
    <n v="1"/>
    <n v="13"/>
    <n v="3"/>
    <s v="Bad"/>
    <x v="5"/>
    <s v="5-10"/>
    <n v="7"/>
    <n v="4"/>
    <n v="5"/>
    <n v="153"/>
  </r>
  <r>
    <n v="45"/>
    <x v="0"/>
    <x v="1"/>
    <s v="Travel_Rarely"/>
    <n v="194"/>
    <x v="0"/>
    <n v="9"/>
    <s v="Bachelor"/>
    <x v="0"/>
    <s v="Medium"/>
    <x v="0"/>
    <n v="60"/>
    <s v="High"/>
    <x v="0"/>
    <s v="Laboratory Technician"/>
    <s v="Medium"/>
    <s v="Divorced"/>
    <n v="2348"/>
    <n v="10901"/>
    <n v="8"/>
    <s v="No"/>
    <n v="18"/>
    <s v="Excellent"/>
    <s v="High"/>
    <n v="1"/>
    <n v="20"/>
    <n v="2"/>
    <s v="Bad"/>
    <x v="18"/>
    <s v="10-40"/>
    <n v="9"/>
    <n v="0"/>
    <n v="15"/>
    <n v="154"/>
  </r>
  <r>
    <n v="32"/>
    <x v="2"/>
    <x v="1"/>
    <s v="Travel_Frequently"/>
    <n v="967"/>
    <x v="1"/>
    <n v="8"/>
    <s v="Bachelor"/>
    <x v="3"/>
    <s v="Medium"/>
    <x v="1"/>
    <n v="43"/>
    <s v="High"/>
    <x v="2"/>
    <s v="Sales Executive"/>
    <s v="Very High"/>
    <s v="Single"/>
    <n v="8998"/>
    <n v="15589"/>
    <n v="1"/>
    <s v="No"/>
    <n v="14"/>
    <s v="Excellent"/>
    <s v="Very High"/>
    <n v="0"/>
    <n v="9"/>
    <n v="2"/>
    <s v="Better"/>
    <x v="7"/>
    <s v="5-10"/>
    <n v="8"/>
    <n v="3"/>
    <n v="7"/>
    <n v="155"/>
  </r>
  <r>
    <n v="29"/>
    <x v="2"/>
    <x v="1"/>
    <s v="Non-Travel"/>
    <n v="1496"/>
    <x v="0"/>
    <n v="1"/>
    <s v="Below College"/>
    <x v="4"/>
    <s v="Very High"/>
    <x v="0"/>
    <n v="41"/>
    <s v="High"/>
    <x v="0"/>
    <s v="Manufacturing Director"/>
    <s v="High"/>
    <s v="Married"/>
    <n v="4319"/>
    <n v="26283"/>
    <n v="1"/>
    <s v="No"/>
    <n v="13"/>
    <s v="Excellent"/>
    <s v="Low"/>
    <n v="1"/>
    <n v="10"/>
    <n v="1"/>
    <s v="Better"/>
    <x v="1"/>
    <s v="5-10"/>
    <n v="7"/>
    <n v="0"/>
    <n v="9"/>
    <n v="156"/>
  </r>
  <r>
    <n v="51"/>
    <x v="1"/>
    <x v="1"/>
    <s v="Travel_Rarely"/>
    <n v="1169"/>
    <x v="0"/>
    <n v="7"/>
    <s v="Master"/>
    <x v="2"/>
    <s v="Medium"/>
    <x v="0"/>
    <n v="34"/>
    <s v="Medium"/>
    <x v="0"/>
    <s v="Manufacturing Director"/>
    <s v="High"/>
    <s v="Married"/>
    <n v="6132"/>
    <n v="13983"/>
    <n v="2"/>
    <s v="No"/>
    <n v="17"/>
    <s v="Excellent"/>
    <s v="High"/>
    <n v="0"/>
    <n v="10"/>
    <n v="2"/>
    <s v="Better"/>
    <x v="6"/>
    <s v="0-5"/>
    <n v="0"/>
    <n v="0"/>
    <n v="0"/>
    <n v="157"/>
  </r>
  <r>
    <n v="58"/>
    <x v="3"/>
    <x v="1"/>
    <s v="Travel_Rarely"/>
    <n v="1145"/>
    <x v="0"/>
    <n v="9"/>
    <s v="Bachelor"/>
    <x v="2"/>
    <s v="Medium"/>
    <x v="1"/>
    <n v="75"/>
    <s v="Medium"/>
    <x v="1"/>
    <s v="Research Scientist"/>
    <s v="Medium"/>
    <s v="Married"/>
    <n v="3346"/>
    <n v="11873"/>
    <n v="4"/>
    <s v="Yes"/>
    <n v="20"/>
    <s v="Outstanding"/>
    <s v="Medium"/>
    <n v="1"/>
    <n v="9"/>
    <n v="3"/>
    <s v="Good"/>
    <x v="6"/>
    <s v="0-5"/>
    <n v="0"/>
    <n v="0"/>
    <n v="0"/>
    <n v="158"/>
  </r>
  <r>
    <n v="40"/>
    <x v="0"/>
    <x v="1"/>
    <s v="Travel_Rarely"/>
    <n v="630"/>
    <x v="1"/>
    <n v="4"/>
    <s v="Master"/>
    <x v="3"/>
    <s v="High"/>
    <x v="0"/>
    <n v="67"/>
    <s v="Medium"/>
    <x v="2"/>
    <s v="Sales Executive"/>
    <s v="Very High"/>
    <s v="Married"/>
    <n v="10855"/>
    <n v="8552"/>
    <n v="7"/>
    <s v="No"/>
    <n v="11"/>
    <s v="Excellent"/>
    <s v="Low"/>
    <n v="1"/>
    <n v="15"/>
    <n v="2"/>
    <s v="Good"/>
    <x v="12"/>
    <s v="10-40"/>
    <n v="11"/>
    <n v="2"/>
    <n v="11"/>
    <n v="159"/>
  </r>
  <r>
    <n v="34"/>
    <x v="2"/>
    <x v="1"/>
    <s v="Travel_Frequently"/>
    <n v="303"/>
    <x v="1"/>
    <n v="2"/>
    <s v="Master"/>
    <x v="3"/>
    <s v="High"/>
    <x v="1"/>
    <n v="75"/>
    <s v="High"/>
    <x v="1"/>
    <s v="Sales Representative"/>
    <s v="High"/>
    <s v="Married"/>
    <n v="2231"/>
    <n v="11314"/>
    <n v="6"/>
    <s v="No"/>
    <n v="18"/>
    <s v="Excellent"/>
    <s v="Very High"/>
    <n v="1"/>
    <n v="6"/>
    <n v="3"/>
    <s v="Better"/>
    <x v="9"/>
    <s v="0-5"/>
    <n v="3"/>
    <n v="1"/>
    <n v="2"/>
    <n v="160"/>
  </r>
  <r>
    <n v="22"/>
    <x v="4"/>
    <x v="1"/>
    <s v="Travel_Rarely"/>
    <n v="1256"/>
    <x v="0"/>
    <n v="19"/>
    <s v="Below College"/>
    <x v="2"/>
    <s v="High"/>
    <x v="0"/>
    <n v="80"/>
    <s v="High"/>
    <x v="1"/>
    <s v="Research Scientist"/>
    <s v="Very High"/>
    <s v="Married"/>
    <n v="2323"/>
    <n v="11992"/>
    <n v="1"/>
    <s v="No"/>
    <n v="24"/>
    <s v="Outstanding"/>
    <s v="Low"/>
    <n v="2"/>
    <n v="2"/>
    <n v="6"/>
    <s v="Better"/>
    <x v="4"/>
    <s v="0-5"/>
    <n v="2"/>
    <n v="2"/>
    <n v="2"/>
    <n v="161"/>
  </r>
  <r>
    <n v="27"/>
    <x v="2"/>
    <x v="1"/>
    <s v="Non-Travel"/>
    <n v="691"/>
    <x v="0"/>
    <n v="9"/>
    <s v="Bachelor"/>
    <x v="2"/>
    <s v="Very High"/>
    <x v="0"/>
    <n v="57"/>
    <s v="High"/>
    <x v="1"/>
    <s v="Research Scientist"/>
    <s v="Medium"/>
    <s v="Divorced"/>
    <n v="2024"/>
    <n v="5970"/>
    <n v="6"/>
    <s v="No"/>
    <n v="18"/>
    <s v="Excellent"/>
    <s v="Very High"/>
    <n v="1"/>
    <n v="6"/>
    <n v="1"/>
    <s v="Bad"/>
    <x v="4"/>
    <s v="0-5"/>
    <n v="2"/>
    <n v="2"/>
    <n v="2"/>
    <n v="162"/>
  </r>
  <r>
    <n v="28"/>
    <x v="2"/>
    <x v="1"/>
    <s v="Travel_Rarely"/>
    <n v="440"/>
    <x v="0"/>
    <n v="21"/>
    <s v="Bachelor"/>
    <x v="2"/>
    <s v="High"/>
    <x v="0"/>
    <n v="42"/>
    <s v="High"/>
    <x v="1"/>
    <s v="Research Scientist"/>
    <s v="Very High"/>
    <s v="Married"/>
    <n v="2713"/>
    <n v="6672"/>
    <n v="1"/>
    <s v="No"/>
    <n v="11"/>
    <s v="Excellent"/>
    <s v="High"/>
    <n v="1"/>
    <n v="5"/>
    <n v="2"/>
    <s v="Bad"/>
    <x v="8"/>
    <s v="0-5"/>
    <n v="2"/>
    <n v="0"/>
    <n v="2"/>
    <n v="163"/>
  </r>
  <r>
    <n v="57"/>
    <x v="3"/>
    <x v="1"/>
    <s v="Travel_Rarely"/>
    <n v="334"/>
    <x v="0"/>
    <n v="24"/>
    <s v="College"/>
    <x v="0"/>
    <s v="High"/>
    <x v="0"/>
    <n v="83"/>
    <s v="Very High"/>
    <x v="2"/>
    <s v="Healthcare Representative"/>
    <s v="Very High"/>
    <s v="Divorced"/>
    <n v="9439"/>
    <n v="23402"/>
    <n v="3"/>
    <s v="Yes"/>
    <n v="16"/>
    <s v="Excellent"/>
    <s v="Medium"/>
    <n v="1"/>
    <n v="12"/>
    <n v="2"/>
    <s v="Bad"/>
    <x v="8"/>
    <s v="0-5"/>
    <n v="3"/>
    <n v="1"/>
    <n v="4"/>
    <n v="164"/>
  </r>
  <r>
    <n v="27"/>
    <x v="2"/>
    <x v="1"/>
    <s v="Non-Travel"/>
    <n v="1450"/>
    <x v="0"/>
    <n v="3"/>
    <s v="Bachelor"/>
    <x v="2"/>
    <s v="High"/>
    <x v="0"/>
    <n v="79"/>
    <s v="Medium"/>
    <x v="1"/>
    <s v="Research Scientist"/>
    <s v="High"/>
    <s v="Divorced"/>
    <n v="2566"/>
    <n v="25326"/>
    <n v="1"/>
    <s v="Yes"/>
    <n v="15"/>
    <s v="Excellent"/>
    <s v="Very High"/>
    <n v="1"/>
    <n v="1"/>
    <n v="2"/>
    <s v="Good"/>
    <x v="6"/>
    <s v="0-5"/>
    <n v="1"/>
    <n v="0"/>
    <n v="1"/>
    <n v="165"/>
  </r>
  <r>
    <n v="50"/>
    <x v="1"/>
    <x v="1"/>
    <s v="Travel_Rarely"/>
    <n v="1452"/>
    <x v="0"/>
    <n v="11"/>
    <s v="Bachelor"/>
    <x v="0"/>
    <s v="High"/>
    <x v="1"/>
    <n v="53"/>
    <s v="High"/>
    <x v="4"/>
    <s v="Manager"/>
    <s v="Medium"/>
    <s v="Single"/>
    <n v="19926"/>
    <n v="17053"/>
    <n v="3"/>
    <s v="No"/>
    <n v="15"/>
    <s v="Excellent"/>
    <s v="Medium"/>
    <n v="0"/>
    <n v="21"/>
    <n v="5"/>
    <s v="Better"/>
    <x v="8"/>
    <s v="0-5"/>
    <n v="4"/>
    <n v="4"/>
    <n v="4"/>
    <n v="166"/>
  </r>
  <r>
    <n v="41"/>
    <x v="0"/>
    <x v="1"/>
    <s v="Travel_Rarely"/>
    <n v="465"/>
    <x v="0"/>
    <n v="14"/>
    <s v="Bachelor"/>
    <x v="0"/>
    <s v="Low"/>
    <x v="0"/>
    <n v="56"/>
    <s v="High"/>
    <x v="1"/>
    <s v="Research Scientist"/>
    <s v="High"/>
    <s v="Divorced"/>
    <n v="2451"/>
    <n v="4609"/>
    <n v="4"/>
    <s v="No"/>
    <n v="12"/>
    <s v="Excellent"/>
    <s v="Low"/>
    <n v="1"/>
    <n v="13"/>
    <n v="2"/>
    <s v="Better"/>
    <x v="7"/>
    <s v="5-10"/>
    <n v="8"/>
    <n v="1"/>
    <n v="8"/>
    <n v="167"/>
  </r>
  <r>
    <n v="30"/>
    <x v="2"/>
    <x v="1"/>
    <s v="Travel_Rarely"/>
    <n v="1339"/>
    <x v="1"/>
    <n v="5"/>
    <s v="Bachelor"/>
    <x v="0"/>
    <s v="Medium"/>
    <x v="1"/>
    <n v="41"/>
    <s v="High"/>
    <x v="2"/>
    <s v="Sales Executive"/>
    <s v="Very High"/>
    <s v="Married"/>
    <n v="9419"/>
    <n v="8053"/>
    <n v="2"/>
    <s v="No"/>
    <n v="12"/>
    <s v="Excellent"/>
    <s v="High"/>
    <n v="1"/>
    <n v="12"/>
    <n v="2"/>
    <s v="Better"/>
    <x v="1"/>
    <s v="5-10"/>
    <n v="9"/>
    <n v="7"/>
    <n v="4"/>
    <n v="168"/>
  </r>
  <r>
    <n v="38"/>
    <x v="0"/>
    <x v="1"/>
    <s v="Travel_Rarely"/>
    <n v="702"/>
    <x v="1"/>
    <n v="1"/>
    <s v="Master"/>
    <x v="0"/>
    <s v="Low"/>
    <x v="1"/>
    <n v="59"/>
    <s v="Medium"/>
    <x v="0"/>
    <s v="Sales Executive"/>
    <s v="Very High"/>
    <s v="Single"/>
    <n v="8686"/>
    <n v="12930"/>
    <n v="4"/>
    <s v="No"/>
    <n v="22"/>
    <s v="Outstanding"/>
    <s v="High"/>
    <n v="0"/>
    <n v="12"/>
    <n v="2"/>
    <s v="Best"/>
    <x v="3"/>
    <s v="5-10"/>
    <n v="3"/>
    <n v="0"/>
    <n v="7"/>
    <n v="169"/>
  </r>
  <r>
    <n v="32"/>
    <x v="2"/>
    <x v="1"/>
    <s v="Travel_Rarely"/>
    <n v="120"/>
    <x v="0"/>
    <n v="6"/>
    <s v="Doctor"/>
    <x v="0"/>
    <s v="High"/>
    <x v="0"/>
    <n v="43"/>
    <s v="High"/>
    <x v="1"/>
    <s v="Research Scientist"/>
    <s v="High"/>
    <s v="Single"/>
    <n v="3038"/>
    <n v="12430"/>
    <n v="3"/>
    <s v="No"/>
    <n v="20"/>
    <s v="Outstanding"/>
    <s v="Low"/>
    <n v="0"/>
    <n v="8"/>
    <n v="2"/>
    <s v="Better"/>
    <x v="8"/>
    <s v="0-5"/>
    <n v="4"/>
    <n v="1"/>
    <n v="4"/>
    <n v="170"/>
  </r>
  <r>
    <n v="27"/>
    <x v="2"/>
    <x v="1"/>
    <s v="Travel_Rarely"/>
    <n v="1157"/>
    <x v="0"/>
    <n v="17"/>
    <s v="Bachelor"/>
    <x v="4"/>
    <s v="High"/>
    <x v="0"/>
    <n v="51"/>
    <s v="High"/>
    <x v="1"/>
    <s v="Research Scientist"/>
    <s v="Medium"/>
    <s v="Married"/>
    <n v="3058"/>
    <n v="13364"/>
    <n v="0"/>
    <s v="Yes"/>
    <n v="16"/>
    <s v="Excellent"/>
    <s v="Very High"/>
    <n v="1"/>
    <n v="6"/>
    <n v="3"/>
    <s v="Good"/>
    <x v="8"/>
    <s v="0-5"/>
    <n v="2"/>
    <n v="1"/>
    <n v="1"/>
    <n v="171"/>
  </r>
  <r>
    <n v="19"/>
    <x v="4"/>
    <x v="0"/>
    <s v="Travel_Frequently"/>
    <n v="602"/>
    <x v="1"/>
    <n v="1"/>
    <s v="Below College"/>
    <x v="4"/>
    <s v="High"/>
    <x v="1"/>
    <n v="100"/>
    <s v="Low"/>
    <x v="1"/>
    <s v="Sales Representative"/>
    <s v="Low"/>
    <s v="Single"/>
    <n v="2325"/>
    <n v="20989"/>
    <n v="0"/>
    <s v="No"/>
    <n v="21"/>
    <s v="Outstanding"/>
    <s v="Low"/>
    <n v="0"/>
    <n v="1"/>
    <n v="5"/>
    <s v="Best"/>
    <x v="2"/>
    <s v="0-5"/>
    <n v="0"/>
    <n v="0"/>
    <n v="0"/>
    <n v="172"/>
  </r>
  <r>
    <n v="36"/>
    <x v="0"/>
    <x v="1"/>
    <s v="Travel_Frequently"/>
    <n v="1480"/>
    <x v="0"/>
    <n v="3"/>
    <s v="College"/>
    <x v="2"/>
    <s v="Very High"/>
    <x v="0"/>
    <n v="30"/>
    <s v="High"/>
    <x v="1"/>
    <s v="Laboratory Technician"/>
    <s v="Medium"/>
    <s v="Single"/>
    <n v="2088"/>
    <n v="15062"/>
    <n v="4"/>
    <s v="No"/>
    <n v="12"/>
    <s v="Excellent"/>
    <s v="High"/>
    <n v="0"/>
    <n v="13"/>
    <n v="3"/>
    <s v="Good"/>
    <x v="3"/>
    <s v="5-10"/>
    <n v="7"/>
    <n v="7"/>
    <n v="2"/>
    <n v="173"/>
  </r>
  <r>
    <n v="30"/>
    <x v="2"/>
    <x v="1"/>
    <s v="Non-Travel"/>
    <n v="111"/>
    <x v="0"/>
    <n v="9"/>
    <s v="Bachelor"/>
    <x v="2"/>
    <s v="High"/>
    <x v="0"/>
    <n v="66"/>
    <s v="High"/>
    <x v="0"/>
    <s v="Laboratory Technician"/>
    <s v="Low"/>
    <s v="Divorced"/>
    <n v="3072"/>
    <n v="11012"/>
    <n v="1"/>
    <s v="No"/>
    <n v="11"/>
    <s v="Excellent"/>
    <s v="High"/>
    <n v="2"/>
    <n v="12"/>
    <n v="4"/>
    <s v="Better"/>
    <x v="12"/>
    <s v="10-40"/>
    <n v="9"/>
    <n v="6"/>
    <n v="10"/>
    <n v="174"/>
  </r>
  <r>
    <n v="45"/>
    <x v="0"/>
    <x v="1"/>
    <s v="Travel_Rarely"/>
    <n v="1268"/>
    <x v="1"/>
    <n v="4"/>
    <s v="College"/>
    <x v="0"/>
    <s v="High"/>
    <x v="1"/>
    <n v="30"/>
    <s v="High"/>
    <x v="0"/>
    <s v="Sales Executive"/>
    <s v="Low"/>
    <s v="Divorced"/>
    <n v="5006"/>
    <n v="6319"/>
    <n v="4"/>
    <s v="Yes"/>
    <n v="11"/>
    <s v="Excellent"/>
    <s v="Low"/>
    <n v="1"/>
    <n v="9"/>
    <n v="3"/>
    <s v="Best"/>
    <x v="8"/>
    <s v="0-5"/>
    <n v="4"/>
    <n v="0"/>
    <n v="3"/>
    <n v="175"/>
  </r>
  <r>
    <n v="56"/>
    <x v="3"/>
    <x v="1"/>
    <s v="Travel_Rarely"/>
    <n v="713"/>
    <x v="0"/>
    <n v="8"/>
    <s v="Bachelor"/>
    <x v="0"/>
    <s v="High"/>
    <x v="1"/>
    <n v="67"/>
    <s v="High"/>
    <x v="1"/>
    <s v="Research Scientist"/>
    <s v="Low"/>
    <s v="Divorced"/>
    <n v="4257"/>
    <n v="13939"/>
    <n v="4"/>
    <s v="Yes"/>
    <n v="18"/>
    <s v="Excellent"/>
    <s v="High"/>
    <n v="1"/>
    <n v="19"/>
    <n v="3"/>
    <s v="Better"/>
    <x v="4"/>
    <s v="0-5"/>
    <n v="2"/>
    <n v="2"/>
    <n v="2"/>
    <n v="176"/>
  </r>
  <r>
    <n v="33"/>
    <x v="2"/>
    <x v="1"/>
    <s v="Travel_Rarely"/>
    <n v="134"/>
    <x v="0"/>
    <n v="2"/>
    <s v="Bachelor"/>
    <x v="0"/>
    <s v="High"/>
    <x v="0"/>
    <n v="90"/>
    <s v="High"/>
    <x v="1"/>
    <s v="Research Scientist"/>
    <s v="Very High"/>
    <s v="Single"/>
    <n v="2500"/>
    <n v="10515"/>
    <n v="0"/>
    <s v="No"/>
    <n v="14"/>
    <s v="Excellent"/>
    <s v="Low"/>
    <n v="0"/>
    <n v="4"/>
    <n v="2"/>
    <s v="Best"/>
    <x v="11"/>
    <s v="0-5"/>
    <n v="1"/>
    <n v="0"/>
    <n v="2"/>
    <n v="177"/>
  </r>
  <r>
    <n v="19"/>
    <x v="4"/>
    <x v="0"/>
    <s v="Travel_Rarely"/>
    <n v="303"/>
    <x v="0"/>
    <n v="2"/>
    <s v="Bachelor"/>
    <x v="0"/>
    <s v="Medium"/>
    <x v="0"/>
    <n v="47"/>
    <s v="Medium"/>
    <x v="1"/>
    <s v="Laboratory Technician"/>
    <s v="Very High"/>
    <s v="Single"/>
    <n v="1102"/>
    <n v="9241"/>
    <n v="1"/>
    <s v="No"/>
    <n v="22"/>
    <s v="Outstanding"/>
    <s v="High"/>
    <n v="0"/>
    <n v="1"/>
    <n v="3"/>
    <s v="Good"/>
    <x v="6"/>
    <s v="0-5"/>
    <n v="0"/>
    <n v="1"/>
    <n v="0"/>
    <n v="178"/>
  </r>
  <r>
    <n v="46"/>
    <x v="1"/>
    <x v="1"/>
    <s v="Travel_Rarely"/>
    <n v="526"/>
    <x v="1"/>
    <n v="1"/>
    <s v="College"/>
    <x v="3"/>
    <s v="Medium"/>
    <x v="1"/>
    <n v="92"/>
    <s v="High"/>
    <x v="2"/>
    <s v="Sales Executive"/>
    <s v="Low"/>
    <s v="Divorced"/>
    <n v="10453"/>
    <n v="2137"/>
    <n v="1"/>
    <s v="No"/>
    <n v="25"/>
    <s v="Outstanding"/>
    <s v="High"/>
    <n v="3"/>
    <n v="24"/>
    <n v="2"/>
    <s v="Better"/>
    <x v="25"/>
    <s v="10-40"/>
    <n v="13"/>
    <n v="15"/>
    <n v="7"/>
    <n v="179"/>
  </r>
  <r>
    <n v="38"/>
    <x v="0"/>
    <x v="1"/>
    <s v="Travel_Rarely"/>
    <n v="1380"/>
    <x v="0"/>
    <n v="9"/>
    <s v="College"/>
    <x v="0"/>
    <s v="High"/>
    <x v="1"/>
    <n v="75"/>
    <s v="High"/>
    <x v="1"/>
    <s v="Laboratory Technician"/>
    <s v="Very High"/>
    <s v="Single"/>
    <n v="2288"/>
    <n v="6319"/>
    <n v="1"/>
    <s v="No"/>
    <n v="12"/>
    <s v="Excellent"/>
    <s v="High"/>
    <n v="0"/>
    <n v="2"/>
    <n v="3"/>
    <s v="Better"/>
    <x v="4"/>
    <s v="0-5"/>
    <n v="2"/>
    <n v="2"/>
    <n v="1"/>
    <n v="180"/>
  </r>
  <r>
    <n v="31"/>
    <x v="2"/>
    <x v="1"/>
    <s v="Travel_Rarely"/>
    <n v="140"/>
    <x v="0"/>
    <n v="12"/>
    <s v="Below College"/>
    <x v="2"/>
    <s v="High"/>
    <x v="1"/>
    <n v="95"/>
    <s v="High"/>
    <x v="1"/>
    <s v="Research Scientist"/>
    <s v="Very High"/>
    <s v="Married"/>
    <n v="3929"/>
    <n v="6984"/>
    <n v="8"/>
    <s v="Yes"/>
    <n v="23"/>
    <s v="Outstanding"/>
    <s v="High"/>
    <n v="1"/>
    <n v="7"/>
    <n v="0"/>
    <s v="Better"/>
    <x v="9"/>
    <s v="0-5"/>
    <n v="2"/>
    <n v="0"/>
    <n v="2"/>
    <n v="181"/>
  </r>
  <r>
    <n v="34"/>
    <x v="2"/>
    <x v="1"/>
    <s v="Travel_Rarely"/>
    <n v="629"/>
    <x v="0"/>
    <n v="27"/>
    <s v="College"/>
    <x v="2"/>
    <s v="Very High"/>
    <x v="1"/>
    <n v="95"/>
    <s v="High"/>
    <x v="1"/>
    <s v="Research Scientist"/>
    <s v="Medium"/>
    <s v="Single"/>
    <n v="2311"/>
    <n v="5711"/>
    <n v="2"/>
    <s v="No"/>
    <n v="15"/>
    <s v="Excellent"/>
    <s v="Very High"/>
    <n v="0"/>
    <n v="9"/>
    <n v="3"/>
    <s v="Better"/>
    <x v="11"/>
    <s v="0-5"/>
    <n v="2"/>
    <n v="1"/>
    <n v="2"/>
    <n v="182"/>
  </r>
  <r>
    <n v="41"/>
    <x v="0"/>
    <x v="0"/>
    <s v="Travel_Rarely"/>
    <n v="1356"/>
    <x v="1"/>
    <n v="20"/>
    <s v="College"/>
    <x v="3"/>
    <s v="Medium"/>
    <x v="1"/>
    <n v="70"/>
    <s v="High"/>
    <x v="1"/>
    <s v="Sales Representative"/>
    <s v="Medium"/>
    <s v="Single"/>
    <n v="3140"/>
    <n v="21728"/>
    <n v="1"/>
    <s v="Yes"/>
    <n v="22"/>
    <s v="Outstanding"/>
    <s v="Very High"/>
    <n v="0"/>
    <n v="4"/>
    <n v="5"/>
    <s v="Good"/>
    <x v="9"/>
    <s v="0-5"/>
    <n v="3"/>
    <n v="0"/>
    <n v="2"/>
    <n v="183"/>
  </r>
  <r>
    <n v="50"/>
    <x v="1"/>
    <x v="1"/>
    <s v="Travel_Rarely"/>
    <n v="328"/>
    <x v="0"/>
    <n v="1"/>
    <s v="Bachelor"/>
    <x v="2"/>
    <s v="High"/>
    <x v="0"/>
    <n v="86"/>
    <s v="Medium"/>
    <x v="1"/>
    <s v="Laboratory Technician"/>
    <s v="High"/>
    <s v="Married"/>
    <n v="3690"/>
    <n v="3425"/>
    <n v="2"/>
    <s v="No"/>
    <n v="15"/>
    <s v="Excellent"/>
    <s v="Very High"/>
    <n v="1"/>
    <n v="5"/>
    <n v="2"/>
    <s v="Good"/>
    <x v="11"/>
    <s v="0-5"/>
    <n v="2"/>
    <n v="0"/>
    <n v="2"/>
    <n v="184"/>
  </r>
  <r>
    <n v="53"/>
    <x v="1"/>
    <x v="1"/>
    <s v="Travel_Rarely"/>
    <n v="1084"/>
    <x v="0"/>
    <n v="13"/>
    <s v="College"/>
    <x v="2"/>
    <s v="Very High"/>
    <x v="1"/>
    <n v="57"/>
    <s v="Very High"/>
    <x v="0"/>
    <s v="Manufacturing Director"/>
    <s v="Low"/>
    <s v="Divorced"/>
    <n v="4450"/>
    <n v="26250"/>
    <n v="1"/>
    <s v="No"/>
    <n v="11"/>
    <s v="Excellent"/>
    <s v="High"/>
    <n v="2"/>
    <n v="5"/>
    <n v="3"/>
    <s v="Better"/>
    <x v="9"/>
    <s v="0-5"/>
    <n v="2"/>
    <n v="1"/>
    <n v="3"/>
    <n v="185"/>
  </r>
  <r>
    <n v="33"/>
    <x v="2"/>
    <x v="1"/>
    <s v="Travel_Rarely"/>
    <n v="931"/>
    <x v="0"/>
    <n v="14"/>
    <s v="Bachelor"/>
    <x v="2"/>
    <s v="Very High"/>
    <x v="1"/>
    <n v="72"/>
    <s v="High"/>
    <x v="1"/>
    <s v="Research Scientist"/>
    <s v="Medium"/>
    <s v="Married"/>
    <n v="2756"/>
    <n v="4673"/>
    <n v="1"/>
    <s v="No"/>
    <n v="13"/>
    <s v="Excellent"/>
    <s v="Very High"/>
    <n v="1"/>
    <n v="8"/>
    <n v="5"/>
    <s v="Better"/>
    <x v="3"/>
    <s v="5-10"/>
    <n v="7"/>
    <n v="1"/>
    <n v="6"/>
    <n v="186"/>
  </r>
  <r>
    <n v="40"/>
    <x v="0"/>
    <x v="1"/>
    <s v="Travel_Rarely"/>
    <n v="989"/>
    <x v="0"/>
    <n v="4"/>
    <s v="Below College"/>
    <x v="2"/>
    <s v="Very High"/>
    <x v="1"/>
    <n v="46"/>
    <s v="High"/>
    <x v="4"/>
    <s v="Manager"/>
    <s v="High"/>
    <s v="Married"/>
    <n v="19033"/>
    <n v="6499"/>
    <n v="1"/>
    <s v="No"/>
    <n v="14"/>
    <s v="Excellent"/>
    <s v="Medium"/>
    <n v="1"/>
    <n v="21"/>
    <n v="2"/>
    <s v="Better"/>
    <x v="23"/>
    <s v="10-40"/>
    <n v="8"/>
    <n v="9"/>
    <n v="9"/>
    <n v="187"/>
  </r>
  <r>
    <n v="55"/>
    <x v="1"/>
    <x v="1"/>
    <s v="Travel_Rarely"/>
    <n v="692"/>
    <x v="0"/>
    <n v="14"/>
    <s v="Master"/>
    <x v="2"/>
    <s v="High"/>
    <x v="0"/>
    <n v="61"/>
    <s v="Very High"/>
    <x v="4"/>
    <s v="Research Director"/>
    <s v="Medium"/>
    <s v="Single"/>
    <n v="18722"/>
    <n v="13339"/>
    <n v="8"/>
    <s v="No"/>
    <n v="11"/>
    <s v="Excellent"/>
    <s v="Very High"/>
    <n v="0"/>
    <n v="36"/>
    <n v="3"/>
    <s v="Better"/>
    <x v="25"/>
    <s v="10-40"/>
    <n v="15"/>
    <n v="2"/>
    <n v="15"/>
    <n v="188"/>
  </r>
  <r>
    <n v="34"/>
    <x v="2"/>
    <x v="1"/>
    <s v="Travel_Frequently"/>
    <n v="1069"/>
    <x v="0"/>
    <n v="2"/>
    <s v="Below College"/>
    <x v="0"/>
    <s v="Very High"/>
    <x v="0"/>
    <n v="45"/>
    <s v="Medium"/>
    <x v="0"/>
    <s v="Manufacturing Director"/>
    <s v="High"/>
    <s v="Married"/>
    <n v="9547"/>
    <n v="14074"/>
    <n v="1"/>
    <s v="No"/>
    <n v="17"/>
    <s v="Excellent"/>
    <s v="High"/>
    <n v="0"/>
    <n v="10"/>
    <n v="2"/>
    <s v="Good"/>
    <x v="1"/>
    <s v="5-10"/>
    <n v="9"/>
    <n v="1"/>
    <n v="9"/>
    <n v="189"/>
  </r>
  <r>
    <n v="51"/>
    <x v="1"/>
    <x v="1"/>
    <s v="Travel_Rarely"/>
    <n v="313"/>
    <x v="0"/>
    <n v="3"/>
    <s v="Bachelor"/>
    <x v="2"/>
    <s v="Very High"/>
    <x v="1"/>
    <n v="98"/>
    <s v="High"/>
    <x v="3"/>
    <s v="Healthcare Representative"/>
    <s v="Medium"/>
    <s v="Single"/>
    <n v="13734"/>
    <n v="7192"/>
    <n v="3"/>
    <s v="No"/>
    <n v="18"/>
    <s v="Excellent"/>
    <s v="High"/>
    <n v="0"/>
    <n v="21"/>
    <n v="6"/>
    <s v="Better"/>
    <x v="5"/>
    <s v="5-10"/>
    <n v="7"/>
    <n v="1"/>
    <n v="0"/>
    <n v="190"/>
  </r>
  <r>
    <n v="52"/>
    <x v="1"/>
    <x v="1"/>
    <s v="Travel_Rarely"/>
    <n v="699"/>
    <x v="0"/>
    <n v="1"/>
    <s v="Master"/>
    <x v="0"/>
    <s v="High"/>
    <x v="0"/>
    <n v="65"/>
    <s v="Medium"/>
    <x v="4"/>
    <s v="Manager"/>
    <s v="High"/>
    <s v="Married"/>
    <n v="19999"/>
    <n v="5678"/>
    <n v="0"/>
    <s v="No"/>
    <n v="14"/>
    <s v="Excellent"/>
    <s v="Low"/>
    <n v="1"/>
    <n v="34"/>
    <n v="5"/>
    <s v="Better"/>
    <x v="26"/>
    <s v="10-40"/>
    <n v="18"/>
    <n v="11"/>
    <n v="9"/>
    <n v="191"/>
  </r>
  <r>
    <n v="27"/>
    <x v="2"/>
    <x v="1"/>
    <s v="Travel_Rarely"/>
    <n v="894"/>
    <x v="0"/>
    <n v="9"/>
    <s v="Bachelor"/>
    <x v="2"/>
    <s v="Very High"/>
    <x v="1"/>
    <n v="99"/>
    <s v="High"/>
    <x v="1"/>
    <s v="Research Scientist"/>
    <s v="Medium"/>
    <s v="Single"/>
    <n v="2279"/>
    <n v="11781"/>
    <n v="1"/>
    <s v="No"/>
    <n v="16"/>
    <s v="Excellent"/>
    <s v="Very High"/>
    <n v="0"/>
    <n v="7"/>
    <n v="2"/>
    <s v="Good"/>
    <x v="5"/>
    <s v="5-10"/>
    <n v="7"/>
    <n v="0"/>
    <n v="3"/>
    <n v="192"/>
  </r>
  <r>
    <n v="35"/>
    <x v="2"/>
    <x v="0"/>
    <s v="Travel_Rarely"/>
    <n v="556"/>
    <x v="0"/>
    <n v="23"/>
    <s v="College"/>
    <x v="0"/>
    <s v="Medium"/>
    <x v="0"/>
    <n v="50"/>
    <s v="Medium"/>
    <x v="0"/>
    <s v="Manufacturing Director"/>
    <s v="High"/>
    <s v="Married"/>
    <n v="5916"/>
    <n v="15497"/>
    <n v="3"/>
    <s v="Yes"/>
    <n v="13"/>
    <s v="Excellent"/>
    <s v="Low"/>
    <n v="0"/>
    <n v="8"/>
    <n v="1"/>
    <s v="Better"/>
    <x v="6"/>
    <s v="0-5"/>
    <n v="0"/>
    <n v="0"/>
    <n v="1"/>
    <n v="193"/>
  </r>
  <r>
    <n v="43"/>
    <x v="0"/>
    <x v="1"/>
    <s v="Non-Travel"/>
    <n v="1344"/>
    <x v="0"/>
    <n v="7"/>
    <s v="Bachelor"/>
    <x v="2"/>
    <s v="Very High"/>
    <x v="0"/>
    <n v="37"/>
    <s v="Very High"/>
    <x v="1"/>
    <s v="Research Scientist"/>
    <s v="Very High"/>
    <s v="Divorced"/>
    <n v="2089"/>
    <n v="5228"/>
    <n v="4"/>
    <s v="No"/>
    <n v="14"/>
    <s v="Excellent"/>
    <s v="Very High"/>
    <n v="3"/>
    <n v="7"/>
    <n v="3"/>
    <s v="Best"/>
    <x v="8"/>
    <s v="0-5"/>
    <n v="4"/>
    <n v="2"/>
    <n v="2"/>
    <n v="194"/>
  </r>
  <r>
    <n v="45"/>
    <x v="0"/>
    <x v="1"/>
    <s v="Non-Travel"/>
    <n v="1195"/>
    <x v="0"/>
    <n v="2"/>
    <s v="College"/>
    <x v="2"/>
    <s v="Low"/>
    <x v="0"/>
    <n v="65"/>
    <s v="Medium"/>
    <x v="3"/>
    <s v="Manager"/>
    <s v="Very High"/>
    <s v="Married"/>
    <n v="16792"/>
    <n v="20462"/>
    <n v="9"/>
    <s v="No"/>
    <n v="23"/>
    <s v="Outstanding"/>
    <s v="Very High"/>
    <n v="1"/>
    <n v="22"/>
    <n v="1"/>
    <s v="Better"/>
    <x v="23"/>
    <s v="10-40"/>
    <n v="8"/>
    <n v="11"/>
    <n v="8"/>
    <n v="195"/>
  </r>
  <r>
    <n v="37"/>
    <x v="0"/>
    <x v="1"/>
    <s v="Travel_Rarely"/>
    <n v="290"/>
    <x v="0"/>
    <n v="21"/>
    <s v="Bachelor"/>
    <x v="0"/>
    <s v="Medium"/>
    <x v="0"/>
    <n v="65"/>
    <s v="Very High"/>
    <x v="1"/>
    <s v="Research Scientist"/>
    <s v="Low"/>
    <s v="Married"/>
    <n v="3564"/>
    <n v="22977"/>
    <n v="1"/>
    <s v="Yes"/>
    <n v="12"/>
    <s v="Excellent"/>
    <s v="Low"/>
    <n v="1"/>
    <n v="8"/>
    <n v="3"/>
    <s v="Good"/>
    <x v="3"/>
    <s v="5-10"/>
    <n v="7"/>
    <n v="1"/>
    <n v="7"/>
    <n v="196"/>
  </r>
  <r>
    <n v="35"/>
    <x v="2"/>
    <x v="1"/>
    <s v="Travel_Frequently"/>
    <n v="138"/>
    <x v="0"/>
    <n v="2"/>
    <s v="Bachelor"/>
    <x v="2"/>
    <s v="Medium"/>
    <x v="1"/>
    <n v="37"/>
    <s v="High"/>
    <x v="0"/>
    <s v="Laboratory Technician"/>
    <s v="Medium"/>
    <s v="Single"/>
    <n v="4425"/>
    <n v="15986"/>
    <n v="5"/>
    <s v="No"/>
    <n v="11"/>
    <s v="Excellent"/>
    <s v="Very High"/>
    <n v="0"/>
    <n v="10"/>
    <n v="5"/>
    <s v="Better"/>
    <x v="0"/>
    <s v="5-10"/>
    <n v="2"/>
    <n v="1"/>
    <n v="2"/>
    <n v="197"/>
  </r>
  <r>
    <n v="42"/>
    <x v="0"/>
    <x v="1"/>
    <s v="Non-Travel"/>
    <n v="926"/>
    <x v="0"/>
    <n v="21"/>
    <s v="College"/>
    <x v="2"/>
    <s v="High"/>
    <x v="1"/>
    <n v="36"/>
    <s v="High"/>
    <x v="0"/>
    <s v="Manufacturing Director"/>
    <s v="High"/>
    <s v="Divorced"/>
    <n v="5265"/>
    <n v="16439"/>
    <n v="2"/>
    <s v="No"/>
    <n v="16"/>
    <s v="Excellent"/>
    <s v="Medium"/>
    <n v="1"/>
    <n v="11"/>
    <n v="5"/>
    <s v="Better"/>
    <x v="8"/>
    <s v="0-5"/>
    <n v="3"/>
    <n v="0"/>
    <n v="2"/>
    <n v="198"/>
  </r>
  <r>
    <n v="38"/>
    <x v="0"/>
    <x v="1"/>
    <s v="Travel_Rarely"/>
    <n v="1261"/>
    <x v="0"/>
    <n v="2"/>
    <s v="Master"/>
    <x v="0"/>
    <s v="Very High"/>
    <x v="0"/>
    <n v="88"/>
    <s v="High"/>
    <x v="0"/>
    <s v="Manufacturing Director"/>
    <s v="High"/>
    <s v="Married"/>
    <n v="6553"/>
    <n v="7259"/>
    <n v="9"/>
    <s v="No"/>
    <n v="14"/>
    <s v="Excellent"/>
    <s v="Medium"/>
    <n v="0"/>
    <n v="14"/>
    <n v="3"/>
    <s v="Better"/>
    <x v="6"/>
    <s v="0-5"/>
    <n v="0"/>
    <n v="0"/>
    <n v="0"/>
    <n v="199"/>
  </r>
  <r>
    <n v="38"/>
    <x v="0"/>
    <x v="1"/>
    <s v="Travel_Rarely"/>
    <n v="1084"/>
    <x v="0"/>
    <n v="29"/>
    <s v="Bachelor"/>
    <x v="4"/>
    <s v="Very High"/>
    <x v="0"/>
    <n v="54"/>
    <s v="High"/>
    <x v="0"/>
    <s v="Manufacturing Director"/>
    <s v="Very High"/>
    <s v="Married"/>
    <n v="6261"/>
    <n v="4185"/>
    <n v="3"/>
    <s v="No"/>
    <n v="18"/>
    <s v="Excellent"/>
    <s v="Low"/>
    <n v="1"/>
    <n v="9"/>
    <n v="3"/>
    <s v="Bad"/>
    <x v="5"/>
    <s v="5-10"/>
    <n v="7"/>
    <n v="1"/>
    <n v="7"/>
    <n v="200"/>
  </r>
  <r>
    <n v="27"/>
    <x v="2"/>
    <x v="1"/>
    <s v="Travel_Frequently"/>
    <n v="472"/>
    <x v="0"/>
    <n v="1"/>
    <s v="Below College"/>
    <x v="4"/>
    <s v="High"/>
    <x v="0"/>
    <n v="60"/>
    <s v="Medium"/>
    <x v="0"/>
    <s v="Manufacturing Director"/>
    <s v="Low"/>
    <s v="Married"/>
    <n v="4298"/>
    <n v="9679"/>
    <n v="5"/>
    <s v="No"/>
    <n v="19"/>
    <s v="Excellent"/>
    <s v="High"/>
    <n v="1"/>
    <n v="6"/>
    <n v="1"/>
    <s v="Better"/>
    <x v="4"/>
    <s v="0-5"/>
    <n v="2"/>
    <n v="2"/>
    <n v="0"/>
    <n v="201"/>
  </r>
  <r>
    <n v="49"/>
    <x v="1"/>
    <x v="1"/>
    <s v="Non-Travel"/>
    <n v="1002"/>
    <x v="0"/>
    <n v="18"/>
    <s v="Master"/>
    <x v="0"/>
    <s v="Very High"/>
    <x v="0"/>
    <n v="92"/>
    <s v="High"/>
    <x v="0"/>
    <s v="Manufacturing Director"/>
    <s v="Very High"/>
    <s v="Divorced"/>
    <n v="6804"/>
    <n v="23793"/>
    <n v="1"/>
    <s v="Yes"/>
    <n v="15"/>
    <s v="Excellent"/>
    <s v="Low"/>
    <n v="2"/>
    <n v="7"/>
    <n v="0"/>
    <s v="Better"/>
    <x v="5"/>
    <s v="5-10"/>
    <n v="7"/>
    <n v="1"/>
    <n v="7"/>
    <n v="202"/>
  </r>
  <r>
    <n v="34"/>
    <x v="2"/>
    <x v="1"/>
    <s v="Travel_Frequently"/>
    <n v="878"/>
    <x v="0"/>
    <n v="10"/>
    <s v="Master"/>
    <x v="2"/>
    <s v="Very High"/>
    <x v="0"/>
    <n v="43"/>
    <s v="High"/>
    <x v="1"/>
    <s v="Research Scientist"/>
    <s v="High"/>
    <s v="Divorced"/>
    <n v="3815"/>
    <n v="5972"/>
    <n v="1"/>
    <s v="Yes"/>
    <n v="17"/>
    <s v="Excellent"/>
    <s v="Very High"/>
    <n v="1"/>
    <n v="5"/>
    <n v="4"/>
    <s v="Best"/>
    <x v="8"/>
    <s v="0-5"/>
    <n v="3"/>
    <n v="2"/>
    <n v="0"/>
    <n v="203"/>
  </r>
  <r>
    <n v="40"/>
    <x v="0"/>
    <x v="1"/>
    <s v="Travel_Rarely"/>
    <n v="905"/>
    <x v="0"/>
    <n v="19"/>
    <s v="College"/>
    <x v="2"/>
    <s v="High"/>
    <x v="0"/>
    <n v="99"/>
    <s v="High"/>
    <x v="0"/>
    <s v="Laboratory Technician"/>
    <s v="Very High"/>
    <s v="Married"/>
    <n v="2741"/>
    <n v="16523"/>
    <n v="8"/>
    <s v="Yes"/>
    <n v="15"/>
    <s v="Excellent"/>
    <s v="High"/>
    <n v="1"/>
    <n v="15"/>
    <n v="2"/>
    <s v="Best"/>
    <x v="5"/>
    <s v="5-10"/>
    <n v="2"/>
    <n v="3"/>
    <n v="7"/>
    <n v="204"/>
  </r>
  <r>
    <n v="38"/>
    <x v="0"/>
    <x v="0"/>
    <s v="Travel_Rarely"/>
    <n v="1180"/>
    <x v="0"/>
    <n v="29"/>
    <s v="Below College"/>
    <x v="2"/>
    <s v="Medium"/>
    <x v="0"/>
    <n v="70"/>
    <s v="High"/>
    <x v="0"/>
    <s v="Healthcare Representative"/>
    <s v="Low"/>
    <s v="Married"/>
    <n v="6673"/>
    <n v="11354"/>
    <n v="7"/>
    <s v="Yes"/>
    <n v="19"/>
    <s v="Excellent"/>
    <s v="Medium"/>
    <n v="0"/>
    <n v="17"/>
    <n v="2"/>
    <s v="Better"/>
    <x v="6"/>
    <s v="0-5"/>
    <n v="0"/>
    <n v="0"/>
    <n v="0"/>
    <n v="205"/>
  </r>
  <r>
    <n v="29"/>
    <x v="2"/>
    <x v="0"/>
    <s v="Travel_Rarely"/>
    <n v="121"/>
    <x v="1"/>
    <n v="27"/>
    <s v="Bachelor"/>
    <x v="3"/>
    <s v="Medium"/>
    <x v="1"/>
    <n v="35"/>
    <s v="High"/>
    <x v="2"/>
    <s v="Sales Executive"/>
    <s v="Very High"/>
    <s v="Married"/>
    <n v="7639"/>
    <n v="24525"/>
    <n v="1"/>
    <s v="No"/>
    <n v="22"/>
    <s v="Outstanding"/>
    <s v="Very High"/>
    <n v="3"/>
    <n v="10"/>
    <n v="3"/>
    <s v="Good"/>
    <x v="1"/>
    <s v="5-10"/>
    <n v="4"/>
    <n v="1"/>
    <n v="9"/>
    <n v="206"/>
  </r>
  <r>
    <n v="22"/>
    <x v="4"/>
    <x v="1"/>
    <s v="Travel_Rarely"/>
    <n v="1136"/>
    <x v="0"/>
    <n v="5"/>
    <s v="Bachelor"/>
    <x v="0"/>
    <s v="Very High"/>
    <x v="0"/>
    <n v="60"/>
    <s v="Very High"/>
    <x v="1"/>
    <s v="Research Scientist"/>
    <s v="Medium"/>
    <s v="Divorced"/>
    <n v="2328"/>
    <n v="12392"/>
    <n v="1"/>
    <s v="Yes"/>
    <n v="16"/>
    <s v="Excellent"/>
    <s v="Low"/>
    <n v="1"/>
    <n v="4"/>
    <n v="2"/>
    <s v="Good"/>
    <x v="9"/>
    <s v="0-5"/>
    <n v="2"/>
    <n v="2"/>
    <n v="2"/>
    <n v="207"/>
  </r>
  <r>
    <n v="36"/>
    <x v="0"/>
    <x v="1"/>
    <s v="Travel_Frequently"/>
    <n v="635"/>
    <x v="0"/>
    <n v="18"/>
    <s v="Below College"/>
    <x v="2"/>
    <s v="Medium"/>
    <x v="1"/>
    <n v="73"/>
    <s v="High"/>
    <x v="1"/>
    <s v="Laboratory Technician"/>
    <s v="Very High"/>
    <s v="Single"/>
    <n v="2153"/>
    <n v="7703"/>
    <n v="1"/>
    <s v="No"/>
    <n v="13"/>
    <s v="Excellent"/>
    <s v="Low"/>
    <n v="0"/>
    <n v="8"/>
    <n v="2"/>
    <s v="Better"/>
    <x v="3"/>
    <s v="5-10"/>
    <n v="1"/>
    <n v="1"/>
    <n v="7"/>
    <n v="208"/>
  </r>
  <r>
    <n v="40"/>
    <x v="0"/>
    <x v="1"/>
    <s v="Non-Travel"/>
    <n v="1151"/>
    <x v="0"/>
    <n v="9"/>
    <s v="Doctor"/>
    <x v="0"/>
    <s v="Very High"/>
    <x v="0"/>
    <n v="63"/>
    <s v="Medium"/>
    <x v="0"/>
    <s v="Healthcare Representative"/>
    <s v="Very High"/>
    <s v="Married"/>
    <n v="4876"/>
    <n v="14242"/>
    <n v="9"/>
    <s v="No"/>
    <n v="14"/>
    <s v="Excellent"/>
    <s v="Very High"/>
    <n v="1"/>
    <n v="5"/>
    <n v="5"/>
    <s v="Bad"/>
    <x v="11"/>
    <s v="0-5"/>
    <n v="2"/>
    <n v="0"/>
    <n v="2"/>
    <n v="209"/>
  </r>
  <r>
    <n v="46"/>
    <x v="1"/>
    <x v="1"/>
    <s v="Travel_Rarely"/>
    <n v="644"/>
    <x v="0"/>
    <n v="1"/>
    <s v="Master"/>
    <x v="2"/>
    <s v="Very High"/>
    <x v="0"/>
    <n v="97"/>
    <s v="High"/>
    <x v="2"/>
    <s v="Healthcare Representative"/>
    <s v="Low"/>
    <s v="Divorced"/>
    <n v="9396"/>
    <n v="12368"/>
    <n v="7"/>
    <s v="No"/>
    <n v="16"/>
    <s v="Excellent"/>
    <s v="High"/>
    <n v="1"/>
    <n v="17"/>
    <n v="3"/>
    <s v="Better"/>
    <x v="9"/>
    <s v="0-5"/>
    <n v="2"/>
    <n v="0"/>
    <n v="3"/>
    <n v="210"/>
  </r>
  <r>
    <n v="32"/>
    <x v="2"/>
    <x v="0"/>
    <s v="Travel_Rarely"/>
    <n v="1045"/>
    <x v="1"/>
    <n v="4"/>
    <s v="Master"/>
    <x v="2"/>
    <s v="Very High"/>
    <x v="0"/>
    <n v="32"/>
    <s v="Low"/>
    <x v="2"/>
    <s v="Sales Executive"/>
    <s v="Very High"/>
    <s v="Married"/>
    <n v="10400"/>
    <n v="25812"/>
    <n v="1"/>
    <s v="No"/>
    <n v="11"/>
    <s v="Excellent"/>
    <s v="High"/>
    <n v="0"/>
    <n v="14"/>
    <n v="2"/>
    <s v="Good"/>
    <x v="13"/>
    <s v="10-40"/>
    <n v="8"/>
    <n v="9"/>
    <n v="8"/>
    <n v="211"/>
  </r>
  <r>
    <n v="30"/>
    <x v="2"/>
    <x v="1"/>
    <s v="Non-Travel"/>
    <n v="829"/>
    <x v="0"/>
    <n v="1"/>
    <s v="Below College"/>
    <x v="0"/>
    <s v="High"/>
    <x v="0"/>
    <n v="88"/>
    <s v="Medium"/>
    <x v="2"/>
    <s v="Manufacturing Director"/>
    <s v="High"/>
    <s v="Single"/>
    <n v="8474"/>
    <n v="20925"/>
    <n v="1"/>
    <s v="No"/>
    <n v="22"/>
    <s v="Outstanding"/>
    <s v="High"/>
    <n v="0"/>
    <n v="12"/>
    <n v="2"/>
    <s v="Better"/>
    <x v="19"/>
    <s v="10-40"/>
    <n v="8"/>
    <n v="5"/>
    <n v="8"/>
    <n v="212"/>
  </r>
  <r>
    <n v="27"/>
    <x v="2"/>
    <x v="1"/>
    <s v="Travel_Frequently"/>
    <n v="1242"/>
    <x v="1"/>
    <n v="20"/>
    <s v="Bachelor"/>
    <x v="0"/>
    <s v="Very High"/>
    <x v="1"/>
    <n v="90"/>
    <s v="High"/>
    <x v="0"/>
    <s v="Sales Executive"/>
    <s v="High"/>
    <s v="Single"/>
    <n v="9981"/>
    <n v="12916"/>
    <n v="1"/>
    <s v="No"/>
    <n v="14"/>
    <s v="Excellent"/>
    <s v="Very High"/>
    <n v="0"/>
    <n v="7"/>
    <n v="2"/>
    <s v="Better"/>
    <x v="5"/>
    <s v="5-10"/>
    <n v="7"/>
    <n v="0"/>
    <n v="7"/>
    <n v="213"/>
  </r>
  <r>
    <n v="51"/>
    <x v="1"/>
    <x v="1"/>
    <s v="Travel_Rarely"/>
    <n v="1469"/>
    <x v="0"/>
    <n v="8"/>
    <s v="Master"/>
    <x v="0"/>
    <s v="Medium"/>
    <x v="0"/>
    <n v="81"/>
    <s v="Medium"/>
    <x v="2"/>
    <s v="Research Director"/>
    <s v="Medium"/>
    <s v="Married"/>
    <n v="12490"/>
    <n v="15736"/>
    <n v="5"/>
    <s v="No"/>
    <n v="16"/>
    <s v="Excellent"/>
    <s v="Very High"/>
    <n v="2"/>
    <n v="16"/>
    <n v="5"/>
    <s v="Bad"/>
    <x v="1"/>
    <s v="5-10"/>
    <n v="9"/>
    <n v="4"/>
    <n v="7"/>
    <n v="214"/>
  </r>
  <r>
    <n v="30"/>
    <x v="2"/>
    <x v="0"/>
    <s v="Travel_Rarely"/>
    <n v="1005"/>
    <x v="0"/>
    <n v="3"/>
    <s v="Bachelor"/>
    <x v="4"/>
    <s v="Very High"/>
    <x v="1"/>
    <n v="88"/>
    <s v="High"/>
    <x v="1"/>
    <s v="Research Scientist"/>
    <s v="Low"/>
    <s v="Single"/>
    <n v="2657"/>
    <n v="8556"/>
    <n v="5"/>
    <s v="Yes"/>
    <n v="11"/>
    <s v="Excellent"/>
    <s v="High"/>
    <n v="0"/>
    <n v="8"/>
    <n v="5"/>
    <s v="Better"/>
    <x v="8"/>
    <s v="0-5"/>
    <n v="2"/>
    <n v="0"/>
    <n v="4"/>
    <n v="215"/>
  </r>
  <r>
    <n v="41"/>
    <x v="0"/>
    <x v="1"/>
    <s v="Travel_Rarely"/>
    <n v="896"/>
    <x v="1"/>
    <n v="6"/>
    <s v="Bachelor"/>
    <x v="0"/>
    <s v="Very High"/>
    <x v="1"/>
    <n v="75"/>
    <s v="High"/>
    <x v="2"/>
    <s v="Manager"/>
    <s v="Very High"/>
    <s v="Single"/>
    <n v="13591"/>
    <n v="14674"/>
    <n v="3"/>
    <s v="Yes"/>
    <n v="18"/>
    <s v="Excellent"/>
    <s v="High"/>
    <n v="0"/>
    <n v="16"/>
    <n v="3"/>
    <s v="Better"/>
    <x v="6"/>
    <s v="0-5"/>
    <n v="0"/>
    <n v="0"/>
    <n v="0"/>
    <n v="216"/>
  </r>
  <r>
    <n v="30"/>
    <x v="2"/>
    <x v="0"/>
    <s v="Travel_Frequently"/>
    <n v="334"/>
    <x v="1"/>
    <n v="26"/>
    <s v="Master"/>
    <x v="3"/>
    <s v="High"/>
    <x v="1"/>
    <n v="52"/>
    <s v="Medium"/>
    <x v="0"/>
    <s v="Sales Executive"/>
    <s v="Low"/>
    <s v="Single"/>
    <n v="6696"/>
    <n v="22967"/>
    <n v="5"/>
    <s v="No"/>
    <n v="15"/>
    <s v="Excellent"/>
    <s v="High"/>
    <n v="0"/>
    <n v="9"/>
    <n v="5"/>
    <s v="Good"/>
    <x v="0"/>
    <s v="5-10"/>
    <n v="3"/>
    <n v="0"/>
    <n v="1"/>
    <n v="217"/>
  </r>
  <r>
    <n v="29"/>
    <x v="2"/>
    <x v="0"/>
    <s v="Travel_Rarely"/>
    <n v="992"/>
    <x v="0"/>
    <n v="1"/>
    <s v="Bachelor"/>
    <x v="4"/>
    <s v="High"/>
    <x v="0"/>
    <n v="85"/>
    <s v="High"/>
    <x v="1"/>
    <s v="Research Scientist"/>
    <s v="High"/>
    <s v="Single"/>
    <n v="2058"/>
    <n v="19757"/>
    <n v="0"/>
    <s v="No"/>
    <n v="14"/>
    <s v="Excellent"/>
    <s v="Very High"/>
    <n v="0"/>
    <n v="7"/>
    <n v="1"/>
    <s v="Good"/>
    <x v="0"/>
    <s v="5-10"/>
    <n v="2"/>
    <n v="1"/>
    <n v="5"/>
    <n v="218"/>
  </r>
  <r>
    <n v="45"/>
    <x v="0"/>
    <x v="1"/>
    <s v="Non-Travel"/>
    <n v="1052"/>
    <x v="1"/>
    <n v="6"/>
    <s v="Bachelor"/>
    <x v="2"/>
    <s v="Very High"/>
    <x v="1"/>
    <n v="57"/>
    <s v="Medium"/>
    <x v="2"/>
    <s v="Sales Executive"/>
    <s v="Very High"/>
    <s v="Single"/>
    <n v="8865"/>
    <n v="16840"/>
    <n v="6"/>
    <s v="No"/>
    <n v="12"/>
    <s v="Excellent"/>
    <s v="Very High"/>
    <n v="0"/>
    <n v="23"/>
    <n v="2"/>
    <s v="Better"/>
    <x v="27"/>
    <s v="10-40"/>
    <n v="7"/>
    <n v="12"/>
    <n v="8"/>
    <n v="219"/>
  </r>
  <r>
    <n v="54"/>
    <x v="1"/>
    <x v="1"/>
    <s v="Travel_Rarely"/>
    <n v="1147"/>
    <x v="1"/>
    <n v="3"/>
    <s v="Bachelor"/>
    <x v="3"/>
    <s v="Very High"/>
    <x v="1"/>
    <n v="52"/>
    <s v="High"/>
    <x v="0"/>
    <s v="Sales Executive"/>
    <s v="Low"/>
    <s v="Married"/>
    <n v="5940"/>
    <n v="17011"/>
    <n v="2"/>
    <s v="No"/>
    <n v="14"/>
    <s v="Excellent"/>
    <s v="Very High"/>
    <n v="1"/>
    <n v="16"/>
    <n v="4"/>
    <s v="Better"/>
    <x v="0"/>
    <s v="5-10"/>
    <n v="2"/>
    <n v="0"/>
    <n v="5"/>
    <n v="220"/>
  </r>
  <r>
    <n v="36"/>
    <x v="0"/>
    <x v="1"/>
    <s v="Travel_Rarely"/>
    <n v="1396"/>
    <x v="0"/>
    <n v="5"/>
    <s v="College"/>
    <x v="0"/>
    <s v="Very High"/>
    <x v="0"/>
    <n v="62"/>
    <s v="High"/>
    <x v="0"/>
    <s v="Laboratory Technician"/>
    <s v="Medium"/>
    <s v="Single"/>
    <n v="5914"/>
    <n v="9945"/>
    <n v="8"/>
    <s v="No"/>
    <n v="16"/>
    <s v="Excellent"/>
    <s v="Very High"/>
    <n v="0"/>
    <n v="16"/>
    <n v="3"/>
    <s v="Best"/>
    <x v="20"/>
    <s v="10-40"/>
    <n v="11"/>
    <n v="3"/>
    <n v="7"/>
    <n v="221"/>
  </r>
  <r>
    <n v="33"/>
    <x v="2"/>
    <x v="1"/>
    <s v="Travel_Rarely"/>
    <n v="147"/>
    <x v="0"/>
    <n v="4"/>
    <s v="Master"/>
    <x v="2"/>
    <s v="High"/>
    <x v="1"/>
    <n v="47"/>
    <s v="Medium"/>
    <x v="1"/>
    <s v="Research Scientist"/>
    <s v="Medium"/>
    <s v="Married"/>
    <n v="2622"/>
    <n v="13248"/>
    <n v="6"/>
    <s v="No"/>
    <n v="21"/>
    <s v="Outstanding"/>
    <s v="Very High"/>
    <n v="0"/>
    <n v="7"/>
    <n v="3"/>
    <s v="Better"/>
    <x v="11"/>
    <s v="0-5"/>
    <n v="2"/>
    <n v="1"/>
    <n v="1"/>
    <n v="222"/>
  </r>
  <r>
    <n v="37"/>
    <x v="0"/>
    <x v="1"/>
    <s v="Travel_Frequently"/>
    <n v="663"/>
    <x v="0"/>
    <n v="11"/>
    <s v="Bachelor"/>
    <x v="1"/>
    <s v="Medium"/>
    <x v="0"/>
    <n v="47"/>
    <s v="High"/>
    <x v="2"/>
    <s v="Research Director"/>
    <s v="Very High"/>
    <s v="Divorced"/>
    <n v="12185"/>
    <n v="10056"/>
    <n v="1"/>
    <s v="Yes"/>
    <n v="14"/>
    <s v="Excellent"/>
    <s v="High"/>
    <n v="3"/>
    <n v="10"/>
    <n v="1"/>
    <s v="Better"/>
    <x v="1"/>
    <s v="5-10"/>
    <n v="8"/>
    <n v="0"/>
    <n v="7"/>
    <n v="223"/>
  </r>
  <r>
    <n v="38"/>
    <x v="0"/>
    <x v="1"/>
    <s v="Travel_Rarely"/>
    <n v="119"/>
    <x v="1"/>
    <n v="3"/>
    <s v="Bachelor"/>
    <x v="0"/>
    <s v="Low"/>
    <x v="0"/>
    <n v="76"/>
    <s v="High"/>
    <x v="2"/>
    <s v="Sales Executive"/>
    <s v="High"/>
    <s v="Divorced"/>
    <n v="10609"/>
    <n v="9647"/>
    <n v="0"/>
    <s v="No"/>
    <n v="12"/>
    <s v="Excellent"/>
    <s v="High"/>
    <n v="2"/>
    <n v="17"/>
    <n v="6"/>
    <s v="Good"/>
    <x v="22"/>
    <s v="10-40"/>
    <n v="10"/>
    <n v="5"/>
    <n v="13"/>
    <n v="224"/>
  </r>
  <r>
    <n v="31"/>
    <x v="2"/>
    <x v="1"/>
    <s v="Non-Travel"/>
    <n v="979"/>
    <x v="0"/>
    <n v="1"/>
    <s v="Master"/>
    <x v="2"/>
    <s v="High"/>
    <x v="0"/>
    <n v="90"/>
    <s v="Low"/>
    <x v="0"/>
    <s v="Manufacturing Director"/>
    <s v="High"/>
    <s v="Married"/>
    <n v="4345"/>
    <n v="4381"/>
    <n v="0"/>
    <s v="No"/>
    <n v="12"/>
    <s v="Excellent"/>
    <s v="Very High"/>
    <n v="1"/>
    <n v="6"/>
    <n v="2"/>
    <s v="Better"/>
    <x v="8"/>
    <s v="0-5"/>
    <n v="4"/>
    <n v="1"/>
    <n v="4"/>
    <n v="225"/>
  </r>
  <r>
    <n v="59"/>
    <x v="3"/>
    <x v="1"/>
    <s v="Travel_Rarely"/>
    <n v="142"/>
    <x v="0"/>
    <n v="3"/>
    <s v="Bachelor"/>
    <x v="0"/>
    <s v="High"/>
    <x v="0"/>
    <n v="70"/>
    <s v="Medium"/>
    <x v="1"/>
    <s v="Research Scientist"/>
    <s v="Very High"/>
    <s v="Married"/>
    <n v="2177"/>
    <n v="8456"/>
    <n v="3"/>
    <s v="No"/>
    <n v="17"/>
    <s v="Excellent"/>
    <s v="Low"/>
    <n v="1"/>
    <n v="7"/>
    <n v="6"/>
    <s v="Better"/>
    <x v="6"/>
    <s v="0-5"/>
    <n v="0"/>
    <n v="0"/>
    <n v="0"/>
    <n v="226"/>
  </r>
  <r>
    <n v="37"/>
    <x v="0"/>
    <x v="1"/>
    <s v="Travel_Frequently"/>
    <n v="319"/>
    <x v="1"/>
    <n v="4"/>
    <s v="Master"/>
    <x v="3"/>
    <s v="Low"/>
    <x v="0"/>
    <n v="41"/>
    <s v="High"/>
    <x v="1"/>
    <s v="Sales Representative"/>
    <s v="Very High"/>
    <s v="Divorced"/>
    <n v="2793"/>
    <n v="2539"/>
    <n v="4"/>
    <s v="No"/>
    <n v="17"/>
    <s v="Excellent"/>
    <s v="High"/>
    <n v="1"/>
    <n v="13"/>
    <n v="2"/>
    <s v="Better"/>
    <x v="7"/>
    <s v="5-10"/>
    <n v="8"/>
    <n v="5"/>
    <n v="8"/>
    <n v="227"/>
  </r>
  <r>
    <n v="29"/>
    <x v="2"/>
    <x v="1"/>
    <s v="Travel_Frequently"/>
    <n v="1413"/>
    <x v="1"/>
    <n v="1"/>
    <s v="Below College"/>
    <x v="2"/>
    <s v="Medium"/>
    <x v="1"/>
    <n v="42"/>
    <s v="High"/>
    <x v="2"/>
    <s v="Sales Executive"/>
    <s v="Very High"/>
    <s v="Married"/>
    <n v="7918"/>
    <n v="6599"/>
    <n v="1"/>
    <s v="No"/>
    <n v="14"/>
    <s v="Excellent"/>
    <s v="Very High"/>
    <n v="1"/>
    <n v="11"/>
    <n v="5"/>
    <s v="Better"/>
    <x v="19"/>
    <s v="10-40"/>
    <n v="10"/>
    <n v="4"/>
    <n v="1"/>
    <n v="228"/>
  </r>
  <r>
    <n v="35"/>
    <x v="2"/>
    <x v="1"/>
    <s v="Travel_Frequently"/>
    <n v="944"/>
    <x v="1"/>
    <n v="1"/>
    <s v="Bachelor"/>
    <x v="3"/>
    <s v="High"/>
    <x v="1"/>
    <n v="92"/>
    <s v="High"/>
    <x v="2"/>
    <s v="Sales Executive"/>
    <s v="High"/>
    <s v="Single"/>
    <n v="8789"/>
    <n v="9096"/>
    <n v="1"/>
    <s v="No"/>
    <n v="14"/>
    <s v="Excellent"/>
    <s v="Low"/>
    <n v="0"/>
    <n v="10"/>
    <n v="3"/>
    <s v="Best"/>
    <x v="1"/>
    <s v="5-10"/>
    <n v="7"/>
    <n v="0"/>
    <n v="8"/>
    <n v="229"/>
  </r>
  <r>
    <n v="29"/>
    <x v="2"/>
    <x v="0"/>
    <s v="Travel_Rarely"/>
    <n v="896"/>
    <x v="0"/>
    <n v="18"/>
    <s v="Below College"/>
    <x v="2"/>
    <s v="High"/>
    <x v="0"/>
    <n v="86"/>
    <s v="Medium"/>
    <x v="1"/>
    <s v="Research Scientist"/>
    <s v="Very High"/>
    <s v="Single"/>
    <n v="2389"/>
    <n v="14961"/>
    <n v="1"/>
    <s v="Yes"/>
    <n v="13"/>
    <s v="Excellent"/>
    <s v="High"/>
    <n v="0"/>
    <n v="4"/>
    <n v="3"/>
    <s v="Good"/>
    <x v="9"/>
    <s v="0-5"/>
    <n v="3"/>
    <n v="0"/>
    <n v="1"/>
    <n v="230"/>
  </r>
  <r>
    <n v="52"/>
    <x v="1"/>
    <x v="1"/>
    <s v="Travel_Rarely"/>
    <n v="1323"/>
    <x v="0"/>
    <n v="2"/>
    <s v="Bachelor"/>
    <x v="0"/>
    <s v="High"/>
    <x v="1"/>
    <n v="89"/>
    <s v="Medium"/>
    <x v="1"/>
    <s v="Laboratory Technician"/>
    <s v="Very High"/>
    <s v="Single"/>
    <n v="3212"/>
    <n v="3300"/>
    <n v="7"/>
    <s v="No"/>
    <n v="15"/>
    <s v="Excellent"/>
    <s v="Medium"/>
    <n v="0"/>
    <n v="6"/>
    <n v="3"/>
    <s v="Good"/>
    <x v="4"/>
    <s v="0-5"/>
    <n v="2"/>
    <n v="2"/>
    <n v="2"/>
    <n v="231"/>
  </r>
  <r>
    <n v="42"/>
    <x v="0"/>
    <x v="1"/>
    <s v="Travel_Rarely"/>
    <n v="532"/>
    <x v="0"/>
    <n v="4"/>
    <s v="College"/>
    <x v="4"/>
    <s v="High"/>
    <x v="0"/>
    <n v="58"/>
    <s v="High"/>
    <x v="4"/>
    <s v="Manager"/>
    <s v="Very High"/>
    <s v="Married"/>
    <n v="19232"/>
    <n v="4933"/>
    <n v="1"/>
    <s v="No"/>
    <n v="11"/>
    <s v="Excellent"/>
    <s v="Very High"/>
    <n v="0"/>
    <n v="22"/>
    <n v="3"/>
    <s v="Better"/>
    <x v="14"/>
    <s v="10-40"/>
    <n v="17"/>
    <n v="11"/>
    <n v="15"/>
    <n v="232"/>
  </r>
  <r>
    <n v="59"/>
    <x v="3"/>
    <x v="1"/>
    <s v="Travel_Rarely"/>
    <n v="818"/>
    <x v="2"/>
    <n v="6"/>
    <s v="College"/>
    <x v="2"/>
    <s v="Medium"/>
    <x v="0"/>
    <n v="52"/>
    <s v="High"/>
    <x v="1"/>
    <s v="Human Resources"/>
    <s v="High"/>
    <s v="Married"/>
    <n v="2267"/>
    <n v="25657"/>
    <n v="8"/>
    <s v="No"/>
    <n v="17"/>
    <s v="Excellent"/>
    <s v="Very High"/>
    <n v="0"/>
    <n v="7"/>
    <n v="2"/>
    <s v="Good"/>
    <x v="4"/>
    <s v="0-5"/>
    <n v="2"/>
    <n v="2"/>
    <n v="2"/>
    <n v="233"/>
  </r>
  <r>
    <n v="50"/>
    <x v="1"/>
    <x v="1"/>
    <s v="Travel_Rarely"/>
    <n v="854"/>
    <x v="1"/>
    <n v="1"/>
    <s v="Master"/>
    <x v="2"/>
    <s v="Very High"/>
    <x v="1"/>
    <n v="68"/>
    <s v="High"/>
    <x v="4"/>
    <s v="Manager"/>
    <s v="Very High"/>
    <s v="Divorced"/>
    <n v="19517"/>
    <n v="24118"/>
    <n v="3"/>
    <s v="No"/>
    <n v="11"/>
    <s v="Excellent"/>
    <s v="High"/>
    <n v="1"/>
    <n v="32"/>
    <n v="3"/>
    <s v="Good"/>
    <x v="5"/>
    <s v="5-10"/>
    <n v="0"/>
    <n v="0"/>
    <n v="6"/>
    <n v="234"/>
  </r>
  <r>
    <n v="33"/>
    <x v="2"/>
    <x v="0"/>
    <s v="Travel_Rarely"/>
    <n v="813"/>
    <x v="0"/>
    <n v="14"/>
    <s v="Bachelor"/>
    <x v="2"/>
    <s v="High"/>
    <x v="0"/>
    <n v="58"/>
    <s v="High"/>
    <x v="1"/>
    <s v="Laboratory Technician"/>
    <s v="Very High"/>
    <s v="Married"/>
    <n v="2436"/>
    <n v="22149"/>
    <n v="5"/>
    <s v="Yes"/>
    <n v="13"/>
    <s v="Excellent"/>
    <s v="High"/>
    <n v="1"/>
    <n v="8"/>
    <n v="2"/>
    <s v="Bad"/>
    <x v="8"/>
    <s v="0-5"/>
    <n v="4"/>
    <n v="0"/>
    <n v="4"/>
    <n v="235"/>
  </r>
  <r>
    <n v="43"/>
    <x v="0"/>
    <x v="1"/>
    <s v="Travel_Rarely"/>
    <n v="1034"/>
    <x v="1"/>
    <n v="16"/>
    <s v="Bachelor"/>
    <x v="3"/>
    <s v="Very High"/>
    <x v="1"/>
    <n v="80"/>
    <s v="High"/>
    <x v="3"/>
    <s v="Manager"/>
    <s v="Very High"/>
    <s v="Married"/>
    <n v="16064"/>
    <n v="7744"/>
    <n v="5"/>
    <s v="Yes"/>
    <n v="22"/>
    <s v="Outstanding"/>
    <s v="High"/>
    <n v="1"/>
    <n v="22"/>
    <n v="3"/>
    <s v="Better"/>
    <x v="18"/>
    <s v="10-40"/>
    <n v="13"/>
    <n v="1"/>
    <n v="9"/>
    <n v="236"/>
  </r>
  <r>
    <n v="33"/>
    <x v="2"/>
    <x v="0"/>
    <s v="Travel_Rarely"/>
    <n v="465"/>
    <x v="0"/>
    <n v="2"/>
    <s v="College"/>
    <x v="0"/>
    <s v="Low"/>
    <x v="1"/>
    <n v="39"/>
    <s v="High"/>
    <x v="1"/>
    <s v="Laboratory Technician"/>
    <s v="Low"/>
    <s v="Married"/>
    <n v="2707"/>
    <n v="21509"/>
    <n v="7"/>
    <s v="No"/>
    <n v="20"/>
    <s v="Outstanding"/>
    <s v="Low"/>
    <n v="0"/>
    <n v="13"/>
    <n v="3"/>
    <s v="Best"/>
    <x v="7"/>
    <s v="5-10"/>
    <n v="7"/>
    <n v="1"/>
    <n v="7"/>
    <n v="237"/>
  </r>
  <r>
    <n v="52"/>
    <x v="1"/>
    <x v="1"/>
    <s v="Non-Travel"/>
    <n v="771"/>
    <x v="1"/>
    <n v="2"/>
    <s v="Master"/>
    <x v="0"/>
    <s v="Low"/>
    <x v="0"/>
    <n v="79"/>
    <s v="Medium"/>
    <x v="4"/>
    <s v="Manager"/>
    <s v="High"/>
    <s v="Single"/>
    <n v="19068"/>
    <n v="21030"/>
    <n v="1"/>
    <s v="Yes"/>
    <n v="18"/>
    <s v="Excellent"/>
    <s v="Very High"/>
    <n v="0"/>
    <n v="33"/>
    <n v="2"/>
    <s v="Best"/>
    <x v="26"/>
    <s v="10-40"/>
    <n v="7"/>
    <n v="15"/>
    <n v="12"/>
    <n v="238"/>
  </r>
  <r>
    <n v="32"/>
    <x v="2"/>
    <x v="1"/>
    <s v="Travel_Rarely"/>
    <n v="1401"/>
    <x v="1"/>
    <n v="4"/>
    <s v="College"/>
    <x v="0"/>
    <s v="High"/>
    <x v="1"/>
    <n v="56"/>
    <s v="High"/>
    <x v="1"/>
    <s v="Sales Representative"/>
    <s v="Medium"/>
    <s v="Married"/>
    <n v="3931"/>
    <n v="20990"/>
    <n v="2"/>
    <s v="No"/>
    <n v="11"/>
    <s v="Excellent"/>
    <s v="Low"/>
    <n v="1"/>
    <n v="6"/>
    <n v="5"/>
    <s v="Better"/>
    <x v="9"/>
    <s v="0-5"/>
    <n v="3"/>
    <n v="1"/>
    <n v="2"/>
    <n v="239"/>
  </r>
  <r>
    <n v="32"/>
    <x v="2"/>
    <x v="0"/>
    <s v="Travel_Rarely"/>
    <n v="515"/>
    <x v="0"/>
    <n v="1"/>
    <s v="Bachelor"/>
    <x v="0"/>
    <s v="Very High"/>
    <x v="0"/>
    <n v="62"/>
    <s v="Medium"/>
    <x v="1"/>
    <s v="Laboratory Technician"/>
    <s v="High"/>
    <s v="Single"/>
    <n v="3730"/>
    <n v="9571"/>
    <n v="0"/>
    <s v="Yes"/>
    <n v="14"/>
    <s v="Excellent"/>
    <s v="Very High"/>
    <n v="0"/>
    <n v="4"/>
    <n v="2"/>
    <s v="Bad"/>
    <x v="11"/>
    <s v="0-5"/>
    <n v="2"/>
    <n v="1"/>
    <n v="2"/>
    <n v="240"/>
  </r>
  <r>
    <n v="39"/>
    <x v="0"/>
    <x v="1"/>
    <s v="Travel_Rarely"/>
    <n v="1431"/>
    <x v="0"/>
    <n v="1"/>
    <s v="Master"/>
    <x v="2"/>
    <s v="High"/>
    <x v="1"/>
    <n v="96"/>
    <s v="High"/>
    <x v="1"/>
    <s v="Laboratory Technician"/>
    <s v="High"/>
    <s v="Divorced"/>
    <n v="2232"/>
    <n v="15417"/>
    <n v="7"/>
    <s v="No"/>
    <n v="14"/>
    <s v="Excellent"/>
    <s v="High"/>
    <n v="3"/>
    <n v="7"/>
    <n v="1"/>
    <s v="Better"/>
    <x v="11"/>
    <s v="0-5"/>
    <n v="2"/>
    <n v="1"/>
    <n v="2"/>
    <n v="241"/>
  </r>
  <r>
    <n v="32"/>
    <x v="2"/>
    <x v="1"/>
    <s v="Non-Travel"/>
    <n v="976"/>
    <x v="1"/>
    <n v="26"/>
    <s v="Master"/>
    <x v="3"/>
    <s v="High"/>
    <x v="0"/>
    <n v="100"/>
    <s v="High"/>
    <x v="0"/>
    <s v="Sales Executive"/>
    <s v="Very High"/>
    <s v="Married"/>
    <n v="4465"/>
    <n v="12069"/>
    <n v="0"/>
    <s v="No"/>
    <n v="18"/>
    <s v="Excellent"/>
    <s v="Low"/>
    <n v="0"/>
    <n v="4"/>
    <n v="2"/>
    <s v="Better"/>
    <x v="11"/>
    <s v="0-5"/>
    <n v="2"/>
    <n v="2"/>
    <n v="2"/>
    <n v="242"/>
  </r>
  <r>
    <n v="41"/>
    <x v="0"/>
    <x v="1"/>
    <s v="Travel_Rarely"/>
    <n v="1411"/>
    <x v="0"/>
    <n v="19"/>
    <s v="College"/>
    <x v="0"/>
    <s v="High"/>
    <x v="0"/>
    <n v="36"/>
    <s v="High"/>
    <x v="0"/>
    <s v="Research Scientist"/>
    <s v="Low"/>
    <s v="Divorced"/>
    <n v="3072"/>
    <n v="19877"/>
    <n v="2"/>
    <s v="No"/>
    <n v="16"/>
    <s v="Excellent"/>
    <s v="Low"/>
    <n v="2"/>
    <n v="17"/>
    <n v="2"/>
    <s v="Good"/>
    <x v="6"/>
    <s v="0-5"/>
    <n v="0"/>
    <n v="0"/>
    <n v="0"/>
    <n v="243"/>
  </r>
  <r>
    <n v="40"/>
    <x v="0"/>
    <x v="1"/>
    <s v="Travel_Rarely"/>
    <n v="1300"/>
    <x v="0"/>
    <n v="24"/>
    <s v="College"/>
    <x v="4"/>
    <s v="Low"/>
    <x v="0"/>
    <n v="62"/>
    <s v="High"/>
    <x v="0"/>
    <s v="Research Scientist"/>
    <s v="Very High"/>
    <s v="Divorced"/>
    <n v="3319"/>
    <n v="24447"/>
    <n v="1"/>
    <s v="No"/>
    <n v="17"/>
    <s v="Excellent"/>
    <s v="Low"/>
    <n v="2"/>
    <n v="9"/>
    <n v="3"/>
    <s v="Better"/>
    <x v="7"/>
    <s v="5-10"/>
    <n v="8"/>
    <n v="4"/>
    <n v="7"/>
    <n v="244"/>
  </r>
  <r>
    <n v="45"/>
    <x v="0"/>
    <x v="1"/>
    <s v="Travel_Rarely"/>
    <n v="252"/>
    <x v="0"/>
    <n v="1"/>
    <s v="Bachelor"/>
    <x v="1"/>
    <s v="High"/>
    <x v="0"/>
    <n v="70"/>
    <s v="Very High"/>
    <x v="4"/>
    <s v="Manager"/>
    <s v="Very High"/>
    <s v="Married"/>
    <n v="19202"/>
    <n v="15970"/>
    <n v="0"/>
    <s v="No"/>
    <n v="11"/>
    <s v="Excellent"/>
    <s v="High"/>
    <n v="1"/>
    <n v="25"/>
    <n v="2"/>
    <s v="Better"/>
    <x v="25"/>
    <s v="10-40"/>
    <n v="0"/>
    <n v="1"/>
    <n v="7"/>
    <n v="245"/>
  </r>
  <r>
    <n v="31"/>
    <x v="2"/>
    <x v="1"/>
    <s v="Travel_Frequently"/>
    <n v="1327"/>
    <x v="0"/>
    <n v="3"/>
    <s v="Master"/>
    <x v="2"/>
    <s v="Medium"/>
    <x v="0"/>
    <n v="73"/>
    <s v="High"/>
    <x v="2"/>
    <s v="Research Director"/>
    <s v="High"/>
    <s v="Divorced"/>
    <n v="13675"/>
    <n v="13523"/>
    <n v="9"/>
    <s v="No"/>
    <n v="12"/>
    <s v="Excellent"/>
    <s v="Low"/>
    <n v="1"/>
    <n v="9"/>
    <n v="3"/>
    <s v="Better"/>
    <x v="4"/>
    <s v="0-5"/>
    <n v="2"/>
    <n v="2"/>
    <n v="2"/>
    <n v="246"/>
  </r>
  <r>
    <n v="33"/>
    <x v="2"/>
    <x v="1"/>
    <s v="Travel_Rarely"/>
    <n v="832"/>
    <x v="0"/>
    <n v="5"/>
    <s v="Master"/>
    <x v="0"/>
    <s v="High"/>
    <x v="1"/>
    <n v="63"/>
    <s v="Medium"/>
    <x v="1"/>
    <s v="Research Scientist"/>
    <s v="Very High"/>
    <s v="Married"/>
    <n v="2911"/>
    <n v="14776"/>
    <n v="1"/>
    <s v="No"/>
    <n v="13"/>
    <s v="Excellent"/>
    <s v="High"/>
    <n v="1"/>
    <n v="2"/>
    <n v="2"/>
    <s v="Good"/>
    <x v="4"/>
    <s v="0-5"/>
    <n v="2"/>
    <n v="0"/>
    <n v="2"/>
    <n v="247"/>
  </r>
  <r>
    <n v="34"/>
    <x v="2"/>
    <x v="1"/>
    <s v="Travel_Rarely"/>
    <n v="470"/>
    <x v="0"/>
    <n v="2"/>
    <s v="Master"/>
    <x v="0"/>
    <s v="Very High"/>
    <x v="0"/>
    <n v="84"/>
    <s v="Medium"/>
    <x v="0"/>
    <s v="Manufacturing Director"/>
    <s v="Low"/>
    <s v="Married"/>
    <n v="5957"/>
    <n v="23687"/>
    <n v="6"/>
    <s v="No"/>
    <n v="13"/>
    <s v="Excellent"/>
    <s v="Medium"/>
    <n v="1"/>
    <n v="13"/>
    <n v="3"/>
    <s v="Better"/>
    <x v="19"/>
    <s v="10-40"/>
    <n v="9"/>
    <n v="5"/>
    <n v="9"/>
    <n v="248"/>
  </r>
  <r>
    <n v="37"/>
    <x v="0"/>
    <x v="1"/>
    <s v="Travel_Rarely"/>
    <n v="1017"/>
    <x v="0"/>
    <n v="1"/>
    <s v="College"/>
    <x v="2"/>
    <s v="High"/>
    <x v="1"/>
    <n v="83"/>
    <s v="Medium"/>
    <x v="1"/>
    <s v="Research Scientist"/>
    <s v="Low"/>
    <s v="Married"/>
    <n v="3920"/>
    <n v="18697"/>
    <n v="2"/>
    <s v="No"/>
    <n v="14"/>
    <s v="Excellent"/>
    <s v="Low"/>
    <n v="1"/>
    <n v="17"/>
    <n v="2"/>
    <s v="Good"/>
    <x v="11"/>
    <s v="0-5"/>
    <n v="1"/>
    <n v="0"/>
    <n v="2"/>
    <n v="249"/>
  </r>
  <r>
    <n v="45"/>
    <x v="0"/>
    <x v="1"/>
    <s v="Travel_Frequently"/>
    <n v="1199"/>
    <x v="0"/>
    <n v="7"/>
    <s v="Master"/>
    <x v="0"/>
    <s v="Low"/>
    <x v="0"/>
    <n v="77"/>
    <s v="Very High"/>
    <x v="0"/>
    <s v="Manufacturing Director"/>
    <s v="High"/>
    <s v="Married"/>
    <n v="6434"/>
    <n v="5118"/>
    <n v="4"/>
    <s v="No"/>
    <n v="17"/>
    <s v="Excellent"/>
    <s v="Very High"/>
    <n v="1"/>
    <n v="9"/>
    <n v="1"/>
    <s v="Better"/>
    <x v="11"/>
    <s v="0-5"/>
    <n v="2"/>
    <n v="0"/>
    <n v="2"/>
    <n v="250"/>
  </r>
  <r>
    <n v="37"/>
    <x v="0"/>
    <x v="0"/>
    <s v="Travel_Frequently"/>
    <n v="504"/>
    <x v="0"/>
    <n v="10"/>
    <s v="Bachelor"/>
    <x v="2"/>
    <s v="Low"/>
    <x v="0"/>
    <n v="61"/>
    <s v="High"/>
    <x v="2"/>
    <s v="Manufacturing Director"/>
    <s v="High"/>
    <s v="Divorced"/>
    <n v="10048"/>
    <n v="22573"/>
    <n v="6"/>
    <s v="No"/>
    <n v="11"/>
    <s v="Excellent"/>
    <s v="Medium"/>
    <n v="2"/>
    <n v="17"/>
    <n v="5"/>
    <s v="Better"/>
    <x v="6"/>
    <s v="0-5"/>
    <n v="0"/>
    <n v="0"/>
    <n v="0"/>
    <n v="251"/>
  </r>
  <r>
    <n v="39"/>
    <x v="0"/>
    <x v="1"/>
    <s v="Travel_Frequently"/>
    <n v="505"/>
    <x v="0"/>
    <n v="2"/>
    <s v="Master"/>
    <x v="4"/>
    <s v="High"/>
    <x v="1"/>
    <n v="64"/>
    <s v="High"/>
    <x v="2"/>
    <s v="Healthcare Representative"/>
    <s v="High"/>
    <s v="Single"/>
    <n v="10938"/>
    <n v="6420"/>
    <n v="0"/>
    <s v="No"/>
    <n v="25"/>
    <s v="Outstanding"/>
    <s v="Very High"/>
    <n v="0"/>
    <n v="20"/>
    <n v="1"/>
    <s v="Better"/>
    <x v="27"/>
    <s v="10-40"/>
    <n v="6"/>
    <n v="11"/>
    <n v="8"/>
    <n v="252"/>
  </r>
  <r>
    <n v="29"/>
    <x v="2"/>
    <x v="1"/>
    <s v="Travel_Rarely"/>
    <n v="665"/>
    <x v="0"/>
    <n v="15"/>
    <s v="Bachelor"/>
    <x v="0"/>
    <s v="High"/>
    <x v="0"/>
    <n v="60"/>
    <s v="High"/>
    <x v="1"/>
    <s v="Research Scientist"/>
    <s v="Very High"/>
    <s v="Single"/>
    <n v="2340"/>
    <n v="22673"/>
    <n v="1"/>
    <s v="No"/>
    <n v="19"/>
    <s v="Excellent"/>
    <s v="Low"/>
    <n v="0"/>
    <n v="6"/>
    <n v="1"/>
    <s v="Better"/>
    <x v="0"/>
    <s v="5-10"/>
    <n v="5"/>
    <n v="1"/>
    <n v="5"/>
    <n v="253"/>
  </r>
  <r>
    <n v="42"/>
    <x v="0"/>
    <x v="1"/>
    <s v="Travel_Rarely"/>
    <n v="916"/>
    <x v="0"/>
    <n v="17"/>
    <s v="College"/>
    <x v="0"/>
    <s v="Very High"/>
    <x v="1"/>
    <n v="82"/>
    <s v="Very High"/>
    <x v="0"/>
    <s v="Research Scientist"/>
    <s v="Low"/>
    <s v="Single"/>
    <n v="6545"/>
    <n v="23016"/>
    <n v="3"/>
    <s v="Yes"/>
    <n v="13"/>
    <s v="Excellent"/>
    <s v="High"/>
    <n v="0"/>
    <n v="10"/>
    <n v="1"/>
    <s v="Better"/>
    <x v="11"/>
    <s v="0-5"/>
    <n v="2"/>
    <n v="0"/>
    <n v="2"/>
    <n v="254"/>
  </r>
  <r>
    <n v="29"/>
    <x v="2"/>
    <x v="1"/>
    <s v="Travel_Rarely"/>
    <n v="1247"/>
    <x v="1"/>
    <n v="20"/>
    <s v="College"/>
    <x v="3"/>
    <s v="Very High"/>
    <x v="0"/>
    <n v="45"/>
    <s v="High"/>
    <x v="0"/>
    <s v="Sales Executive"/>
    <s v="Very High"/>
    <s v="Divorced"/>
    <n v="6931"/>
    <n v="10732"/>
    <n v="2"/>
    <s v="No"/>
    <n v="14"/>
    <s v="Excellent"/>
    <s v="Very High"/>
    <n v="1"/>
    <n v="10"/>
    <n v="2"/>
    <s v="Better"/>
    <x v="11"/>
    <s v="0-5"/>
    <n v="2"/>
    <n v="0"/>
    <n v="2"/>
    <n v="255"/>
  </r>
  <r>
    <n v="25"/>
    <x v="4"/>
    <x v="1"/>
    <s v="Travel_Rarely"/>
    <n v="685"/>
    <x v="0"/>
    <n v="1"/>
    <s v="Bachelor"/>
    <x v="0"/>
    <s v="Low"/>
    <x v="1"/>
    <n v="62"/>
    <s v="High"/>
    <x v="0"/>
    <s v="Manufacturing Director"/>
    <s v="High"/>
    <s v="Married"/>
    <n v="4898"/>
    <n v="7505"/>
    <n v="0"/>
    <s v="No"/>
    <n v="12"/>
    <s v="Excellent"/>
    <s v="Very High"/>
    <n v="2"/>
    <n v="5"/>
    <n v="3"/>
    <s v="Better"/>
    <x v="9"/>
    <s v="0-5"/>
    <n v="2"/>
    <n v="1"/>
    <n v="2"/>
    <n v="256"/>
  </r>
  <r>
    <n v="42"/>
    <x v="0"/>
    <x v="1"/>
    <s v="Travel_Rarely"/>
    <n v="269"/>
    <x v="0"/>
    <n v="2"/>
    <s v="Bachelor"/>
    <x v="2"/>
    <s v="Very High"/>
    <x v="1"/>
    <n v="56"/>
    <s v="Medium"/>
    <x v="1"/>
    <s v="Laboratory Technician"/>
    <s v="Low"/>
    <s v="Divorced"/>
    <n v="2593"/>
    <n v="8007"/>
    <n v="0"/>
    <s v="Yes"/>
    <n v="11"/>
    <s v="Excellent"/>
    <s v="High"/>
    <n v="1"/>
    <n v="10"/>
    <n v="4"/>
    <s v="Better"/>
    <x v="7"/>
    <s v="5-10"/>
    <n v="6"/>
    <n v="7"/>
    <n v="8"/>
    <n v="257"/>
  </r>
  <r>
    <n v="40"/>
    <x v="0"/>
    <x v="1"/>
    <s v="Travel_Rarely"/>
    <n v="1416"/>
    <x v="0"/>
    <n v="2"/>
    <s v="College"/>
    <x v="2"/>
    <s v="Low"/>
    <x v="0"/>
    <n v="49"/>
    <s v="High"/>
    <x v="4"/>
    <s v="Research Director"/>
    <s v="High"/>
    <s v="Divorced"/>
    <n v="19436"/>
    <n v="5949"/>
    <n v="0"/>
    <s v="No"/>
    <n v="19"/>
    <s v="Excellent"/>
    <s v="Very High"/>
    <n v="1"/>
    <n v="22"/>
    <n v="5"/>
    <s v="Better"/>
    <x v="17"/>
    <s v="10-40"/>
    <n v="7"/>
    <n v="3"/>
    <n v="9"/>
    <n v="258"/>
  </r>
  <r>
    <n v="51"/>
    <x v="1"/>
    <x v="1"/>
    <s v="Travel_Rarely"/>
    <n v="833"/>
    <x v="0"/>
    <n v="1"/>
    <s v="Bachelor"/>
    <x v="0"/>
    <s v="High"/>
    <x v="0"/>
    <n v="96"/>
    <s v="High"/>
    <x v="1"/>
    <s v="Research Scientist"/>
    <s v="Very High"/>
    <s v="Married"/>
    <n v="2723"/>
    <n v="23231"/>
    <n v="1"/>
    <s v="No"/>
    <n v="11"/>
    <s v="Excellent"/>
    <s v="Medium"/>
    <n v="0"/>
    <n v="1"/>
    <n v="0"/>
    <s v="Good"/>
    <x v="6"/>
    <s v="0-5"/>
    <n v="0"/>
    <n v="0"/>
    <n v="0"/>
    <n v="259"/>
  </r>
  <r>
    <n v="31"/>
    <x v="2"/>
    <x v="0"/>
    <s v="Travel_Frequently"/>
    <n v="307"/>
    <x v="0"/>
    <n v="29"/>
    <s v="College"/>
    <x v="2"/>
    <s v="High"/>
    <x v="0"/>
    <n v="71"/>
    <s v="Medium"/>
    <x v="1"/>
    <s v="Laboratory Technician"/>
    <s v="Medium"/>
    <s v="Single"/>
    <n v="3479"/>
    <n v="11652"/>
    <n v="0"/>
    <s v="No"/>
    <n v="11"/>
    <s v="Excellent"/>
    <s v="Medium"/>
    <n v="0"/>
    <n v="6"/>
    <n v="2"/>
    <s v="Best"/>
    <x v="8"/>
    <s v="0-5"/>
    <n v="4"/>
    <n v="1"/>
    <n v="4"/>
    <n v="260"/>
  </r>
  <r>
    <n v="32"/>
    <x v="2"/>
    <x v="1"/>
    <s v="Travel_Frequently"/>
    <n v="1311"/>
    <x v="0"/>
    <n v="7"/>
    <s v="Bachelor"/>
    <x v="0"/>
    <s v="Medium"/>
    <x v="0"/>
    <n v="100"/>
    <s v="Very High"/>
    <x v="1"/>
    <s v="Laboratory Technician"/>
    <s v="Medium"/>
    <s v="Married"/>
    <n v="2794"/>
    <n v="26062"/>
    <n v="1"/>
    <s v="No"/>
    <n v="20"/>
    <s v="Outstanding"/>
    <s v="High"/>
    <n v="0"/>
    <n v="5"/>
    <n v="3"/>
    <s v="Bad"/>
    <x v="8"/>
    <s v="0-5"/>
    <n v="1"/>
    <n v="0"/>
    <n v="3"/>
    <n v="261"/>
  </r>
  <r>
    <n v="38"/>
    <x v="0"/>
    <x v="1"/>
    <s v="Non-Travel"/>
    <n v="1327"/>
    <x v="1"/>
    <n v="2"/>
    <s v="College"/>
    <x v="0"/>
    <s v="Very High"/>
    <x v="0"/>
    <n v="39"/>
    <s v="Medium"/>
    <x v="0"/>
    <s v="Sales Executive"/>
    <s v="Very High"/>
    <s v="Married"/>
    <n v="5249"/>
    <n v="19682"/>
    <n v="3"/>
    <s v="No"/>
    <n v="18"/>
    <s v="Excellent"/>
    <s v="Very High"/>
    <n v="1"/>
    <n v="13"/>
    <n v="0"/>
    <s v="Better"/>
    <x v="3"/>
    <s v="5-10"/>
    <n v="7"/>
    <n v="7"/>
    <n v="5"/>
    <n v="262"/>
  </r>
  <r>
    <n v="32"/>
    <x v="2"/>
    <x v="1"/>
    <s v="Travel_Rarely"/>
    <n v="128"/>
    <x v="0"/>
    <n v="2"/>
    <s v="Below College"/>
    <x v="4"/>
    <s v="Very High"/>
    <x v="0"/>
    <n v="84"/>
    <s v="Medium"/>
    <x v="0"/>
    <s v="Laboratory Technician"/>
    <s v="Low"/>
    <s v="Single"/>
    <n v="2176"/>
    <n v="19737"/>
    <n v="4"/>
    <s v="No"/>
    <n v="13"/>
    <s v="Excellent"/>
    <s v="Very High"/>
    <n v="0"/>
    <n v="9"/>
    <n v="5"/>
    <s v="Better"/>
    <x v="0"/>
    <s v="5-10"/>
    <n v="2"/>
    <n v="0"/>
    <n v="4"/>
    <n v="263"/>
  </r>
  <r>
    <n v="46"/>
    <x v="1"/>
    <x v="1"/>
    <s v="Travel_Rarely"/>
    <n v="488"/>
    <x v="1"/>
    <n v="2"/>
    <s v="Bachelor"/>
    <x v="4"/>
    <s v="High"/>
    <x v="1"/>
    <n v="75"/>
    <s v="Low"/>
    <x v="3"/>
    <s v="Manager"/>
    <s v="Medium"/>
    <s v="Married"/>
    <n v="16872"/>
    <n v="14977"/>
    <n v="3"/>
    <s v="Yes"/>
    <n v="12"/>
    <s v="Excellent"/>
    <s v="Medium"/>
    <n v="1"/>
    <n v="28"/>
    <n v="2"/>
    <s v="Good"/>
    <x v="5"/>
    <s v="5-10"/>
    <n v="7"/>
    <n v="7"/>
    <n v="7"/>
    <n v="264"/>
  </r>
  <r>
    <n v="28"/>
    <x v="2"/>
    <x v="0"/>
    <s v="Travel_Rarely"/>
    <n v="529"/>
    <x v="0"/>
    <n v="2"/>
    <s v="Master"/>
    <x v="0"/>
    <s v="Low"/>
    <x v="0"/>
    <n v="79"/>
    <s v="High"/>
    <x v="1"/>
    <s v="Laboratory Technician"/>
    <s v="High"/>
    <s v="Single"/>
    <n v="3485"/>
    <n v="14935"/>
    <n v="2"/>
    <s v="No"/>
    <n v="11"/>
    <s v="Excellent"/>
    <s v="High"/>
    <n v="0"/>
    <n v="5"/>
    <n v="5"/>
    <s v="Bad"/>
    <x v="2"/>
    <s v="0-5"/>
    <n v="0"/>
    <n v="0"/>
    <n v="0"/>
    <n v="265"/>
  </r>
  <r>
    <n v="29"/>
    <x v="2"/>
    <x v="1"/>
    <s v="Travel_Rarely"/>
    <n v="1210"/>
    <x v="1"/>
    <n v="2"/>
    <s v="Bachelor"/>
    <x v="2"/>
    <s v="Low"/>
    <x v="0"/>
    <n v="78"/>
    <s v="Medium"/>
    <x v="0"/>
    <s v="Sales Executive"/>
    <s v="Medium"/>
    <s v="Married"/>
    <n v="6644"/>
    <n v="3687"/>
    <n v="2"/>
    <s v="No"/>
    <n v="19"/>
    <s v="Excellent"/>
    <s v="Medium"/>
    <n v="2"/>
    <n v="10"/>
    <n v="2"/>
    <s v="Better"/>
    <x v="2"/>
    <s v="0-5"/>
    <n v="0"/>
    <n v="0"/>
    <n v="0"/>
    <n v="266"/>
  </r>
  <r>
    <n v="31"/>
    <x v="2"/>
    <x v="1"/>
    <s v="Travel_Rarely"/>
    <n v="1463"/>
    <x v="0"/>
    <n v="23"/>
    <s v="Bachelor"/>
    <x v="2"/>
    <s v="Medium"/>
    <x v="0"/>
    <n v="64"/>
    <s v="Medium"/>
    <x v="0"/>
    <s v="Healthcare Representative"/>
    <s v="Very High"/>
    <s v="Married"/>
    <n v="5582"/>
    <n v="14408"/>
    <n v="0"/>
    <s v="No"/>
    <n v="21"/>
    <s v="Outstanding"/>
    <s v="Medium"/>
    <n v="1"/>
    <n v="10"/>
    <n v="2"/>
    <s v="Better"/>
    <x v="7"/>
    <s v="5-10"/>
    <n v="0"/>
    <n v="7"/>
    <n v="8"/>
    <n v="267"/>
  </r>
  <r>
    <n v="25"/>
    <x v="4"/>
    <x v="1"/>
    <s v="Non-Travel"/>
    <n v="675"/>
    <x v="0"/>
    <n v="5"/>
    <s v="College"/>
    <x v="0"/>
    <s v="Medium"/>
    <x v="0"/>
    <n v="85"/>
    <s v="Very High"/>
    <x v="0"/>
    <s v="Healthcare Representative"/>
    <s v="Low"/>
    <s v="Divorced"/>
    <n v="4000"/>
    <n v="18384"/>
    <n v="1"/>
    <s v="No"/>
    <n v="12"/>
    <s v="Excellent"/>
    <s v="Very High"/>
    <n v="2"/>
    <n v="6"/>
    <n v="2"/>
    <s v="Better"/>
    <x v="0"/>
    <s v="5-10"/>
    <n v="3"/>
    <n v="1"/>
    <n v="5"/>
    <n v="268"/>
  </r>
  <r>
    <n v="45"/>
    <x v="0"/>
    <x v="1"/>
    <s v="Travel_Rarely"/>
    <n v="1385"/>
    <x v="0"/>
    <n v="20"/>
    <s v="College"/>
    <x v="2"/>
    <s v="High"/>
    <x v="0"/>
    <n v="79"/>
    <s v="High"/>
    <x v="3"/>
    <s v="Healthcare Representative"/>
    <s v="Very High"/>
    <s v="Married"/>
    <n v="13496"/>
    <n v="7501"/>
    <n v="0"/>
    <s v="Yes"/>
    <n v="14"/>
    <s v="Excellent"/>
    <s v="Medium"/>
    <n v="0"/>
    <n v="21"/>
    <n v="2"/>
    <s v="Better"/>
    <x v="23"/>
    <s v="10-40"/>
    <n v="7"/>
    <n v="4"/>
    <n v="10"/>
    <n v="269"/>
  </r>
  <r>
    <n v="36"/>
    <x v="0"/>
    <x v="1"/>
    <s v="Travel_Rarely"/>
    <n v="1403"/>
    <x v="0"/>
    <n v="6"/>
    <s v="Bachelor"/>
    <x v="0"/>
    <s v="Very High"/>
    <x v="0"/>
    <n v="47"/>
    <s v="High"/>
    <x v="1"/>
    <s v="Laboratory Technician"/>
    <s v="Very High"/>
    <s v="Married"/>
    <n v="3210"/>
    <n v="20251"/>
    <n v="0"/>
    <s v="No"/>
    <n v="11"/>
    <s v="Excellent"/>
    <s v="High"/>
    <n v="1"/>
    <n v="16"/>
    <n v="4"/>
    <s v="Better"/>
    <x v="15"/>
    <s v="10-40"/>
    <n v="13"/>
    <n v="10"/>
    <n v="11"/>
    <n v="270"/>
  </r>
  <r>
    <n v="55"/>
    <x v="1"/>
    <x v="1"/>
    <s v="Travel_Rarely"/>
    <n v="452"/>
    <x v="0"/>
    <n v="1"/>
    <s v="Bachelor"/>
    <x v="2"/>
    <s v="Very High"/>
    <x v="0"/>
    <n v="81"/>
    <s v="High"/>
    <x v="4"/>
    <s v="Manager"/>
    <s v="Low"/>
    <s v="Single"/>
    <n v="19045"/>
    <n v="18938"/>
    <n v="0"/>
    <s v="Yes"/>
    <n v="14"/>
    <s v="Excellent"/>
    <s v="High"/>
    <n v="0"/>
    <n v="37"/>
    <n v="2"/>
    <s v="Better"/>
    <x v="28"/>
    <s v="10-40"/>
    <n v="10"/>
    <n v="4"/>
    <n v="13"/>
    <n v="271"/>
  </r>
  <r>
    <n v="47"/>
    <x v="1"/>
    <x v="0"/>
    <s v="Non-Travel"/>
    <n v="666"/>
    <x v="0"/>
    <n v="29"/>
    <s v="Master"/>
    <x v="0"/>
    <s v="Low"/>
    <x v="0"/>
    <n v="88"/>
    <s v="High"/>
    <x v="2"/>
    <s v="Manager"/>
    <s v="Medium"/>
    <s v="Married"/>
    <n v="11849"/>
    <n v="10268"/>
    <n v="1"/>
    <s v="Yes"/>
    <n v="12"/>
    <s v="Excellent"/>
    <s v="Very High"/>
    <n v="1"/>
    <n v="10"/>
    <n v="2"/>
    <s v="Good"/>
    <x v="1"/>
    <s v="5-10"/>
    <n v="7"/>
    <n v="9"/>
    <n v="9"/>
    <n v="272"/>
  </r>
  <r>
    <n v="28"/>
    <x v="2"/>
    <x v="1"/>
    <s v="Travel_Rarely"/>
    <n v="1158"/>
    <x v="0"/>
    <n v="9"/>
    <s v="Bachelor"/>
    <x v="2"/>
    <s v="Very High"/>
    <x v="0"/>
    <n v="94"/>
    <s v="High"/>
    <x v="1"/>
    <s v="Research Scientist"/>
    <s v="Very High"/>
    <s v="Married"/>
    <n v="2070"/>
    <n v="2613"/>
    <n v="1"/>
    <s v="No"/>
    <n v="23"/>
    <s v="Outstanding"/>
    <s v="Very High"/>
    <n v="1"/>
    <n v="5"/>
    <n v="3"/>
    <s v="Good"/>
    <x v="8"/>
    <s v="0-5"/>
    <n v="2"/>
    <n v="0"/>
    <n v="4"/>
    <n v="273"/>
  </r>
  <r>
    <n v="37"/>
    <x v="0"/>
    <x v="1"/>
    <s v="Travel_Rarely"/>
    <n v="228"/>
    <x v="1"/>
    <n v="6"/>
    <s v="Master"/>
    <x v="2"/>
    <s v="High"/>
    <x v="0"/>
    <n v="98"/>
    <s v="High"/>
    <x v="0"/>
    <s v="Sales Executive"/>
    <s v="Very High"/>
    <s v="Married"/>
    <n v="6502"/>
    <n v="22825"/>
    <n v="4"/>
    <s v="No"/>
    <n v="14"/>
    <s v="Excellent"/>
    <s v="Medium"/>
    <n v="1"/>
    <n v="7"/>
    <n v="5"/>
    <s v="Best"/>
    <x v="8"/>
    <s v="0-5"/>
    <n v="4"/>
    <n v="0"/>
    <n v="1"/>
    <n v="274"/>
  </r>
  <r>
    <n v="21"/>
    <x v="4"/>
    <x v="1"/>
    <s v="Travel_Rarely"/>
    <n v="996"/>
    <x v="0"/>
    <n v="3"/>
    <s v="College"/>
    <x v="2"/>
    <s v="Very High"/>
    <x v="0"/>
    <n v="100"/>
    <s v="Medium"/>
    <x v="1"/>
    <s v="Research Scientist"/>
    <s v="High"/>
    <s v="Single"/>
    <n v="3230"/>
    <n v="10531"/>
    <n v="1"/>
    <s v="No"/>
    <n v="17"/>
    <s v="Excellent"/>
    <s v="Low"/>
    <n v="0"/>
    <n v="3"/>
    <n v="4"/>
    <s v="Best"/>
    <x v="11"/>
    <s v="0-5"/>
    <n v="2"/>
    <n v="1"/>
    <n v="0"/>
    <n v="275"/>
  </r>
  <r>
    <n v="37"/>
    <x v="0"/>
    <x v="1"/>
    <s v="Non-Travel"/>
    <n v="728"/>
    <x v="0"/>
    <n v="1"/>
    <s v="Master"/>
    <x v="2"/>
    <s v="Low"/>
    <x v="1"/>
    <n v="80"/>
    <s v="High"/>
    <x v="2"/>
    <s v="Research Director"/>
    <s v="Very High"/>
    <s v="Divorced"/>
    <n v="13603"/>
    <n v="11677"/>
    <n v="2"/>
    <s v="Yes"/>
    <n v="18"/>
    <s v="Excellent"/>
    <s v="Low"/>
    <n v="2"/>
    <n v="15"/>
    <n v="2"/>
    <s v="Better"/>
    <x v="8"/>
    <s v="0-5"/>
    <n v="2"/>
    <n v="0"/>
    <n v="2"/>
    <n v="276"/>
  </r>
  <r>
    <n v="35"/>
    <x v="2"/>
    <x v="1"/>
    <s v="Travel_Rarely"/>
    <n v="1315"/>
    <x v="0"/>
    <n v="22"/>
    <s v="Bachelor"/>
    <x v="0"/>
    <s v="Medium"/>
    <x v="1"/>
    <n v="71"/>
    <s v="Very High"/>
    <x v="2"/>
    <s v="Manager"/>
    <s v="Medium"/>
    <s v="Divorced"/>
    <n v="11996"/>
    <n v="19100"/>
    <n v="7"/>
    <s v="No"/>
    <n v="18"/>
    <s v="Excellent"/>
    <s v="Medium"/>
    <n v="1"/>
    <n v="10"/>
    <n v="6"/>
    <s v="Good"/>
    <x v="5"/>
    <s v="5-10"/>
    <n v="7"/>
    <n v="6"/>
    <n v="2"/>
    <n v="277"/>
  </r>
  <r>
    <n v="38"/>
    <x v="0"/>
    <x v="1"/>
    <s v="Travel_Rarely"/>
    <n v="322"/>
    <x v="1"/>
    <n v="7"/>
    <s v="College"/>
    <x v="2"/>
    <s v="Low"/>
    <x v="1"/>
    <n v="44"/>
    <s v="Very High"/>
    <x v="0"/>
    <s v="Sales Executive"/>
    <s v="Low"/>
    <s v="Divorced"/>
    <n v="5605"/>
    <n v="19191"/>
    <n v="1"/>
    <s v="Yes"/>
    <n v="24"/>
    <s v="Outstanding"/>
    <s v="High"/>
    <n v="1"/>
    <n v="8"/>
    <n v="3"/>
    <s v="Better"/>
    <x v="3"/>
    <s v="5-10"/>
    <n v="0"/>
    <n v="7"/>
    <n v="7"/>
    <n v="278"/>
  </r>
  <r>
    <n v="26"/>
    <x v="2"/>
    <x v="1"/>
    <s v="Travel_Frequently"/>
    <n v="1479"/>
    <x v="0"/>
    <n v="1"/>
    <s v="Bachelor"/>
    <x v="0"/>
    <s v="High"/>
    <x v="1"/>
    <n v="84"/>
    <s v="High"/>
    <x v="0"/>
    <s v="Manufacturing Director"/>
    <s v="Medium"/>
    <s v="Divorced"/>
    <n v="6397"/>
    <n v="26767"/>
    <n v="1"/>
    <s v="No"/>
    <n v="20"/>
    <s v="Outstanding"/>
    <s v="Low"/>
    <n v="1"/>
    <n v="6"/>
    <n v="6"/>
    <s v="Bad"/>
    <x v="0"/>
    <s v="5-10"/>
    <n v="5"/>
    <n v="1"/>
    <n v="4"/>
    <n v="279"/>
  </r>
  <r>
    <n v="50"/>
    <x v="1"/>
    <x v="1"/>
    <s v="Travel_Rarely"/>
    <n v="797"/>
    <x v="0"/>
    <n v="4"/>
    <s v="Below College"/>
    <x v="0"/>
    <s v="Low"/>
    <x v="0"/>
    <n v="96"/>
    <s v="High"/>
    <x v="4"/>
    <s v="Research Director"/>
    <s v="Medium"/>
    <s v="Divorced"/>
    <n v="19144"/>
    <n v="15815"/>
    <n v="3"/>
    <s v="No"/>
    <n v="14"/>
    <s v="Excellent"/>
    <s v="Low"/>
    <n v="2"/>
    <n v="28"/>
    <n v="4"/>
    <s v="Good"/>
    <x v="1"/>
    <s v="5-10"/>
    <n v="4"/>
    <n v="1"/>
    <n v="6"/>
    <n v="280"/>
  </r>
  <r>
    <n v="53"/>
    <x v="1"/>
    <x v="1"/>
    <s v="Travel_Rarely"/>
    <n v="1070"/>
    <x v="0"/>
    <n v="3"/>
    <s v="Master"/>
    <x v="2"/>
    <s v="High"/>
    <x v="0"/>
    <n v="45"/>
    <s v="High"/>
    <x v="3"/>
    <s v="Research Director"/>
    <s v="High"/>
    <s v="Married"/>
    <n v="17584"/>
    <n v="21016"/>
    <n v="3"/>
    <s v="Yes"/>
    <n v="16"/>
    <s v="Excellent"/>
    <s v="Very High"/>
    <n v="3"/>
    <n v="21"/>
    <n v="5"/>
    <s v="Good"/>
    <x v="8"/>
    <s v="0-5"/>
    <n v="3"/>
    <n v="1"/>
    <n v="3"/>
    <n v="281"/>
  </r>
  <r>
    <n v="42"/>
    <x v="0"/>
    <x v="1"/>
    <s v="Travel_Rarely"/>
    <n v="635"/>
    <x v="1"/>
    <n v="1"/>
    <s v="Below College"/>
    <x v="0"/>
    <s v="Medium"/>
    <x v="0"/>
    <n v="99"/>
    <s v="High"/>
    <x v="0"/>
    <s v="Sales Executive"/>
    <s v="High"/>
    <s v="Married"/>
    <n v="4907"/>
    <n v="24532"/>
    <n v="1"/>
    <s v="No"/>
    <n v="25"/>
    <s v="Outstanding"/>
    <s v="High"/>
    <n v="0"/>
    <n v="20"/>
    <n v="3"/>
    <s v="Better"/>
    <x v="23"/>
    <s v="10-40"/>
    <n v="16"/>
    <n v="11"/>
    <n v="6"/>
    <n v="282"/>
  </r>
  <r>
    <n v="29"/>
    <x v="2"/>
    <x v="1"/>
    <s v="Travel_Frequently"/>
    <n v="442"/>
    <x v="1"/>
    <n v="2"/>
    <s v="College"/>
    <x v="0"/>
    <s v="Medium"/>
    <x v="0"/>
    <n v="44"/>
    <s v="High"/>
    <x v="0"/>
    <s v="Sales Executive"/>
    <s v="Very High"/>
    <s v="Single"/>
    <n v="4554"/>
    <n v="20260"/>
    <n v="1"/>
    <s v="No"/>
    <n v="18"/>
    <s v="Excellent"/>
    <s v="Low"/>
    <n v="0"/>
    <n v="10"/>
    <n v="3"/>
    <s v="Good"/>
    <x v="1"/>
    <s v="5-10"/>
    <n v="7"/>
    <n v="0"/>
    <n v="9"/>
    <n v="283"/>
  </r>
  <r>
    <n v="55"/>
    <x v="1"/>
    <x v="1"/>
    <s v="Travel_Rarely"/>
    <n v="147"/>
    <x v="0"/>
    <n v="20"/>
    <s v="College"/>
    <x v="4"/>
    <s v="Medium"/>
    <x v="0"/>
    <n v="37"/>
    <s v="High"/>
    <x v="0"/>
    <s v="Laboratory Technician"/>
    <s v="Very High"/>
    <s v="Married"/>
    <n v="5415"/>
    <n v="15972"/>
    <n v="3"/>
    <s v="Yes"/>
    <n v="19"/>
    <s v="Excellent"/>
    <s v="Very High"/>
    <n v="1"/>
    <n v="12"/>
    <n v="4"/>
    <s v="Better"/>
    <x v="1"/>
    <s v="5-10"/>
    <n v="7"/>
    <n v="0"/>
    <n v="8"/>
    <n v="284"/>
  </r>
  <r>
    <n v="26"/>
    <x v="2"/>
    <x v="1"/>
    <s v="Travel_Frequently"/>
    <n v="496"/>
    <x v="0"/>
    <n v="11"/>
    <s v="College"/>
    <x v="2"/>
    <s v="Low"/>
    <x v="0"/>
    <n v="60"/>
    <s v="High"/>
    <x v="0"/>
    <s v="Healthcare Representative"/>
    <s v="Low"/>
    <s v="Married"/>
    <n v="4741"/>
    <n v="22722"/>
    <n v="1"/>
    <s v="Yes"/>
    <n v="13"/>
    <s v="Excellent"/>
    <s v="High"/>
    <n v="1"/>
    <n v="5"/>
    <n v="3"/>
    <s v="Better"/>
    <x v="8"/>
    <s v="0-5"/>
    <n v="3"/>
    <n v="3"/>
    <n v="3"/>
    <n v="285"/>
  </r>
  <r>
    <n v="37"/>
    <x v="0"/>
    <x v="1"/>
    <s v="Travel_Rarely"/>
    <n v="1372"/>
    <x v="0"/>
    <n v="1"/>
    <s v="Bachelor"/>
    <x v="0"/>
    <s v="Very High"/>
    <x v="1"/>
    <n v="42"/>
    <s v="High"/>
    <x v="1"/>
    <s v="Research Scientist"/>
    <s v="Very High"/>
    <s v="Single"/>
    <n v="2115"/>
    <n v="15881"/>
    <n v="1"/>
    <s v="No"/>
    <n v="12"/>
    <s v="Excellent"/>
    <s v="Medium"/>
    <n v="0"/>
    <n v="17"/>
    <n v="3"/>
    <s v="Better"/>
    <x v="18"/>
    <s v="10-40"/>
    <n v="12"/>
    <n v="5"/>
    <n v="7"/>
    <n v="286"/>
  </r>
  <r>
    <n v="44"/>
    <x v="0"/>
    <x v="0"/>
    <s v="Travel_Frequently"/>
    <n v="920"/>
    <x v="0"/>
    <n v="24"/>
    <s v="Bachelor"/>
    <x v="0"/>
    <s v="Very High"/>
    <x v="0"/>
    <n v="43"/>
    <s v="High"/>
    <x v="1"/>
    <s v="Laboratory Technician"/>
    <s v="High"/>
    <s v="Divorced"/>
    <n v="3161"/>
    <n v="19920"/>
    <n v="3"/>
    <s v="Yes"/>
    <n v="22"/>
    <s v="Outstanding"/>
    <s v="Very High"/>
    <n v="1"/>
    <n v="19"/>
    <n v="0"/>
    <s v="Bad"/>
    <x v="6"/>
    <s v="0-5"/>
    <n v="0"/>
    <n v="0"/>
    <n v="0"/>
    <n v="287"/>
  </r>
  <r>
    <n v="38"/>
    <x v="0"/>
    <x v="1"/>
    <s v="Travel_Rarely"/>
    <n v="688"/>
    <x v="0"/>
    <n v="23"/>
    <s v="Master"/>
    <x v="0"/>
    <s v="Very High"/>
    <x v="0"/>
    <n v="82"/>
    <s v="High"/>
    <x v="0"/>
    <s v="Healthcare Representative"/>
    <s v="Very High"/>
    <s v="Divorced"/>
    <n v="5745"/>
    <n v="18899"/>
    <n v="9"/>
    <s v="No"/>
    <n v="14"/>
    <s v="Excellent"/>
    <s v="Medium"/>
    <n v="1"/>
    <n v="10"/>
    <n v="2"/>
    <s v="Better"/>
    <x v="4"/>
    <s v="0-5"/>
    <n v="2"/>
    <n v="1"/>
    <n v="2"/>
    <n v="288"/>
  </r>
  <r>
    <n v="26"/>
    <x v="2"/>
    <x v="0"/>
    <s v="Travel_Rarely"/>
    <n v="1449"/>
    <x v="0"/>
    <n v="16"/>
    <s v="Master"/>
    <x v="2"/>
    <s v="Low"/>
    <x v="0"/>
    <n v="45"/>
    <s v="High"/>
    <x v="1"/>
    <s v="Laboratory Technician"/>
    <s v="Medium"/>
    <s v="Divorced"/>
    <n v="2373"/>
    <n v="14180"/>
    <n v="2"/>
    <s v="Yes"/>
    <n v="13"/>
    <s v="Excellent"/>
    <s v="Very High"/>
    <n v="1"/>
    <n v="5"/>
    <n v="2"/>
    <s v="Better"/>
    <x v="11"/>
    <s v="0-5"/>
    <n v="2"/>
    <n v="0"/>
    <n v="2"/>
    <n v="289"/>
  </r>
  <r>
    <n v="28"/>
    <x v="2"/>
    <x v="1"/>
    <s v="Travel_Rarely"/>
    <n v="1117"/>
    <x v="0"/>
    <n v="8"/>
    <s v="College"/>
    <x v="0"/>
    <s v="Very High"/>
    <x v="1"/>
    <n v="66"/>
    <s v="High"/>
    <x v="1"/>
    <s v="Research Scientist"/>
    <s v="Very High"/>
    <s v="Single"/>
    <n v="3310"/>
    <n v="4488"/>
    <n v="1"/>
    <s v="No"/>
    <n v="21"/>
    <s v="Outstanding"/>
    <s v="Very High"/>
    <n v="0"/>
    <n v="5"/>
    <n v="3"/>
    <s v="Better"/>
    <x v="8"/>
    <s v="0-5"/>
    <n v="3"/>
    <n v="0"/>
    <n v="2"/>
    <n v="290"/>
  </r>
  <r>
    <n v="49"/>
    <x v="1"/>
    <x v="1"/>
    <s v="Travel_Frequently"/>
    <n v="636"/>
    <x v="0"/>
    <n v="10"/>
    <s v="Master"/>
    <x v="0"/>
    <s v="High"/>
    <x v="1"/>
    <n v="35"/>
    <s v="High"/>
    <x v="4"/>
    <s v="Research Director"/>
    <s v="Low"/>
    <s v="Single"/>
    <n v="18665"/>
    <n v="25594"/>
    <n v="9"/>
    <s v="Yes"/>
    <n v="11"/>
    <s v="Excellent"/>
    <s v="Very High"/>
    <n v="0"/>
    <n v="22"/>
    <n v="4"/>
    <s v="Better"/>
    <x v="11"/>
    <s v="0-5"/>
    <n v="2"/>
    <n v="1"/>
    <n v="2"/>
    <n v="291"/>
  </r>
  <r>
    <n v="36"/>
    <x v="0"/>
    <x v="1"/>
    <s v="Travel_Rarely"/>
    <n v="506"/>
    <x v="0"/>
    <n v="3"/>
    <s v="Bachelor"/>
    <x v="4"/>
    <s v="High"/>
    <x v="0"/>
    <n v="30"/>
    <s v="High"/>
    <x v="0"/>
    <s v="Research Scientist"/>
    <s v="Medium"/>
    <s v="Single"/>
    <n v="4485"/>
    <n v="26285"/>
    <n v="4"/>
    <s v="No"/>
    <n v="12"/>
    <s v="Excellent"/>
    <s v="Very High"/>
    <n v="0"/>
    <n v="10"/>
    <n v="2"/>
    <s v="Better"/>
    <x v="3"/>
    <s v="5-10"/>
    <n v="0"/>
    <n v="7"/>
    <n v="7"/>
    <n v="292"/>
  </r>
  <r>
    <n v="31"/>
    <x v="2"/>
    <x v="1"/>
    <s v="Travel_Frequently"/>
    <n v="444"/>
    <x v="1"/>
    <n v="5"/>
    <s v="Bachelor"/>
    <x v="3"/>
    <s v="Very High"/>
    <x v="1"/>
    <n v="84"/>
    <s v="High"/>
    <x v="1"/>
    <s v="Sales Representative"/>
    <s v="Medium"/>
    <s v="Divorced"/>
    <n v="2789"/>
    <n v="3909"/>
    <n v="1"/>
    <s v="No"/>
    <n v="11"/>
    <s v="Excellent"/>
    <s v="High"/>
    <n v="1"/>
    <n v="2"/>
    <n v="5"/>
    <s v="Good"/>
    <x v="4"/>
    <s v="0-5"/>
    <n v="2"/>
    <n v="2"/>
    <n v="2"/>
    <n v="293"/>
  </r>
  <r>
    <n v="26"/>
    <x v="2"/>
    <x v="0"/>
    <s v="Travel_Rarely"/>
    <n v="950"/>
    <x v="1"/>
    <n v="4"/>
    <s v="Master"/>
    <x v="3"/>
    <s v="Very High"/>
    <x v="0"/>
    <n v="48"/>
    <s v="Medium"/>
    <x v="0"/>
    <s v="Sales Executive"/>
    <s v="Very High"/>
    <s v="Single"/>
    <n v="5828"/>
    <n v="8450"/>
    <n v="1"/>
    <s v="Yes"/>
    <n v="12"/>
    <s v="Excellent"/>
    <s v="Medium"/>
    <n v="0"/>
    <n v="8"/>
    <n v="0"/>
    <s v="Better"/>
    <x v="3"/>
    <s v="5-10"/>
    <n v="7"/>
    <n v="7"/>
    <n v="4"/>
    <n v="294"/>
  </r>
  <r>
    <n v="37"/>
    <x v="0"/>
    <x v="1"/>
    <s v="Travel_Frequently"/>
    <n v="889"/>
    <x v="0"/>
    <n v="9"/>
    <s v="Bachelor"/>
    <x v="2"/>
    <s v="Medium"/>
    <x v="0"/>
    <n v="53"/>
    <s v="High"/>
    <x v="1"/>
    <s v="Research Scientist"/>
    <s v="Very High"/>
    <s v="Married"/>
    <n v="2326"/>
    <n v="11411"/>
    <n v="1"/>
    <s v="Yes"/>
    <n v="12"/>
    <s v="Excellent"/>
    <s v="High"/>
    <n v="3"/>
    <n v="4"/>
    <n v="3"/>
    <s v="Good"/>
    <x v="9"/>
    <s v="0-5"/>
    <n v="2"/>
    <n v="1"/>
    <n v="2"/>
    <n v="295"/>
  </r>
  <r>
    <n v="42"/>
    <x v="0"/>
    <x v="1"/>
    <s v="Travel_Frequently"/>
    <n v="555"/>
    <x v="1"/>
    <n v="26"/>
    <s v="Bachelor"/>
    <x v="3"/>
    <s v="High"/>
    <x v="1"/>
    <n v="77"/>
    <s v="High"/>
    <x v="3"/>
    <s v="Sales Executive"/>
    <s v="Medium"/>
    <s v="Married"/>
    <n v="13525"/>
    <n v="14864"/>
    <n v="5"/>
    <s v="No"/>
    <n v="14"/>
    <s v="Excellent"/>
    <s v="Very High"/>
    <n v="1"/>
    <n v="23"/>
    <n v="2"/>
    <s v="Best"/>
    <x v="23"/>
    <s v="10-40"/>
    <n v="4"/>
    <n v="4"/>
    <n v="8"/>
    <n v="296"/>
  </r>
  <r>
    <n v="18"/>
    <x v="4"/>
    <x v="0"/>
    <s v="Travel_Rarely"/>
    <n v="230"/>
    <x v="0"/>
    <n v="3"/>
    <s v="Bachelor"/>
    <x v="0"/>
    <s v="High"/>
    <x v="0"/>
    <n v="54"/>
    <s v="High"/>
    <x v="1"/>
    <s v="Laboratory Technician"/>
    <s v="High"/>
    <s v="Single"/>
    <n v="1420"/>
    <n v="25233"/>
    <n v="1"/>
    <s v="No"/>
    <n v="13"/>
    <s v="Excellent"/>
    <s v="High"/>
    <n v="0"/>
    <n v="0"/>
    <n v="2"/>
    <s v="Better"/>
    <x v="2"/>
    <s v="0-5"/>
    <n v="0"/>
    <n v="0"/>
    <n v="0"/>
    <n v="297"/>
  </r>
  <r>
    <n v="35"/>
    <x v="2"/>
    <x v="1"/>
    <s v="Travel_Rarely"/>
    <n v="1232"/>
    <x v="1"/>
    <n v="16"/>
    <s v="Bachelor"/>
    <x v="3"/>
    <s v="High"/>
    <x v="0"/>
    <n v="96"/>
    <s v="High"/>
    <x v="2"/>
    <s v="Sales Executive"/>
    <s v="Medium"/>
    <s v="Married"/>
    <n v="8020"/>
    <n v="5100"/>
    <n v="0"/>
    <s v="No"/>
    <n v="15"/>
    <s v="Excellent"/>
    <s v="High"/>
    <n v="2"/>
    <n v="12"/>
    <n v="3"/>
    <s v="Good"/>
    <x v="19"/>
    <s v="10-40"/>
    <n v="9"/>
    <n v="6"/>
    <n v="9"/>
    <n v="298"/>
  </r>
  <r>
    <n v="36"/>
    <x v="0"/>
    <x v="1"/>
    <s v="Travel_Frequently"/>
    <n v="566"/>
    <x v="0"/>
    <n v="18"/>
    <s v="Master"/>
    <x v="0"/>
    <s v="High"/>
    <x v="0"/>
    <n v="81"/>
    <s v="Very High"/>
    <x v="1"/>
    <s v="Laboratory Technician"/>
    <s v="Very High"/>
    <s v="Married"/>
    <n v="3688"/>
    <n v="7122"/>
    <n v="4"/>
    <s v="No"/>
    <n v="18"/>
    <s v="Excellent"/>
    <s v="Very High"/>
    <n v="2"/>
    <n v="4"/>
    <n v="2"/>
    <s v="Better"/>
    <x v="6"/>
    <s v="0-5"/>
    <n v="0"/>
    <n v="0"/>
    <n v="0"/>
    <n v="299"/>
  </r>
  <r>
    <n v="51"/>
    <x v="1"/>
    <x v="1"/>
    <s v="Travel_Rarely"/>
    <n v="1302"/>
    <x v="0"/>
    <n v="2"/>
    <s v="Bachelor"/>
    <x v="2"/>
    <s v="Very High"/>
    <x v="0"/>
    <n v="84"/>
    <s v="Low"/>
    <x v="0"/>
    <s v="Manufacturing Director"/>
    <s v="Medium"/>
    <s v="Divorced"/>
    <n v="5482"/>
    <n v="16321"/>
    <n v="5"/>
    <s v="No"/>
    <n v="18"/>
    <s v="Excellent"/>
    <s v="Very High"/>
    <n v="1"/>
    <n v="13"/>
    <n v="3"/>
    <s v="Better"/>
    <x v="9"/>
    <s v="0-5"/>
    <n v="1"/>
    <n v="1"/>
    <n v="2"/>
    <n v="300"/>
  </r>
  <r>
    <n v="41"/>
    <x v="0"/>
    <x v="1"/>
    <s v="Travel_Rarely"/>
    <n v="334"/>
    <x v="1"/>
    <n v="2"/>
    <s v="Master"/>
    <x v="0"/>
    <s v="Very High"/>
    <x v="0"/>
    <n v="88"/>
    <s v="High"/>
    <x v="3"/>
    <s v="Manager"/>
    <s v="Medium"/>
    <s v="Single"/>
    <n v="16015"/>
    <n v="15896"/>
    <n v="1"/>
    <s v="No"/>
    <n v="19"/>
    <s v="Excellent"/>
    <s v="Medium"/>
    <n v="0"/>
    <n v="22"/>
    <n v="2"/>
    <s v="Better"/>
    <x v="14"/>
    <s v="10-40"/>
    <n v="10"/>
    <n v="0"/>
    <n v="4"/>
    <n v="301"/>
  </r>
  <r>
    <n v="18"/>
    <x v="4"/>
    <x v="1"/>
    <s v="Travel_Rarely"/>
    <n v="812"/>
    <x v="1"/>
    <n v="10"/>
    <s v="Bachelor"/>
    <x v="2"/>
    <s v="Very High"/>
    <x v="1"/>
    <n v="69"/>
    <s v="Medium"/>
    <x v="1"/>
    <s v="Sales Representative"/>
    <s v="High"/>
    <s v="Single"/>
    <n v="1200"/>
    <n v="9724"/>
    <n v="1"/>
    <s v="No"/>
    <n v="12"/>
    <s v="Excellent"/>
    <s v="Low"/>
    <n v="0"/>
    <n v="0"/>
    <n v="2"/>
    <s v="Better"/>
    <x v="2"/>
    <s v="0-5"/>
    <n v="0"/>
    <n v="0"/>
    <n v="0"/>
    <n v="302"/>
  </r>
  <r>
    <n v="28"/>
    <x v="2"/>
    <x v="1"/>
    <s v="Travel_Rarely"/>
    <n v="1476"/>
    <x v="0"/>
    <n v="16"/>
    <s v="College"/>
    <x v="2"/>
    <s v="Medium"/>
    <x v="0"/>
    <n v="68"/>
    <s v="Very High"/>
    <x v="0"/>
    <s v="Healthcare Representative"/>
    <s v="Low"/>
    <s v="Single"/>
    <n v="5661"/>
    <n v="4824"/>
    <n v="0"/>
    <s v="No"/>
    <n v="19"/>
    <s v="Excellent"/>
    <s v="High"/>
    <n v="0"/>
    <n v="9"/>
    <n v="2"/>
    <s v="Better"/>
    <x v="3"/>
    <s v="5-10"/>
    <n v="3"/>
    <n v="0"/>
    <n v="7"/>
    <n v="303"/>
  </r>
  <r>
    <n v="31"/>
    <x v="2"/>
    <x v="1"/>
    <s v="Travel_Rarely"/>
    <n v="218"/>
    <x v="1"/>
    <n v="7"/>
    <s v="Bachelor"/>
    <x v="4"/>
    <s v="Medium"/>
    <x v="0"/>
    <n v="100"/>
    <s v="Very High"/>
    <x v="0"/>
    <s v="Sales Executive"/>
    <s v="Very High"/>
    <s v="Married"/>
    <n v="6929"/>
    <n v="12241"/>
    <n v="4"/>
    <s v="No"/>
    <n v="11"/>
    <s v="Excellent"/>
    <s v="Medium"/>
    <n v="1"/>
    <n v="10"/>
    <n v="3"/>
    <s v="Good"/>
    <x v="3"/>
    <s v="5-10"/>
    <n v="7"/>
    <n v="7"/>
    <n v="7"/>
    <n v="304"/>
  </r>
  <r>
    <n v="39"/>
    <x v="0"/>
    <x v="1"/>
    <s v="Travel_Rarely"/>
    <n v="1132"/>
    <x v="0"/>
    <n v="1"/>
    <s v="Bachelor"/>
    <x v="2"/>
    <s v="High"/>
    <x v="0"/>
    <n v="48"/>
    <s v="Very High"/>
    <x v="2"/>
    <s v="Healthcare Representative"/>
    <s v="Very High"/>
    <s v="Divorced"/>
    <n v="9613"/>
    <n v="10942"/>
    <n v="0"/>
    <s v="No"/>
    <n v="17"/>
    <s v="Excellent"/>
    <s v="Low"/>
    <n v="3"/>
    <n v="19"/>
    <n v="5"/>
    <s v="Good"/>
    <x v="29"/>
    <s v="10-40"/>
    <n v="10"/>
    <n v="3"/>
    <n v="7"/>
    <n v="305"/>
  </r>
  <r>
    <n v="36"/>
    <x v="0"/>
    <x v="1"/>
    <s v="Non-Travel"/>
    <n v="1105"/>
    <x v="0"/>
    <n v="24"/>
    <s v="Master"/>
    <x v="0"/>
    <s v="Medium"/>
    <x v="1"/>
    <n v="47"/>
    <s v="High"/>
    <x v="0"/>
    <s v="Laboratory Technician"/>
    <s v="Medium"/>
    <s v="Married"/>
    <n v="5674"/>
    <n v="6927"/>
    <n v="7"/>
    <s v="No"/>
    <n v="15"/>
    <s v="Excellent"/>
    <s v="High"/>
    <n v="1"/>
    <n v="11"/>
    <n v="3"/>
    <s v="Better"/>
    <x v="7"/>
    <s v="5-10"/>
    <n v="8"/>
    <n v="0"/>
    <n v="8"/>
    <n v="306"/>
  </r>
  <r>
    <n v="32"/>
    <x v="2"/>
    <x v="1"/>
    <s v="Travel_Rarely"/>
    <n v="906"/>
    <x v="1"/>
    <n v="7"/>
    <s v="Bachelor"/>
    <x v="0"/>
    <s v="Very High"/>
    <x v="0"/>
    <n v="91"/>
    <s v="Medium"/>
    <x v="0"/>
    <s v="Sales Executive"/>
    <s v="High"/>
    <s v="Married"/>
    <n v="5484"/>
    <n v="16985"/>
    <n v="1"/>
    <s v="No"/>
    <n v="14"/>
    <s v="Excellent"/>
    <s v="High"/>
    <n v="1"/>
    <n v="13"/>
    <n v="3"/>
    <s v="Good"/>
    <x v="20"/>
    <s v="10-40"/>
    <n v="8"/>
    <n v="4"/>
    <n v="8"/>
    <n v="307"/>
  </r>
  <r>
    <n v="38"/>
    <x v="0"/>
    <x v="1"/>
    <s v="Travel_Rarely"/>
    <n v="849"/>
    <x v="0"/>
    <n v="25"/>
    <s v="College"/>
    <x v="0"/>
    <s v="Low"/>
    <x v="1"/>
    <n v="81"/>
    <s v="Medium"/>
    <x v="2"/>
    <s v="Research Director"/>
    <s v="Medium"/>
    <s v="Married"/>
    <n v="12061"/>
    <n v="26707"/>
    <n v="3"/>
    <s v="No"/>
    <n v="17"/>
    <s v="Excellent"/>
    <s v="High"/>
    <n v="1"/>
    <n v="19"/>
    <n v="2"/>
    <s v="Better"/>
    <x v="1"/>
    <s v="5-10"/>
    <n v="8"/>
    <n v="0"/>
    <n v="1"/>
    <n v="308"/>
  </r>
  <r>
    <n v="58"/>
    <x v="3"/>
    <x v="1"/>
    <s v="Non-Travel"/>
    <n v="390"/>
    <x v="0"/>
    <n v="1"/>
    <s v="Master"/>
    <x v="0"/>
    <s v="Very High"/>
    <x v="0"/>
    <n v="32"/>
    <s v="Low"/>
    <x v="0"/>
    <s v="Healthcare Representative"/>
    <s v="High"/>
    <s v="Divorced"/>
    <n v="5660"/>
    <n v="17056"/>
    <n v="2"/>
    <s v="Yes"/>
    <n v="13"/>
    <s v="Excellent"/>
    <s v="Very High"/>
    <n v="1"/>
    <n v="12"/>
    <n v="2"/>
    <s v="Better"/>
    <x v="8"/>
    <s v="0-5"/>
    <n v="3"/>
    <n v="1"/>
    <n v="2"/>
    <n v="309"/>
  </r>
  <r>
    <n v="31"/>
    <x v="2"/>
    <x v="1"/>
    <s v="Travel_Rarely"/>
    <n v="691"/>
    <x v="0"/>
    <n v="5"/>
    <s v="Master"/>
    <x v="4"/>
    <s v="High"/>
    <x v="0"/>
    <n v="86"/>
    <s v="High"/>
    <x v="1"/>
    <s v="Research Scientist"/>
    <s v="Very High"/>
    <s v="Married"/>
    <n v="4821"/>
    <n v="10077"/>
    <n v="0"/>
    <s v="Yes"/>
    <n v="12"/>
    <s v="Excellent"/>
    <s v="High"/>
    <n v="1"/>
    <n v="6"/>
    <n v="4"/>
    <s v="Better"/>
    <x v="8"/>
    <s v="0-5"/>
    <n v="2"/>
    <n v="0"/>
    <n v="3"/>
    <n v="310"/>
  </r>
  <r>
    <n v="31"/>
    <x v="2"/>
    <x v="1"/>
    <s v="Travel_Rarely"/>
    <n v="106"/>
    <x v="2"/>
    <n v="2"/>
    <s v="Bachelor"/>
    <x v="5"/>
    <s v="Low"/>
    <x v="0"/>
    <n v="62"/>
    <s v="Medium"/>
    <x v="0"/>
    <s v="Human Resources"/>
    <s v="Low"/>
    <s v="Married"/>
    <n v="6410"/>
    <n v="17822"/>
    <n v="3"/>
    <s v="No"/>
    <n v="12"/>
    <s v="Excellent"/>
    <s v="Very High"/>
    <n v="0"/>
    <n v="9"/>
    <n v="1"/>
    <s v="Better"/>
    <x v="4"/>
    <s v="0-5"/>
    <n v="2"/>
    <n v="1"/>
    <n v="0"/>
    <n v="311"/>
  </r>
  <r>
    <n v="45"/>
    <x v="0"/>
    <x v="1"/>
    <s v="Travel_Frequently"/>
    <n v="1249"/>
    <x v="0"/>
    <n v="7"/>
    <s v="Bachelor"/>
    <x v="0"/>
    <s v="Low"/>
    <x v="0"/>
    <n v="97"/>
    <s v="High"/>
    <x v="2"/>
    <s v="Laboratory Technician"/>
    <s v="Low"/>
    <s v="Divorced"/>
    <n v="5210"/>
    <n v="20308"/>
    <n v="1"/>
    <s v="No"/>
    <n v="18"/>
    <s v="Excellent"/>
    <s v="Low"/>
    <n v="1"/>
    <n v="24"/>
    <n v="2"/>
    <s v="Better"/>
    <x v="25"/>
    <s v="10-40"/>
    <n v="9"/>
    <n v="9"/>
    <n v="11"/>
    <n v="312"/>
  </r>
  <r>
    <n v="31"/>
    <x v="2"/>
    <x v="1"/>
    <s v="Travel_Rarely"/>
    <n v="192"/>
    <x v="0"/>
    <n v="2"/>
    <s v="Master"/>
    <x v="0"/>
    <s v="High"/>
    <x v="0"/>
    <n v="32"/>
    <s v="High"/>
    <x v="1"/>
    <s v="Research Scientist"/>
    <s v="Very High"/>
    <s v="Divorced"/>
    <n v="2695"/>
    <n v="7747"/>
    <n v="0"/>
    <s v="Yes"/>
    <n v="18"/>
    <s v="Excellent"/>
    <s v="Medium"/>
    <n v="1"/>
    <n v="3"/>
    <n v="2"/>
    <s v="Bad"/>
    <x v="4"/>
    <s v="0-5"/>
    <n v="2"/>
    <n v="2"/>
    <n v="2"/>
    <n v="313"/>
  </r>
  <r>
    <n v="33"/>
    <x v="2"/>
    <x v="1"/>
    <s v="Travel_Frequently"/>
    <n v="553"/>
    <x v="0"/>
    <n v="5"/>
    <s v="Master"/>
    <x v="0"/>
    <s v="Very High"/>
    <x v="1"/>
    <n v="74"/>
    <s v="High"/>
    <x v="2"/>
    <s v="Manager"/>
    <s v="Medium"/>
    <s v="Married"/>
    <n v="11878"/>
    <n v="23364"/>
    <n v="6"/>
    <s v="No"/>
    <n v="11"/>
    <s v="Excellent"/>
    <s v="Medium"/>
    <n v="2"/>
    <n v="12"/>
    <n v="2"/>
    <s v="Better"/>
    <x v="1"/>
    <s v="5-10"/>
    <n v="6"/>
    <n v="8"/>
    <n v="8"/>
    <n v="314"/>
  </r>
  <r>
    <n v="39"/>
    <x v="0"/>
    <x v="1"/>
    <s v="Travel_Rarely"/>
    <n v="117"/>
    <x v="0"/>
    <n v="10"/>
    <s v="Below College"/>
    <x v="2"/>
    <s v="High"/>
    <x v="0"/>
    <n v="99"/>
    <s v="High"/>
    <x v="3"/>
    <s v="Manager"/>
    <s v="Low"/>
    <s v="Married"/>
    <n v="17068"/>
    <n v="5355"/>
    <n v="1"/>
    <s v="Yes"/>
    <n v="14"/>
    <s v="Excellent"/>
    <s v="Very High"/>
    <n v="0"/>
    <n v="21"/>
    <n v="3"/>
    <s v="Better"/>
    <x v="17"/>
    <s v="10-40"/>
    <n v="9"/>
    <n v="11"/>
    <n v="10"/>
    <n v="315"/>
  </r>
  <r>
    <n v="43"/>
    <x v="0"/>
    <x v="1"/>
    <s v="Travel_Frequently"/>
    <n v="185"/>
    <x v="0"/>
    <n v="10"/>
    <s v="Master"/>
    <x v="0"/>
    <s v="High"/>
    <x v="1"/>
    <n v="33"/>
    <s v="High"/>
    <x v="1"/>
    <s v="Laboratory Technician"/>
    <s v="Very High"/>
    <s v="Single"/>
    <n v="2455"/>
    <n v="10675"/>
    <n v="0"/>
    <s v="No"/>
    <n v="19"/>
    <s v="Excellent"/>
    <s v="Low"/>
    <n v="0"/>
    <n v="9"/>
    <n v="5"/>
    <s v="Better"/>
    <x v="3"/>
    <s v="5-10"/>
    <n v="7"/>
    <n v="1"/>
    <n v="7"/>
    <n v="316"/>
  </r>
  <r>
    <n v="49"/>
    <x v="1"/>
    <x v="1"/>
    <s v="Travel_Rarely"/>
    <n v="1091"/>
    <x v="0"/>
    <n v="1"/>
    <s v="College"/>
    <x v="4"/>
    <s v="High"/>
    <x v="1"/>
    <n v="90"/>
    <s v="Medium"/>
    <x v="3"/>
    <s v="Healthcare Representative"/>
    <s v="High"/>
    <s v="Single"/>
    <n v="13964"/>
    <n v="17810"/>
    <n v="7"/>
    <s v="Yes"/>
    <n v="12"/>
    <s v="Excellent"/>
    <s v="Very High"/>
    <n v="0"/>
    <n v="25"/>
    <n v="2"/>
    <s v="Better"/>
    <x v="5"/>
    <s v="5-10"/>
    <n v="1"/>
    <n v="0"/>
    <n v="7"/>
    <n v="317"/>
  </r>
  <r>
    <n v="52"/>
    <x v="1"/>
    <x v="0"/>
    <s v="Travel_Rarely"/>
    <n v="723"/>
    <x v="0"/>
    <n v="8"/>
    <s v="Master"/>
    <x v="2"/>
    <s v="High"/>
    <x v="0"/>
    <n v="85"/>
    <s v="Medium"/>
    <x v="0"/>
    <s v="Research Scientist"/>
    <s v="Medium"/>
    <s v="Married"/>
    <n v="4941"/>
    <n v="17747"/>
    <n v="2"/>
    <s v="No"/>
    <n v="15"/>
    <s v="Excellent"/>
    <s v="Low"/>
    <n v="0"/>
    <n v="11"/>
    <n v="3"/>
    <s v="Good"/>
    <x v="3"/>
    <s v="5-10"/>
    <n v="2"/>
    <n v="7"/>
    <n v="7"/>
    <n v="318"/>
  </r>
  <r>
    <n v="27"/>
    <x v="2"/>
    <x v="1"/>
    <s v="Travel_Rarely"/>
    <n v="1220"/>
    <x v="0"/>
    <n v="5"/>
    <s v="Bachelor"/>
    <x v="0"/>
    <s v="High"/>
    <x v="1"/>
    <n v="85"/>
    <s v="High"/>
    <x v="1"/>
    <s v="Research Scientist"/>
    <s v="Medium"/>
    <s v="Single"/>
    <n v="2478"/>
    <n v="20938"/>
    <n v="1"/>
    <s v="Yes"/>
    <n v="12"/>
    <s v="Excellent"/>
    <s v="Medium"/>
    <n v="0"/>
    <n v="4"/>
    <n v="2"/>
    <s v="Good"/>
    <x v="9"/>
    <s v="0-5"/>
    <n v="3"/>
    <n v="1"/>
    <n v="2"/>
    <n v="319"/>
  </r>
  <r>
    <n v="32"/>
    <x v="2"/>
    <x v="1"/>
    <s v="Travel_Rarely"/>
    <n v="588"/>
    <x v="1"/>
    <n v="8"/>
    <s v="College"/>
    <x v="4"/>
    <s v="High"/>
    <x v="1"/>
    <n v="65"/>
    <s v="Medium"/>
    <x v="0"/>
    <s v="Sales Executive"/>
    <s v="Medium"/>
    <s v="Married"/>
    <n v="5228"/>
    <n v="24624"/>
    <n v="1"/>
    <s v="Yes"/>
    <n v="11"/>
    <s v="Excellent"/>
    <s v="Very High"/>
    <n v="0"/>
    <n v="13"/>
    <n v="2"/>
    <s v="Better"/>
    <x v="20"/>
    <s v="10-40"/>
    <n v="12"/>
    <n v="11"/>
    <n v="9"/>
    <n v="320"/>
  </r>
  <r>
    <n v="27"/>
    <x v="2"/>
    <x v="1"/>
    <s v="Travel_Rarely"/>
    <n v="1377"/>
    <x v="1"/>
    <n v="2"/>
    <s v="Bachelor"/>
    <x v="0"/>
    <s v="Very High"/>
    <x v="0"/>
    <n v="74"/>
    <s v="High"/>
    <x v="0"/>
    <s v="Sales Executive"/>
    <s v="High"/>
    <s v="Single"/>
    <n v="4478"/>
    <n v="5242"/>
    <n v="1"/>
    <s v="Yes"/>
    <n v="11"/>
    <s v="Excellent"/>
    <s v="Low"/>
    <n v="0"/>
    <n v="5"/>
    <n v="3"/>
    <s v="Better"/>
    <x v="8"/>
    <s v="0-5"/>
    <n v="4"/>
    <n v="0"/>
    <n v="4"/>
    <n v="321"/>
  </r>
  <r>
    <n v="31"/>
    <x v="2"/>
    <x v="1"/>
    <s v="Travel_Rarely"/>
    <n v="691"/>
    <x v="1"/>
    <n v="7"/>
    <s v="Bachelor"/>
    <x v="3"/>
    <s v="Very High"/>
    <x v="0"/>
    <n v="73"/>
    <s v="High"/>
    <x v="0"/>
    <s v="Sales Executive"/>
    <s v="Very High"/>
    <s v="Divorced"/>
    <n v="7547"/>
    <n v="7143"/>
    <n v="4"/>
    <s v="No"/>
    <n v="12"/>
    <s v="Excellent"/>
    <s v="Very High"/>
    <n v="3"/>
    <n v="13"/>
    <n v="3"/>
    <s v="Better"/>
    <x v="5"/>
    <s v="5-10"/>
    <n v="7"/>
    <n v="1"/>
    <n v="7"/>
    <n v="322"/>
  </r>
  <r>
    <n v="32"/>
    <x v="2"/>
    <x v="1"/>
    <s v="Travel_Rarely"/>
    <n v="1018"/>
    <x v="0"/>
    <n v="2"/>
    <s v="Master"/>
    <x v="2"/>
    <s v="Low"/>
    <x v="1"/>
    <n v="74"/>
    <s v="Very High"/>
    <x v="0"/>
    <s v="Research Scientist"/>
    <s v="Very High"/>
    <s v="Single"/>
    <n v="5055"/>
    <n v="10557"/>
    <n v="7"/>
    <s v="No"/>
    <n v="16"/>
    <s v="Excellent"/>
    <s v="High"/>
    <n v="0"/>
    <n v="10"/>
    <n v="0"/>
    <s v="Good"/>
    <x v="5"/>
    <s v="5-10"/>
    <n v="7"/>
    <n v="0"/>
    <n v="7"/>
    <n v="323"/>
  </r>
  <r>
    <n v="28"/>
    <x v="2"/>
    <x v="0"/>
    <s v="Travel_Rarely"/>
    <n v="1157"/>
    <x v="0"/>
    <n v="2"/>
    <s v="Master"/>
    <x v="2"/>
    <s v="Low"/>
    <x v="0"/>
    <n v="84"/>
    <s v="Low"/>
    <x v="1"/>
    <s v="Research Scientist"/>
    <s v="Very High"/>
    <s v="Married"/>
    <n v="3464"/>
    <n v="24737"/>
    <n v="5"/>
    <s v="Yes"/>
    <n v="13"/>
    <s v="Excellent"/>
    <s v="Very High"/>
    <n v="0"/>
    <n v="5"/>
    <n v="4"/>
    <s v="Good"/>
    <x v="11"/>
    <s v="0-5"/>
    <n v="2"/>
    <n v="2"/>
    <n v="2"/>
    <n v="324"/>
  </r>
  <r>
    <n v="30"/>
    <x v="2"/>
    <x v="1"/>
    <s v="Travel_Rarely"/>
    <n v="1275"/>
    <x v="0"/>
    <n v="28"/>
    <s v="College"/>
    <x v="2"/>
    <s v="Very High"/>
    <x v="1"/>
    <n v="64"/>
    <s v="High"/>
    <x v="0"/>
    <s v="Research Scientist"/>
    <s v="Very High"/>
    <s v="Married"/>
    <n v="5775"/>
    <n v="11934"/>
    <n v="1"/>
    <s v="No"/>
    <n v="13"/>
    <s v="Excellent"/>
    <s v="Very High"/>
    <n v="2"/>
    <n v="11"/>
    <n v="2"/>
    <s v="Better"/>
    <x v="1"/>
    <s v="5-10"/>
    <n v="8"/>
    <n v="1"/>
    <n v="9"/>
    <n v="325"/>
  </r>
  <r>
    <n v="31"/>
    <x v="2"/>
    <x v="1"/>
    <s v="Travel_Frequently"/>
    <n v="798"/>
    <x v="0"/>
    <n v="7"/>
    <s v="College"/>
    <x v="0"/>
    <s v="High"/>
    <x v="1"/>
    <n v="48"/>
    <s v="Medium"/>
    <x v="2"/>
    <s v="Manufacturing Director"/>
    <s v="High"/>
    <s v="Married"/>
    <n v="8943"/>
    <n v="14034"/>
    <n v="1"/>
    <s v="No"/>
    <n v="24"/>
    <s v="Outstanding"/>
    <s v="Low"/>
    <n v="1"/>
    <n v="10"/>
    <n v="2"/>
    <s v="Better"/>
    <x v="1"/>
    <s v="5-10"/>
    <n v="9"/>
    <n v="8"/>
    <n v="9"/>
    <n v="326"/>
  </r>
  <r>
    <n v="39"/>
    <x v="0"/>
    <x v="1"/>
    <s v="Travel_Frequently"/>
    <n v="672"/>
    <x v="0"/>
    <n v="7"/>
    <s v="College"/>
    <x v="2"/>
    <s v="High"/>
    <x v="0"/>
    <n v="54"/>
    <s v="Medium"/>
    <x v="4"/>
    <s v="Manager"/>
    <s v="Very High"/>
    <s v="Married"/>
    <n v="19272"/>
    <n v="21141"/>
    <n v="1"/>
    <s v="No"/>
    <n v="15"/>
    <s v="Excellent"/>
    <s v="Low"/>
    <n v="1"/>
    <n v="21"/>
    <n v="2"/>
    <s v="Better"/>
    <x v="17"/>
    <s v="10-40"/>
    <n v="9"/>
    <n v="13"/>
    <n v="3"/>
    <n v="327"/>
  </r>
  <r>
    <n v="39"/>
    <x v="0"/>
    <x v="0"/>
    <s v="Travel_Rarely"/>
    <n v="1162"/>
    <x v="1"/>
    <n v="3"/>
    <s v="College"/>
    <x v="2"/>
    <s v="Very High"/>
    <x v="1"/>
    <n v="41"/>
    <s v="High"/>
    <x v="0"/>
    <s v="Sales Executive"/>
    <s v="High"/>
    <s v="Married"/>
    <n v="5238"/>
    <n v="17778"/>
    <n v="4"/>
    <s v="Yes"/>
    <n v="18"/>
    <s v="Excellent"/>
    <s v="Low"/>
    <n v="0"/>
    <n v="12"/>
    <n v="3"/>
    <s v="Good"/>
    <x v="6"/>
    <s v="0-5"/>
    <n v="0"/>
    <n v="0"/>
    <n v="0"/>
    <n v="328"/>
  </r>
  <r>
    <n v="33"/>
    <x v="2"/>
    <x v="1"/>
    <s v="Travel_Frequently"/>
    <n v="508"/>
    <x v="1"/>
    <n v="10"/>
    <s v="Bachelor"/>
    <x v="3"/>
    <s v="Medium"/>
    <x v="0"/>
    <n v="46"/>
    <s v="Medium"/>
    <x v="0"/>
    <s v="Sales Executive"/>
    <s v="Very High"/>
    <s v="Single"/>
    <n v="4682"/>
    <n v="4317"/>
    <n v="3"/>
    <s v="No"/>
    <n v="14"/>
    <s v="Excellent"/>
    <s v="High"/>
    <n v="0"/>
    <n v="9"/>
    <n v="6"/>
    <s v="Good"/>
    <x v="5"/>
    <s v="5-10"/>
    <n v="7"/>
    <n v="0"/>
    <n v="1"/>
    <n v="329"/>
  </r>
  <r>
    <n v="47"/>
    <x v="1"/>
    <x v="1"/>
    <s v="Travel_Rarely"/>
    <n v="1482"/>
    <x v="0"/>
    <n v="5"/>
    <s v="Doctor"/>
    <x v="0"/>
    <s v="Very High"/>
    <x v="0"/>
    <n v="42"/>
    <s v="High"/>
    <x v="4"/>
    <s v="Research Director"/>
    <s v="High"/>
    <s v="Married"/>
    <n v="18300"/>
    <n v="16375"/>
    <n v="4"/>
    <s v="No"/>
    <n v="11"/>
    <s v="Excellent"/>
    <s v="Medium"/>
    <n v="1"/>
    <n v="21"/>
    <n v="2"/>
    <s v="Better"/>
    <x v="11"/>
    <s v="0-5"/>
    <n v="2"/>
    <n v="1"/>
    <n v="1"/>
    <n v="330"/>
  </r>
  <r>
    <n v="43"/>
    <x v="0"/>
    <x v="1"/>
    <s v="Travel_Frequently"/>
    <n v="559"/>
    <x v="0"/>
    <n v="10"/>
    <s v="Master"/>
    <x v="0"/>
    <s v="High"/>
    <x v="1"/>
    <n v="82"/>
    <s v="Medium"/>
    <x v="0"/>
    <s v="Laboratory Technician"/>
    <s v="High"/>
    <s v="Divorced"/>
    <n v="5257"/>
    <n v="6227"/>
    <n v="1"/>
    <s v="No"/>
    <n v="11"/>
    <s v="Excellent"/>
    <s v="Medium"/>
    <n v="1"/>
    <n v="9"/>
    <n v="3"/>
    <s v="Best"/>
    <x v="7"/>
    <s v="5-10"/>
    <n v="7"/>
    <n v="0"/>
    <n v="0"/>
    <n v="331"/>
  </r>
  <r>
    <n v="27"/>
    <x v="2"/>
    <x v="1"/>
    <s v="Non-Travel"/>
    <n v="210"/>
    <x v="1"/>
    <n v="1"/>
    <s v="Below College"/>
    <x v="3"/>
    <s v="High"/>
    <x v="0"/>
    <n v="73"/>
    <s v="High"/>
    <x v="0"/>
    <s v="Sales Executive"/>
    <s v="Medium"/>
    <s v="Married"/>
    <n v="6349"/>
    <n v="22107"/>
    <n v="0"/>
    <s v="Yes"/>
    <n v="13"/>
    <s v="Excellent"/>
    <s v="Very High"/>
    <n v="1"/>
    <n v="6"/>
    <n v="0"/>
    <s v="Better"/>
    <x v="8"/>
    <s v="0-5"/>
    <n v="4"/>
    <n v="1"/>
    <n v="4"/>
    <n v="332"/>
  </r>
  <r>
    <n v="54"/>
    <x v="1"/>
    <x v="1"/>
    <s v="Travel_Frequently"/>
    <n v="928"/>
    <x v="0"/>
    <n v="20"/>
    <s v="Master"/>
    <x v="0"/>
    <s v="Very High"/>
    <x v="1"/>
    <n v="31"/>
    <s v="High"/>
    <x v="0"/>
    <s v="Research Scientist"/>
    <s v="High"/>
    <s v="Single"/>
    <n v="4869"/>
    <n v="16885"/>
    <n v="3"/>
    <s v="No"/>
    <n v="12"/>
    <s v="Excellent"/>
    <s v="Very High"/>
    <n v="0"/>
    <n v="20"/>
    <n v="4"/>
    <s v="Good"/>
    <x v="9"/>
    <s v="0-5"/>
    <n v="3"/>
    <n v="0"/>
    <n v="3"/>
    <n v="333"/>
  </r>
  <r>
    <n v="43"/>
    <x v="0"/>
    <x v="1"/>
    <s v="Travel_Rarely"/>
    <n v="1001"/>
    <x v="0"/>
    <n v="7"/>
    <s v="Bachelor"/>
    <x v="0"/>
    <s v="High"/>
    <x v="1"/>
    <n v="43"/>
    <s v="High"/>
    <x v="2"/>
    <s v="Healthcare Representative"/>
    <s v="Low"/>
    <s v="Married"/>
    <n v="9985"/>
    <n v="9262"/>
    <n v="8"/>
    <s v="No"/>
    <n v="16"/>
    <s v="Excellent"/>
    <s v="Low"/>
    <n v="1"/>
    <n v="10"/>
    <n v="1"/>
    <s v="Good"/>
    <x v="6"/>
    <s v="0-5"/>
    <n v="0"/>
    <n v="0"/>
    <n v="0"/>
    <n v="334"/>
  </r>
  <r>
    <n v="45"/>
    <x v="0"/>
    <x v="1"/>
    <s v="Travel_Rarely"/>
    <n v="549"/>
    <x v="0"/>
    <n v="8"/>
    <s v="Master"/>
    <x v="1"/>
    <s v="Very High"/>
    <x v="0"/>
    <n v="75"/>
    <s v="High"/>
    <x v="0"/>
    <s v="Research Scientist"/>
    <s v="Very High"/>
    <s v="Married"/>
    <n v="3697"/>
    <n v="9278"/>
    <n v="9"/>
    <s v="No"/>
    <n v="14"/>
    <s v="Excellent"/>
    <s v="Low"/>
    <n v="2"/>
    <n v="12"/>
    <n v="3"/>
    <s v="Better"/>
    <x v="1"/>
    <s v="5-10"/>
    <n v="9"/>
    <n v="9"/>
    <n v="8"/>
    <n v="335"/>
  </r>
  <r>
    <n v="40"/>
    <x v="0"/>
    <x v="1"/>
    <s v="Travel_Rarely"/>
    <n v="1124"/>
    <x v="1"/>
    <n v="1"/>
    <s v="College"/>
    <x v="2"/>
    <s v="Medium"/>
    <x v="0"/>
    <n v="57"/>
    <s v="Low"/>
    <x v="0"/>
    <s v="Sales Executive"/>
    <s v="Very High"/>
    <s v="Married"/>
    <n v="7457"/>
    <n v="13273"/>
    <n v="2"/>
    <s v="Yes"/>
    <n v="22"/>
    <s v="Outstanding"/>
    <s v="High"/>
    <n v="3"/>
    <n v="6"/>
    <n v="2"/>
    <s v="Good"/>
    <x v="9"/>
    <s v="0-5"/>
    <n v="3"/>
    <n v="0"/>
    <n v="2"/>
    <n v="336"/>
  </r>
  <r>
    <n v="29"/>
    <x v="2"/>
    <x v="0"/>
    <s v="Travel_Rarely"/>
    <n v="318"/>
    <x v="0"/>
    <n v="8"/>
    <s v="Master"/>
    <x v="1"/>
    <s v="Medium"/>
    <x v="0"/>
    <n v="77"/>
    <s v="Low"/>
    <x v="1"/>
    <s v="Laboratory Technician"/>
    <s v="Low"/>
    <s v="Married"/>
    <n v="2119"/>
    <n v="4759"/>
    <n v="1"/>
    <s v="Yes"/>
    <n v="11"/>
    <s v="Excellent"/>
    <s v="Very High"/>
    <n v="0"/>
    <n v="7"/>
    <n v="4"/>
    <s v="Good"/>
    <x v="5"/>
    <s v="5-10"/>
    <n v="7"/>
    <n v="0"/>
    <n v="7"/>
    <n v="337"/>
  </r>
  <r>
    <n v="29"/>
    <x v="2"/>
    <x v="1"/>
    <s v="Travel_Rarely"/>
    <n v="738"/>
    <x v="0"/>
    <n v="9"/>
    <s v="Doctor"/>
    <x v="1"/>
    <s v="Medium"/>
    <x v="0"/>
    <n v="30"/>
    <s v="Medium"/>
    <x v="1"/>
    <s v="Laboratory Technician"/>
    <s v="Very High"/>
    <s v="Single"/>
    <n v="3983"/>
    <n v="7621"/>
    <n v="0"/>
    <s v="No"/>
    <n v="17"/>
    <s v="Excellent"/>
    <s v="High"/>
    <n v="0"/>
    <n v="4"/>
    <n v="2"/>
    <s v="Better"/>
    <x v="11"/>
    <s v="0-5"/>
    <n v="2"/>
    <n v="2"/>
    <n v="2"/>
    <n v="338"/>
  </r>
  <r>
    <n v="30"/>
    <x v="2"/>
    <x v="1"/>
    <s v="Travel_Rarely"/>
    <n v="570"/>
    <x v="1"/>
    <n v="5"/>
    <s v="Bachelor"/>
    <x v="3"/>
    <s v="Very High"/>
    <x v="1"/>
    <n v="30"/>
    <s v="Medium"/>
    <x v="0"/>
    <s v="Sales Executive"/>
    <s v="High"/>
    <s v="Divorced"/>
    <n v="6118"/>
    <n v="5431"/>
    <n v="1"/>
    <s v="No"/>
    <n v="13"/>
    <s v="Excellent"/>
    <s v="High"/>
    <n v="3"/>
    <n v="10"/>
    <n v="2"/>
    <s v="Better"/>
    <x v="1"/>
    <s v="5-10"/>
    <n v="9"/>
    <n v="1"/>
    <n v="2"/>
    <n v="339"/>
  </r>
  <r>
    <n v="27"/>
    <x v="2"/>
    <x v="1"/>
    <s v="Travel_Rarely"/>
    <n v="1130"/>
    <x v="1"/>
    <n v="8"/>
    <s v="Master"/>
    <x v="3"/>
    <s v="Medium"/>
    <x v="1"/>
    <n v="56"/>
    <s v="High"/>
    <x v="0"/>
    <s v="Sales Executive"/>
    <s v="Medium"/>
    <s v="Married"/>
    <n v="6214"/>
    <n v="3415"/>
    <n v="1"/>
    <s v="No"/>
    <n v="18"/>
    <s v="Excellent"/>
    <s v="Low"/>
    <n v="1"/>
    <n v="8"/>
    <n v="3"/>
    <s v="Better"/>
    <x v="3"/>
    <s v="5-10"/>
    <n v="7"/>
    <n v="0"/>
    <n v="7"/>
    <n v="340"/>
  </r>
  <r>
    <n v="37"/>
    <x v="0"/>
    <x v="1"/>
    <s v="Travel_Rarely"/>
    <n v="1192"/>
    <x v="0"/>
    <n v="5"/>
    <s v="College"/>
    <x v="2"/>
    <s v="Very High"/>
    <x v="0"/>
    <n v="61"/>
    <s v="High"/>
    <x v="0"/>
    <s v="Manufacturing Director"/>
    <s v="Very High"/>
    <s v="Divorced"/>
    <n v="6347"/>
    <n v="23177"/>
    <n v="7"/>
    <s v="No"/>
    <n v="16"/>
    <s v="Excellent"/>
    <s v="High"/>
    <n v="2"/>
    <n v="8"/>
    <n v="2"/>
    <s v="Good"/>
    <x v="0"/>
    <s v="5-10"/>
    <n v="2"/>
    <n v="0"/>
    <n v="4"/>
    <n v="341"/>
  </r>
  <r>
    <n v="38"/>
    <x v="0"/>
    <x v="1"/>
    <s v="Travel_Rarely"/>
    <n v="343"/>
    <x v="0"/>
    <n v="15"/>
    <s v="College"/>
    <x v="0"/>
    <s v="High"/>
    <x v="0"/>
    <n v="92"/>
    <s v="Medium"/>
    <x v="2"/>
    <s v="Research Director"/>
    <s v="Very High"/>
    <s v="Divorced"/>
    <n v="11510"/>
    <n v="15682"/>
    <n v="0"/>
    <s v="Yes"/>
    <n v="14"/>
    <s v="Excellent"/>
    <s v="Medium"/>
    <n v="1"/>
    <n v="12"/>
    <n v="3"/>
    <s v="Better"/>
    <x v="19"/>
    <s v="10-40"/>
    <n v="10"/>
    <n v="2"/>
    <n v="9"/>
    <n v="342"/>
  </r>
  <r>
    <n v="31"/>
    <x v="2"/>
    <x v="1"/>
    <s v="Travel_Rarely"/>
    <n v="1232"/>
    <x v="0"/>
    <n v="7"/>
    <s v="Master"/>
    <x v="2"/>
    <s v="High"/>
    <x v="1"/>
    <n v="39"/>
    <s v="High"/>
    <x v="2"/>
    <s v="Manufacturing Director"/>
    <s v="Very High"/>
    <s v="Single"/>
    <n v="7143"/>
    <n v="25713"/>
    <n v="1"/>
    <s v="Yes"/>
    <n v="14"/>
    <s v="Excellent"/>
    <s v="High"/>
    <n v="0"/>
    <n v="11"/>
    <n v="2"/>
    <s v="Good"/>
    <x v="19"/>
    <s v="10-40"/>
    <n v="9"/>
    <n v="4"/>
    <n v="10"/>
    <n v="343"/>
  </r>
  <r>
    <n v="29"/>
    <x v="2"/>
    <x v="1"/>
    <s v="Travel_Rarely"/>
    <n v="144"/>
    <x v="1"/>
    <n v="10"/>
    <s v="Below College"/>
    <x v="3"/>
    <s v="Very High"/>
    <x v="1"/>
    <n v="39"/>
    <s v="Medium"/>
    <x v="0"/>
    <s v="Sales Executive"/>
    <s v="Medium"/>
    <s v="Divorced"/>
    <n v="8268"/>
    <n v="11866"/>
    <n v="1"/>
    <s v="Yes"/>
    <n v="14"/>
    <s v="Excellent"/>
    <s v="Low"/>
    <n v="2"/>
    <n v="7"/>
    <n v="2"/>
    <s v="Better"/>
    <x v="5"/>
    <s v="5-10"/>
    <n v="7"/>
    <n v="1"/>
    <n v="7"/>
    <n v="344"/>
  </r>
  <r>
    <n v="35"/>
    <x v="2"/>
    <x v="1"/>
    <s v="Travel_Rarely"/>
    <n v="1296"/>
    <x v="0"/>
    <n v="5"/>
    <s v="Master"/>
    <x v="4"/>
    <s v="High"/>
    <x v="0"/>
    <n v="62"/>
    <s v="High"/>
    <x v="2"/>
    <s v="Manufacturing Director"/>
    <s v="Medium"/>
    <s v="Single"/>
    <n v="8095"/>
    <n v="18264"/>
    <n v="0"/>
    <s v="No"/>
    <n v="13"/>
    <s v="Excellent"/>
    <s v="Very High"/>
    <n v="0"/>
    <n v="17"/>
    <n v="5"/>
    <s v="Better"/>
    <x v="22"/>
    <s v="10-40"/>
    <n v="6"/>
    <n v="0"/>
    <n v="13"/>
    <n v="345"/>
  </r>
  <r>
    <n v="23"/>
    <x v="4"/>
    <x v="1"/>
    <s v="Travel_Rarely"/>
    <n v="1309"/>
    <x v="0"/>
    <n v="26"/>
    <s v="Below College"/>
    <x v="0"/>
    <s v="High"/>
    <x v="0"/>
    <n v="83"/>
    <s v="High"/>
    <x v="1"/>
    <s v="Research Scientist"/>
    <s v="Very High"/>
    <s v="Divorced"/>
    <n v="2904"/>
    <n v="16092"/>
    <n v="1"/>
    <s v="No"/>
    <n v="12"/>
    <s v="Excellent"/>
    <s v="High"/>
    <n v="2"/>
    <n v="4"/>
    <n v="2"/>
    <s v="Good"/>
    <x v="9"/>
    <s v="0-5"/>
    <n v="2"/>
    <n v="0"/>
    <n v="2"/>
    <n v="346"/>
  </r>
  <r>
    <n v="41"/>
    <x v="0"/>
    <x v="1"/>
    <s v="Travel_Rarely"/>
    <n v="483"/>
    <x v="0"/>
    <n v="6"/>
    <s v="Bachelor"/>
    <x v="2"/>
    <s v="Very High"/>
    <x v="0"/>
    <n v="95"/>
    <s v="Medium"/>
    <x v="0"/>
    <s v="Manufacturing Director"/>
    <s v="Medium"/>
    <s v="Single"/>
    <n v="6032"/>
    <n v="10110"/>
    <n v="6"/>
    <s v="Yes"/>
    <n v="15"/>
    <s v="Excellent"/>
    <s v="Very High"/>
    <n v="0"/>
    <n v="8"/>
    <n v="3"/>
    <s v="Better"/>
    <x v="8"/>
    <s v="0-5"/>
    <n v="4"/>
    <n v="1"/>
    <n v="2"/>
    <n v="347"/>
  </r>
  <r>
    <n v="47"/>
    <x v="1"/>
    <x v="1"/>
    <s v="Travel_Frequently"/>
    <n v="1309"/>
    <x v="1"/>
    <n v="4"/>
    <s v="Below College"/>
    <x v="2"/>
    <s v="Medium"/>
    <x v="0"/>
    <n v="99"/>
    <s v="High"/>
    <x v="0"/>
    <s v="Sales Representative"/>
    <s v="High"/>
    <s v="Single"/>
    <n v="2976"/>
    <n v="25751"/>
    <n v="3"/>
    <s v="No"/>
    <n v="19"/>
    <s v="Excellent"/>
    <s v="Low"/>
    <n v="0"/>
    <n v="5"/>
    <n v="3"/>
    <s v="Better"/>
    <x v="2"/>
    <s v="0-5"/>
    <n v="0"/>
    <n v="0"/>
    <n v="0"/>
    <n v="348"/>
  </r>
  <r>
    <n v="42"/>
    <x v="0"/>
    <x v="1"/>
    <s v="Travel_Rarely"/>
    <n v="810"/>
    <x v="0"/>
    <n v="23"/>
    <s v="Doctor"/>
    <x v="0"/>
    <s v="Low"/>
    <x v="1"/>
    <n v="44"/>
    <s v="High"/>
    <x v="3"/>
    <s v="Research Director"/>
    <s v="Very High"/>
    <s v="Single"/>
    <n v="15992"/>
    <n v="15901"/>
    <n v="2"/>
    <s v="No"/>
    <n v="14"/>
    <s v="Excellent"/>
    <s v="Medium"/>
    <n v="0"/>
    <n v="16"/>
    <n v="2"/>
    <s v="Better"/>
    <x v="6"/>
    <s v="0-5"/>
    <n v="0"/>
    <n v="0"/>
    <n v="0"/>
    <n v="349"/>
  </r>
  <r>
    <n v="29"/>
    <x v="2"/>
    <x v="1"/>
    <s v="Non-Travel"/>
    <n v="746"/>
    <x v="1"/>
    <n v="2"/>
    <s v="Bachelor"/>
    <x v="0"/>
    <s v="Very High"/>
    <x v="0"/>
    <n v="61"/>
    <s v="High"/>
    <x v="0"/>
    <s v="Sales Executive"/>
    <s v="High"/>
    <s v="Married"/>
    <n v="4649"/>
    <n v="16928"/>
    <n v="1"/>
    <s v="No"/>
    <n v="14"/>
    <s v="Excellent"/>
    <s v="Low"/>
    <n v="1"/>
    <n v="4"/>
    <n v="3"/>
    <s v="Good"/>
    <x v="9"/>
    <s v="0-5"/>
    <n v="3"/>
    <n v="0"/>
    <n v="2"/>
    <n v="350"/>
  </r>
  <r>
    <n v="42"/>
    <x v="0"/>
    <x v="1"/>
    <s v="Travel_Rarely"/>
    <n v="544"/>
    <x v="2"/>
    <n v="2"/>
    <s v="Below College"/>
    <x v="4"/>
    <s v="High"/>
    <x v="0"/>
    <n v="52"/>
    <s v="High"/>
    <x v="1"/>
    <s v="Human Resources"/>
    <s v="High"/>
    <s v="Divorced"/>
    <n v="2696"/>
    <n v="24017"/>
    <n v="0"/>
    <s v="Yes"/>
    <n v="11"/>
    <s v="Excellent"/>
    <s v="High"/>
    <n v="1"/>
    <n v="4"/>
    <n v="5"/>
    <s v="Better"/>
    <x v="11"/>
    <s v="0-5"/>
    <n v="2"/>
    <n v="1"/>
    <n v="0"/>
    <n v="351"/>
  </r>
  <r>
    <n v="32"/>
    <x v="2"/>
    <x v="1"/>
    <s v="Travel_Rarely"/>
    <n v="1062"/>
    <x v="0"/>
    <n v="2"/>
    <s v="Bachelor"/>
    <x v="2"/>
    <s v="High"/>
    <x v="1"/>
    <n v="75"/>
    <s v="High"/>
    <x v="1"/>
    <s v="Laboratory Technician"/>
    <s v="Medium"/>
    <s v="Married"/>
    <n v="2370"/>
    <n v="3956"/>
    <n v="1"/>
    <s v="No"/>
    <n v="13"/>
    <s v="Excellent"/>
    <s v="High"/>
    <n v="1"/>
    <n v="8"/>
    <n v="4"/>
    <s v="Better"/>
    <x v="3"/>
    <s v="5-10"/>
    <n v="0"/>
    <n v="0"/>
    <n v="7"/>
    <n v="352"/>
  </r>
  <r>
    <n v="48"/>
    <x v="1"/>
    <x v="1"/>
    <s v="Travel_Rarely"/>
    <n v="530"/>
    <x v="1"/>
    <n v="29"/>
    <s v="Below College"/>
    <x v="2"/>
    <s v="Low"/>
    <x v="1"/>
    <n v="91"/>
    <s v="High"/>
    <x v="2"/>
    <s v="Manager"/>
    <s v="High"/>
    <s v="Married"/>
    <n v="12504"/>
    <n v="23978"/>
    <n v="3"/>
    <s v="No"/>
    <n v="21"/>
    <s v="Outstanding"/>
    <s v="Medium"/>
    <n v="1"/>
    <n v="15"/>
    <n v="3"/>
    <s v="Bad"/>
    <x v="2"/>
    <s v="0-5"/>
    <n v="0"/>
    <n v="0"/>
    <n v="0"/>
    <n v="353"/>
  </r>
  <r>
    <n v="37"/>
    <x v="0"/>
    <x v="1"/>
    <s v="Travel_Rarely"/>
    <n v="1319"/>
    <x v="0"/>
    <n v="6"/>
    <s v="Bachelor"/>
    <x v="2"/>
    <s v="High"/>
    <x v="0"/>
    <n v="51"/>
    <s v="Very High"/>
    <x v="0"/>
    <s v="Research Scientist"/>
    <s v="Low"/>
    <s v="Divorced"/>
    <n v="5974"/>
    <n v="17001"/>
    <n v="4"/>
    <s v="Yes"/>
    <n v="13"/>
    <s v="Excellent"/>
    <s v="Low"/>
    <n v="2"/>
    <n v="13"/>
    <n v="2"/>
    <s v="Better"/>
    <x v="5"/>
    <s v="5-10"/>
    <n v="7"/>
    <n v="6"/>
    <n v="7"/>
    <n v="354"/>
  </r>
  <r>
    <n v="30"/>
    <x v="2"/>
    <x v="1"/>
    <s v="Non-Travel"/>
    <n v="641"/>
    <x v="1"/>
    <n v="25"/>
    <s v="College"/>
    <x v="4"/>
    <s v="Very High"/>
    <x v="1"/>
    <n v="85"/>
    <s v="High"/>
    <x v="0"/>
    <s v="Sales Executive"/>
    <s v="High"/>
    <s v="Married"/>
    <n v="4736"/>
    <n v="6069"/>
    <n v="7"/>
    <s v="Yes"/>
    <n v="12"/>
    <s v="Excellent"/>
    <s v="Medium"/>
    <n v="1"/>
    <n v="4"/>
    <n v="2"/>
    <s v="Best"/>
    <x v="4"/>
    <s v="0-5"/>
    <n v="2"/>
    <n v="2"/>
    <n v="2"/>
    <n v="355"/>
  </r>
  <r>
    <n v="26"/>
    <x v="2"/>
    <x v="1"/>
    <s v="Travel_Rarely"/>
    <n v="933"/>
    <x v="1"/>
    <n v="1"/>
    <s v="Bachelor"/>
    <x v="0"/>
    <s v="High"/>
    <x v="0"/>
    <n v="57"/>
    <s v="High"/>
    <x v="0"/>
    <s v="Sales Executive"/>
    <s v="High"/>
    <s v="Married"/>
    <n v="5296"/>
    <n v="20156"/>
    <n v="1"/>
    <s v="No"/>
    <n v="17"/>
    <s v="Excellent"/>
    <s v="Medium"/>
    <n v="1"/>
    <n v="8"/>
    <n v="3"/>
    <s v="Better"/>
    <x v="3"/>
    <s v="5-10"/>
    <n v="7"/>
    <n v="7"/>
    <n v="7"/>
    <n v="356"/>
  </r>
  <r>
    <n v="42"/>
    <x v="0"/>
    <x v="1"/>
    <s v="Travel_Rarely"/>
    <n v="1332"/>
    <x v="0"/>
    <n v="2"/>
    <s v="Master"/>
    <x v="1"/>
    <s v="Low"/>
    <x v="0"/>
    <n v="98"/>
    <s v="Medium"/>
    <x v="0"/>
    <s v="Healthcare Representative"/>
    <s v="Very High"/>
    <s v="Single"/>
    <n v="6781"/>
    <n v="17078"/>
    <n v="3"/>
    <s v="No"/>
    <n v="23"/>
    <s v="Outstanding"/>
    <s v="Medium"/>
    <n v="0"/>
    <n v="14"/>
    <n v="6"/>
    <s v="Better"/>
    <x v="6"/>
    <s v="0-5"/>
    <n v="0"/>
    <n v="0"/>
    <n v="0"/>
    <n v="357"/>
  </r>
  <r>
    <n v="21"/>
    <x v="4"/>
    <x v="0"/>
    <s v="Travel_Frequently"/>
    <n v="756"/>
    <x v="1"/>
    <n v="1"/>
    <s v="Below College"/>
    <x v="4"/>
    <s v="Low"/>
    <x v="1"/>
    <n v="99"/>
    <s v="Medium"/>
    <x v="1"/>
    <s v="Sales Representative"/>
    <s v="Medium"/>
    <s v="Single"/>
    <n v="2174"/>
    <n v="9150"/>
    <n v="1"/>
    <s v="Yes"/>
    <n v="11"/>
    <s v="Excellent"/>
    <s v="High"/>
    <n v="0"/>
    <n v="3"/>
    <n v="3"/>
    <s v="Better"/>
    <x v="11"/>
    <s v="0-5"/>
    <n v="2"/>
    <n v="1"/>
    <n v="2"/>
    <n v="358"/>
  </r>
  <r>
    <n v="36"/>
    <x v="0"/>
    <x v="1"/>
    <s v="Non-Travel"/>
    <n v="845"/>
    <x v="1"/>
    <n v="1"/>
    <s v="Doctor"/>
    <x v="2"/>
    <s v="Very High"/>
    <x v="1"/>
    <n v="45"/>
    <s v="High"/>
    <x v="0"/>
    <s v="Sales Executive"/>
    <s v="Very High"/>
    <s v="Single"/>
    <n v="6653"/>
    <n v="15276"/>
    <n v="4"/>
    <s v="No"/>
    <n v="15"/>
    <s v="Excellent"/>
    <s v="Medium"/>
    <n v="0"/>
    <n v="7"/>
    <n v="6"/>
    <s v="Better"/>
    <x v="6"/>
    <s v="0-5"/>
    <n v="0"/>
    <n v="0"/>
    <n v="0"/>
    <n v="359"/>
  </r>
  <r>
    <n v="36"/>
    <x v="0"/>
    <x v="1"/>
    <s v="Travel_Frequently"/>
    <n v="541"/>
    <x v="1"/>
    <n v="3"/>
    <s v="Master"/>
    <x v="2"/>
    <s v="Low"/>
    <x v="0"/>
    <n v="48"/>
    <s v="Medium"/>
    <x v="2"/>
    <s v="Sales Executive"/>
    <s v="Very High"/>
    <s v="Married"/>
    <n v="9699"/>
    <n v="7246"/>
    <n v="4"/>
    <s v="No"/>
    <n v="11"/>
    <s v="Excellent"/>
    <s v="Low"/>
    <n v="1"/>
    <n v="16"/>
    <n v="2"/>
    <s v="Better"/>
    <x v="20"/>
    <s v="10-40"/>
    <n v="9"/>
    <n v="1"/>
    <n v="12"/>
    <n v="360"/>
  </r>
  <r>
    <n v="57"/>
    <x v="3"/>
    <x v="1"/>
    <s v="Travel_Rarely"/>
    <n v="593"/>
    <x v="0"/>
    <n v="1"/>
    <s v="Master"/>
    <x v="2"/>
    <s v="Very High"/>
    <x v="0"/>
    <n v="88"/>
    <s v="High"/>
    <x v="0"/>
    <s v="Healthcare Representative"/>
    <s v="High"/>
    <s v="Married"/>
    <n v="6755"/>
    <n v="2967"/>
    <n v="2"/>
    <s v="No"/>
    <n v="11"/>
    <s v="Excellent"/>
    <s v="High"/>
    <n v="0"/>
    <n v="15"/>
    <n v="2"/>
    <s v="Better"/>
    <x v="11"/>
    <s v="0-5"/>
    <n v="2"/>
    <n v="1"/>
    <n v="2"/>
    <n v="361"/>
  </r>
  <r>
    <n v="40"/>
    <x v="0"/>
    <x v="1"/>
    <s v="Travel_Rarely"/>
    <n v="1171"/>
    <x v="0"/>
    <n v="10"/>
    <s v="Master"/>
    <x v="0"/>
    <s v="Very High"/>
    <x v="1"/>
    <n v="46"/>
    <s v="Very High"/>
    <x v="1"/>
    <s v="Laboratory Technician"/>
    <s v="High"/>
    <s v="Married"/>
    <n v="2213"/>
    <n v="22495"/>
    <n v="3"/>
    <s v="Yes"/>
    <n v="13"/>
    <s v="Excellent"/>
    <s v="High"/>
    <n v="1"/>
    <n v="10"/>
    <n v="3"/>
    <s v="Better"/>
    <x v="5"/>
    <s v="5-10"/>
    <n v="7"/>
    <n v="1"/>
    <n v="7"/>
    <n v="362"/>
  </r>
  <r>
    <n v="21"/>
    <x v="4"/>
    <x v="1"/>
    <s v="Non-Travel"/>
    <n v="895"/>
    <x v="1"/>
    <n v="9"/>
    <s v="College"/>
    <x v="2"/>
    <s v="Low"/>
    <x v="0"/>
    <n v="39"/>
    <s v="High"/>
    <x v="1"/>
    <s v="Sales Representative"/>
    <s v="Very High"/>
    <s v="Single"/>
    <n v="2610"/>
    <n v="2851"/>
    <n v="1"/>
    <s v="No"/>
    <n v="24"/>
    <s v="Outstanding"/>
    <s v="High"/>
    <n v="0"/>
    <n v="3"/>
    <n v="3"/>
    <s v="Good"/>
    <x v="11"/>
    <s v="0-5"/>
    <n v="2"/>
    <n v="2"/>
    <n v="2"/>
    <n v="363"/>
  </r>
  <r>
    <n v="33"/>
    <x v="2"/>
    <x v="0"/>
    <s v="Travel_Rarely"/>
    <n v="350"/>
    <x v="1"/>
    <n v="5"/>
    <s v="Bachelor"/>
    <x v="3"/>
    <s v="Very High"/>
    <x v="1"/>
    <n v="34"/>
    <s v="High"/>
    <x v="1"/>
    <s v="Sales Representative"/>
    <s v="High"/>
    <s v="Single"/>
    <n v="2851"/>
    <n v="9150"/>
    <n v="1"/>
    <s v="Yes"/>
    <n v="13"/>
    <s v="Excellent"/>
    <s v="Medium"/>
    <n v="0"/>
    <n v="1"/>
    <n v="2"/>
    <s v="Better"/>
    <x v="6"/>
    <s v="0-5"/>
    <n v="0"/>
    <n v="0"/>
    <n v="0"/>
    <n v="364"/>
  </r>
  <r>
    <n v="37"/>
    <x v="0"/>
    <x v="1"/>
    <s v="Travel_Rarely"/>
    <n v="921"/>
    <x v="0"/>
    <n v="10"/>
    <s v="Bachelor"/>
    <x v="2"/>
    <s v="High"/>
    <x v="1"/>
    <n v="98"/>
    <s v="High"/>
    <x v="1"/>
    <s v="Laboratory Technician"/>
    <s v="Low"/>
    <s v="Married"/>
    <n v="3452"/>
    <n v="17663"/>
    <n v="6"/>
    <s v="No"/>
    <n v="20"/>
    <s v="Outstanding"/>
    <s v="Medium"/>
    <n v="1"/>
    <n v="17"/>
    <n v="3"/>
    <s v="Better"/>
    <x v="8"/>
    <s v="0-5"/>
    <n v="4"/>
    <n v="0"/>
    <n v="3"/>
    <n v="365"/>
  </r>
  <r>
    <n v="46"/>
    <x v="1"/>
    <x v="1"/>
    <s v="Non-Travel"/>
    <n v="1144"/>
    <x v="0"/>
    <n v="7"/>
    <s v="Master"/>
    <x v="2"/>
    <s v="High"/>
    <x v="1"/>
    <n v="30"/>
    <s v="High"/>
    <x v="0"/>
    <s v="Manufacturing Director"/>
    <s v="High"/>
    <s v="Married"/>
    <n v="5258"/>
    <n v="16044"/>
    <n v="2"/>
    <s v="No"/>
    <n v="14"/>
    <s v="Excellent"/>
    <s v="High"/>
    <n v="0"/>
    <n v="7"/>
    <n v="2"/>
    <s v="Best"/>
    <x v="6"/>
    <s v="0-5"/>
    <n v="0"/>
    <n v="0"/>
    <n v="0"/>
    <n v="366"/>
  </r>
  <r>
    <n v="41"/>
    <x v="0"/>
    <x v="0"/>
    <s v="Travel_Frequently"/>
    <n v="143"/>
    <x v="1"/>
    <n v="4"/>
    <s v="Bachelor"/>
    <x v="3"/>
    <s v="Low"/>
    <x v="0"/>
    <n v="56"/>
    <s v="High"/>
    <x v="0"/>
    <s v="Sales Executive"/>
    <s v="Medium"/>
    <s v="Single"/>
    <n v="9355"/>
    <n v="9558"/>
    <n v="1"/>
    <s v="No"/>
    <n v="18"/>
    <s v="Excellent"/>
    <s v="High"/>
    <n v="0"/>
    <n v="8"/>
    <n v="5"/>
    <s v="Better"/>
    <x v="3"/>
    <s v="5-10"/>
    <n v="7"/>
    <n v="7"/>
    <n v="7"/>
    <n v="367"/>
  </r>
  <r>
    <n v="50"/>
    <x v="1"/>
    <x v="1"/>
    <s v="Travel_Rarely"/>
    <n v="1046"/>
    <x v="0"/>
    <n v="10"/>
    <s v="Bachelor"/>
    <x v="4"/>
    <s v="Very High"/>
    <x v="0"/>
    <n v="100"/>
    <s v="Medium"/>
    <x v="2"/>
    <s v="Healthcare Representative"/>
    <s v="Very High"/>
    <s v="Single"/>
    <n v="10496"/>
    <n v="2755"/>
    <n v="6"/>
    <s v="No"/>
    <n v="15"/>
    <s v="Excellent"/>
    <s v="Very High"/>
    <n v="0"/>
    <n v="20"/>
    <n v="2"/>
    <s v="Better"/>
    <x v="9"/>
    <s v="0-5"/>
    <n v="3"/>
    <n v="1"/>
    <n v="3"/>
    <n v="368"/>
  </r>
  <r>
    <n v="40"/>
    <x v="0"/>
    <x v="0"/>
    <s v="Travel_Rarely"/>
    <n v="575"/>
    <x v="1"/>
    <n v="22"/>
    <s v="College"/>
    <x v="3"/>
    <s v="High"/>
    <x v="0"/>
    <n v="68"/>
    <s v="Medium"/>
    <x v="0"/>
    <s v="Sales Executive"/>
    <s v="High"/>
    <s v="Married"/>
    <n v="6380"/>
    <n v="6110"/>
    <n v="2"/>
    <s v="Yes"/>
    <n v="12"/>
    <s v="Excellent"/>
    <s v="Low"/>
    <n v="2"/>
    <n v="8"/>
    <n v="6"/>
    <s v="Better"/>
    <x v="0"/>
    <s v="5-10"/>
    <n v="4"/>
    <n v="1"/>
    <n v="0"/>
    <n v="369"/>
  </r>
  <r>
    <n v="31"/>
    <x v="2"/>
    <x v="1"/>
    <s v="Travel_Rarely"/>
    <n v="408"/>
    <x v="0"/>
    <n v="9"/>
    <s v="Master"/>
    <x v="0"/>
    <s v="High"/>
    <x v="0"/>
    <n v="42"/>
    <s v="Medium"/>
    <x v="1"/>
    <s v="Research Scientist"/>
    <s v="Medium"/>
    <s v="Single"/>
    <n v="2657"/>
    <n v="7551"/>
    <n v="0"/>
    <s v="Yes"/>
    <n v="16"/>
    <s v="Excellent"/>
    <s v="Very High"/>
    <n v="0"/>
    <n v="3"/>
    <n v="5"/>
    <s v="Better"/>
    <x v="4"/>
    <s v="0-5"/>
    <n v="2"/>
    <n v="2"/>
    <n v="2"/>
    <n v="370"/>
  </r>
  <r>
    <n v="21"/>
    <x v="4"/>
    <x v="0"/>
    <s v="Travel_Rarely"/>
    <n v="156"/>
    <x v="1"/>
    <n v="12"/>
    <s v="Bachelor"/>
    <x v="0"/>
    <s v="High"/>
    <x v="1"/>
    <n v="90"/>
    <s v="Very High"/>
    <x v="1"/>
    <s v="Sales Representative"/>
    <s v="Medium"/>
    <s v="Single"/>
    <n v="2716"/>
    <n v="25422"/>
    <n v="1"/>
    <s v="No"/>
    <n v="15"/>
    <s v="Excellent"/>
    <s v="Very High"/>
    <n v="0"/>
    <n v="1"/>
    <n v="0"/>
    <s v="Better"/>
    <x v="6"/>
    <s v="0-5"/>
    <n v="0"/>
    <n v="0"/>
    <n v="0"/>
    <n v="371"/>
  </r>
  <r>
    <n v="29"/>
    <x v="2"/>
    <x v="1"/>
    <s v="Travel_Rarely"/>
    <n v="1283"/>
    <x v="0"/>
    <n v="23"/>
    <s v="Bachelor"/>
    <x v="0"/>
    <s v="Very High"/>
    <x v="0"/>
    <n v="54"/>
    <s v="High"/>
    <x v="1"/>
    <s v="Research Scientist"/>
    <s v="Very High"/>
    <s v="Single"/>
    <n v="2201"/>
    <n v="18168"/>
    <n v="9"/>
    <s v="No"/>
    <n v="16"/>
    <s v="Excellent"/>
    <s v="Very High"/>
    <n v="0"/>
    <n v="6"/>
    <n v="4"/>
    <s v="Better"/>
    <x v="11"/>
    <s v="0-5"/>
    <n v="2"/>
    <n v="1"/>
    <n v="2"/>
    <n v="372"/>
  </r>
  <r>
    <n v="35"/>
    <x v="2"/>
    <x v="1"/>
    <s v="Travel_Rarely"/>
    <n v="755"/>
    <x v="0"/>
    <n v="9"/>
    <s v="Master"/>
    <x v="0"/>
    <s v="High"/>
    <x v="0"/>
    <n v="97"/>
    <s v="Medium"/>
    <x v="0"/>
    <s v="Healthcare Representative"/>
    <s v="Medium"/>
    <s v="Single"/>
    <n v="6540"/>
    <n v="19394"/>
    <n v="9"/>
    <s v="No"/>
    <n v="19"/>
    <s v="Excellent"/>
    <s v="High"/>
    <n v="0"/>
    <n v="10"/>
    <n v="5"/>
    <s v="Better"/>
    <x v="6"/>
    <s v="0-5"/>
    <n v="1"/>
    <n v="0"/>
    <n v="0"/>
    <n v="373"/>
  </r>
  <r>
    <n v="27"/>
    <x v="2"/>
    <x v="1"/>
    <s v="Travel_Rarely"/>
    <n v="1469"/>
    <x v="0"/>
    <n v="1"/>
    <s v="College"/>
    <x v="2"/>
    <s v="Very High"/>
    <x v="0"/>
    <n v="82"/>
    <s v="High"/>
    <x v="1"/>
    <s v="Laboratory Technician"/>
    <s v="Medium"/>
    <s v="Divorced"/>
    <n v="3816"/>
    <n v="17881"/>
    <n v="1"/>
    <s v="No"/>
    <n v="11"/>
    <s v="Excellent"/>
    <s v="Medium"/>
    <n v="1"/>
    <n v="5"/>
    <n v="2"/>
    <s v="Better"/>
    <x v="8"/>
    <s v="0-5"/>
    <n v="2"/>
    <n v="0"/>
    <n v="4"/>
    <n v="374"/>
  </r>
  <r>
    <n v="28"/>
    <x v="2"/>
    <x v="1"/>
    <s v="Travel_Rarely"/>
    <n v="304"/>
    <x v="1"/>
    <n v="9"/>
    <s v="Master"/>
    <x v="0"/>
    <s v="Medium"/>
    <x v="0"/>
    <n v="92"/>
    <s v="High"/>
    <x v="0"/>
    <s v="Sales Executive"/>
    <s v="Very High"/>
    <s v="Single"/>
    <n v="5253"/>
    <n v="20750"/>
    <n v="1"/>
    <s v="No"/>
    <n v="16"/>
    <s v="Excellent"/>
    <s v="Very High"/>
    <n v="0"/>
    <n v="7"/>
    <n v="1"/>
    <s v="Better"/>
    <x v="5"/>
    <s v="5-10"/>
    <n v="5"/>
    <n v="0"/>
    <n v="7"/>
    <n v="375"/>
  </r>
  <r>
    <n v="49"/>
    <x v="1"/>
    <x v="1"/>
    <s v="Travel_Rarely"/>
    <n v="1261"/>
    <x v="0"/>
    <n v="7"/>
    <s v="Bachelor"/>
    <x v="1"/>
    <s v="Medium"/>
    <x v="0"/>
    <n v="31"/>
    <s v="Medium"/>
    <x v="2"/>
    <s v="Healthcare Representative"/>
    <s v="High"/>
    <s v="Single"/>
    <n v="10965"/>
    <n v="12066"/>
    <n v="8"/>
    <s v="No"/>
    <n v="24"/>
    <s v="Outstanding"/>
    <s v="High"/>
    <n v="0"/>
    <n v="26"/>
    <n v="2"/>
    <s v="Better"/>
    <x v="8"/>
    <s v="0-5"/>
    <n v="2"/>
    <n v="0"/>
    <n v="0"/>
    <n v="376"/>
  </r>
  <r>
    <n v="51"/>
    <x v="1"/>
    <x v="1"/>
    <s v="Travel_Rarely"/>
    <n v="1178"/>
    <x v="1"/>
    <n v="14"/>
    <s v="College"/>
    <x v="0"/>
    <s v="High"/>
    <x v="1"/>
    <n v="87"/>
    <s v="High"/>
    <x v="0"/>
    <s v="Sales Executive"/>
    <s v="Very High"/>
    <s v="Married"/>
    <n v="4936"/>
    <n v="14862"/>
    <n v="4"/>
    <s v="No"/>
    <n v="11"/>
    <s v="Excellent"/>
    <s v="High"/>
    <n v="1"/>
    <n v="18"/>
    <n v="2"/>
    <s v="Good"/>
    <x v="5"/>
    <s v="5-10"/>
    <n v="7"/>
    <n v="0"/>
    <n v="7"/>
    <n v="377"/>
  </r>
  <r>
    <n v="36"/>
    <x v="0"/>
    <x v="1"/>
    <s v="Travel_Rarely"/>
    <n v="329"/>
    <x v="0"/>
    <n v="2"/>
    <s v="Bachelor"/>
    <x v="0"/>
    <s v="Very High"/>
    <x v="1"/>
    <n v="96"/>
    <s v="High"/>
    <x v="1"/>
    <s v="Research Scientist"/>
    <s v="High"/>
    <s v="Married"/>
    <n v="2543"/>
    <n v="11868"/>
    <n v="4"/>
    <s v="No"/>
    <n v="13"/>
    <s v="Excellent"/>
    <s v="Medium"/>
    <n v="1"/>
    <n v="6"/>
    <n v="3"/>
    <s v="Better"/>
    <x v="4"/>
    <s v="0-5"/>
    <n v="2"/>
    <n v="2"/>
    <n v="2"/>
    <n v="378"/>
  </r>
  <r>
    <n v="34"/>
    <x v="2"/>
    <x v="0"/>
    <s v="Non-Travel"/>
    <n v="1362"/>
    <x v="1"/>
    <n v="19"/>
    <s v="Bachelor"/>
    <x v="3"/>
    <s v="Low"/>
    <x v="0"/>
    <n v="67"/>
    <s v="Very High"/>
    <x v="0"/>
    <s v="Sales Executive"/>
    <s v="Very High"/>
    <s v="Single"/>
    <n v="5304"/>
    <n v="4652"/>
    <n v="8"/>
    <s v="Yes"/>
    <n v="13"/>
    <s v="Excellent"/>
    <s v="Medium"/>
    <n v="0"/>
    <n v="9"/>
    <n v="3"/>
    <s v="Good"/>
    <x v="8"/>
    <s v="0-5"/>
    <n v="2"/>
    <n v="0"/>
    <n v="4"/>
    <n v="379"/>
  </r>
  <r>
    <n v="55"/>
    <x v="1"/>
    <x v="1"/>
    <s v="Travel_Rarely"/>
    <n v="1311"/>
    <x v="0"/>
    <n v="2"/>
    <s v="Bachelor"/>
    <x v="0"/>
    <s v="High"/>
    <x v="1"/>
    <n v="97"/>
    <s v="High"/>
    <x v="3"/>
    <s v="Manager"/>
    <s v="Very High"/>
    <s v="Single"/>
    <n v="16659"/>
    <n v="23258"/>
    <n v="2"/>
    <s v="Yes"/>
    <n v="13"/>
    <s v="Excellent"/>
    <s v="High"/>
    <n v="0"/>
    <n v="30"/>
    <n v="2"/>
    <s v="Better"/>
    <x v="8"/>
    <s v="0-5"/>
    <n v="4"/>
    <n v="1"/>
    <n v="2"/>
    <n v="380"/>
  </r>
  <r>
    <n v="24"/>
    <x v="4"/>
    <x v="1"/>
    <s v="Travel_Rarely"/>
    <n v="1371"/>
    <x v="1"/>
    <n v="10"/>
    <s v="Master"/>
    <x v="3"/>
    <s v="Very High"/>
    <x v="1"/>
    <n v="77"/>
    <s v="High"/>
    <x v="0"/>
    <s v="Sales Executive"/>
    <s v="High"/>
    <s v="Divorced"/>
    <n v="4260"/>
    <n v="5915"/>
    <n v="1"/>
    <s v="Yes"/>
    <n v="12"/>
    <s v="Excellent"/>
    <s v="Very High"/>
    <n v="1"/>
    <n v="5"/>
    <n v="2"/>
    <s v="Best"/>
    <x v="8"/>
    <s v="0-5"/>
    <n v="2"/>
    <n v="0"/>
    <n v="3"/>
    <n v="381"/>
  </r>
  <r>
    <n v="30"/>
    <x v="2"/>
    <x v="1"/>
    <s v="Travel_Rarely"/>
    <n v="202"/>
    <x v="1"/>
    <n v="2"/>
    <s v="Below College"/>
    <x v="4"/>
    <s v="High"/>
    <x v="0"/>
    <n v="72"/>
    <s v="High"/>
    <x v="1"/>
    <s v="Sales Representative"/>
    <s v="Medium"/>
    <s v="Married"/>
    <n v="2476"/>
    <n v="17434"/>
    <n v="1"/>
    <s v="No"/>
    <n v="18"/>
    <s v="Excellent"/>
    <s v="Low"/>
    <n v="1"/>
    <n v="1"/>
    <n v="3"/>
    <s v="Better"/>
    <x v="6"/>
    <s v="0-5"/>
    <n v="0"/>
    <n v="0"/>
    <n v="0"/>
    <n v="382"/>
  </r>
  <r>
    <n v="26"/>
    <x v="2"/>
    <x v="0"/>
    <s v="Travel_Frequently"/>
    <n v="575"/>
    <x v="0"/>
    <n v="3"/>
    <s v="Below College"/>
    <x v="4"/>
    <s v="High"/>
    <x v="0"/>
    <n v="73"/>
    <s v="High"/>
    <x v="1"/>
    <s v="Research Scientist"/>
    <s v="Low"/>
    <s v="Single"/>
    <n v="3102"/>
    <n v="6582"/>
    <n v="0"/>
    <s v="No"/>
    <n v="22"/>
    <s v="Outstanding"/>
    <s v="High"/>
    <n v="0"/>
    <n v="7"/>
    <n v="2"/>
    <s v="Better"/>
    <x v="0"/>
    <s v="5-10"/>
    <n v="4"/>
    <n v="0"/>
    <n v="4"/>
    <n v="383"/>
  </r>
  <r>
    <n v="22"/>
    <x v="4"/>
    <x v="1"/>
    <s v="Travel_Rarely"/>
    <n v="253"/>
    <x v="0"/>
    <n v="11"/>
    <s v="Bachelor"/>
    <x v="2"/>
    <s v="Low"/>
    <x v="1"/>
    <n v="43"/>
    <s v="High"/>
    <x v="1"/>
    <s v="Research Scientist"/>
    <s v="Medium"/>
    <s v="Married"/>
    <n v="2244"/>
    <n v="24440"/>
    <n v="1"/>
    <s v="No"/>
    <n v="13"/>
    <s v="Excellent"/>
    <s v="Very High"/>
    <n v="1"/>
    <n v="2"/>
    <n v="1"/>
    <s v="Better"/>
    <x v="4"/>
    <s v="0-5"/>
    <n v="1"/>
    <n v="1"/>
    <n v="2"/>
    <n v="384"/>
  </r>
  <r>
    <n v="36"/>
    <x v="0"/>
    <x v="1"/>
    <s v="Travel_Rarely"/>
    <n v="164"/>
    <x v="1"/>
    <n v="2"/>
    <s v="College"/>
    <x v="2"/>
    <s v="Medium"/>
    <x v="0"/>
    <n v="61"/>
    <s v="Medium"/>
    <x v="2"/>
    <s v="Sales Executive"/>
    <s v="High"/>
    <s v="Married"/>
    <n v="7596"/>
    <n v="3809"/>
    <n v="1"/>
    <s v="No"/>
    <n v="13"/>
    <s v="Excellent"/>
    <s v="Medium"/>
    <n v="2"/>
    <n v="10"/>
    <n v="2"/>
    <s v="Better"/>
    <x v="1"/>
    <s v="5-10"/>
    <n v="9"/>
    <n v="9"/>
    <n v="0"/>
    <n v="385"/>
  </r>
  <r>
    <n v="30"/>
    <x v="2"/>
    <x v="0"/>
    <s v="Travel_Frequently"/>
    <n v="464"/>
    <x v="0"/>
    <n v="4"/>
    <s v="Bachelor"/>
    <x v="4"/>
    <s v="High"/>
    <x v="0"/>
    <n v="40"/>
    <s v="High"/>
    <x v="1"/>
    <s v="Research Scientist"/>
    <s v="Very High"/>
    <s v="Single"/>
    <n v="2285"/>
    <n v="3427"/>
    <n v="9"/>
    <s v="Yes"/>
    <n v="23"/>
    <s v="Outstanding"/>
    <s v="High"/>
    <n v="0"/>
    <n v="3"/>
    <n v="4"/>
    <s v="Better"/>
    <x v="6"/>
    <s v="0-5"/>
    <n v="0"/>
    <n v="0"/>
    <n v="0"/>
    <n v="386"/>
  </r>
  <r>
    <n v="37"/>
    <x v="0"/>
    <x v="1"/>
    <s v="Travel_Rarely"/>
    <n v="1107"/>
    <x v="0"/>
    <n v="14"/>
    <s v="Bachelor"/>
    <x v="0"/>
    <s v="Very High"/>
    <x v="1"/>
    <n v="95"/>
    <s v="High"/>
    <x v="1"/>
    <s v="Laboratory Technician"/>
    <s v="Low"/>
    <s v="Divorced"/>
    <n v="3034"/>
    <n v="26914"/>
    <n v="1"/>
    <s v="No"/>
    <n v="12"/>
    <s v="Excellent"/>
    <s v="High"/>
    <n v="1"/>
    <n v="18"/>
    <n v="2"/>
    <s v="Good"/>
    <x v="29"/>
    <s v="10-40"/>
    <n v="7"/>
    <n v="12"/>
    <n v="17"/>
    <n v="387"/>
  </r>
  <r>
    <n v="40"/>
    <x v="0"/>
    <x v="1"/>
    <s v="Travel_Rarely"/>
    <n v="759"/>
    <x v="1"/>
    <n v="2"/>
    <s v="College"/>
    <x v="3"/>
    <s v="Very High"/>
    <x v="1"/>
    <n v="46"/>
    <s v="High"/>
    <x v="0"/>
    <s v="Sales Executive"/>
    <s v="Medium"/>
    <s v="Divorced"/>
    <n v="5715"/>
    <n v="22553"/>
    <n v="7"/>
    <s v="No"/>
    <n v="12"/>
    <s v="Excellent"/>
    <s v="High"/>
    <n v="2"/>
    <n v="8"/>
    <n v="5"/>
    <s v="Better"/>
    <x v="8"/>
    <s v="0-5"/>
    <n v="4"/>
    <n v="1"/>
    <n v="3"/>
    <n v="388"/>
  </r>
  <r>
    <n v="42"/>
    <x v="0"/>
    <x v="1"/>
    <s v="Travel_Rarely"/>
    <n v="201"/>
    <x v="0"/>
    <n v="1"/>
    <s v="Master"/>
    <x v="0"/>
    <s v="Medium"/>
    <x v="1"/>
    <n v="95"/>
    <s v="High"/>
    <x v="1"/>
    <s v="Laboratory Technician"/>
    <s v="Low"/>
    <s v="Divorced"/>
    <n v="2576"/>
    <n v="20490"/>
    <n v="3"/>
    <s v="No"/>
    <n v="16"/>
    <s v="Excellent"/>
    <s v="Medium"/>
    <n v="1"/>
    <n v="8"/>
    <n v="5"/>
    <s v="Better"/>
    <x v="8"/>
    <s v="0-5"/>
    <n v="2"/>
    <n v="1"/>
    <n v="2"/>
    <n v="389"/>
  </r>
  <r>
    <n v="37"/>
    <x v="0"/>
    <x v="1"/>
    <s v="Travel_Rarely"/>
    <n v="1305"/>
    <x v="0"/>
    <n v="10"/>
    <s v="Master"/>
    <x v="0"/>
    <s v="High"/>
    <x v="0"/>
    <n v="49"/>
    <s v="High"/>
    <x v="0"/>
    <s v="Manufacturing Director"/>
    <s v="Medium"/>
    <s v="Single"/>
    <n v="4197"/>
    <n v="21123"/>
    <n v="2"/>
    <s v="Yes"/>
    <n v="12"/>
    <s v="Excellent"/>
    <s v="Very High"/>
    <n v="0"/>
    <n v="18"/>
    <n v="2"/>
    <s v="Good"/>
    <x v="6"/>
    <s v="0-5"/>
    <n v="0"/>
    <n v="0"/>
    <n v="1"/>
    <n v="390"/>
  </r>
  <r>
    <n v="43"/>
    <x v="0"/>
    <x v="1"/>
    <s v="Travel_Rarely"/>
    <n v="982"/>
    <x v="0"/>
    <n v="12"/>
    <s v="Bachelor"/>
    <x v="0"/>
    <s v="Low"/>
    <x v="0"/>
    <n v="59"/>
    <s v="Medium"/>
    <x v="3"/>
    <s v="Research Director"/>
    <s v="Medium"/>
    <s v="Divorced"/>
    <n v="14336"/>
    <n v="4345"/>
    <n v="1"/>
    <s v="No"/>
    <n v="11"/>
    <s v="Excellent"/>
    <s v="High"/>
    <n v="1"/>
    <n v="25"/>
    <n v="3"/>
    <s v="Better"/>
    <x v="10"/>
    <s v="10-40"/>
    <n v="10"/>
    <n v="3"/>
    <n v="9"/>
    <n v="391"/>
  </r>
  <r>
    <n v="40"/>
    <x v="0"/>
    <x v="1"/>
    <s v="Travel_Rarely"/>
    <n v="555"/>
    <x v="0"/>
    <n v="2"/>
    <s v="Bachelor"/>
    <x v="2"/>
    <s v="Medium"/>
    <x v="1"/>
    <n v="78"/>
    <s v="Medium"/>
    <x v="0"/>
    <s v="Laboratory Technician"/>
    <s v="High"/>
    <s v="Married"/>
    <n v="3448"/>
    <n v="13436"/>
    <n v="6"/>
    <s v="No"/>
    <n v="22"/>
    <s v="Outstanding"/>
    <s v="Medium"/>
    <n v="1"/>
    <n v="20"/>
    <n v="3"/>
    <s v="Better"/>
    <x v="6"/>
    <s v="0-5"/>
    <n v="0"/>
    <n v="0"/>
    <n v="0"/>
    <n v="392"/>
  </r>
  <r>
    <n v="54"/>
    <x v="1"/>
    <x v="1"/>
    <s v="Travel_Rarely"/>
    <n v="821"/>
    <x v="0"/>
    <n v="5"/>
    <s v="College"/>
    <x v="2"/>
    <s v="Low"/>
    <x v="0"/>
    <n v="86"/>
    <s v="High"/>
    <x v="4"/>
    <s v="Research Director"/>
    <s v="Low"/>
    <s v="Married"/>
    <n v="19406"/>
    <n v="8509"/>
    <n v="4"/>
    <s v="No"/>
    <n v="11"/>
    <s v="Excellent"/>
    <s v="High"/>
    <n v="1"/>
    <n v="24"/>
    <n v="4"/>
    <s v="Good"/>
    <x v="9"/>
    <s v="0-5"/>
    <n v="2"/>
    <n v="1"/>
    <n v="2"/>
    <n v="393"/>
  </r>
  <r>
    <n v="34"/>
    <x v="2"/>
    <x v="1"/>
    <s v="Non-Travel"/>
    <n v="1381"/>
    <x v="1"/>
    <n v="4"/>
    <s v="Master"/>
    <x v="3"/>
    <s v="High"/>
    <x v="1"/>
    <n v="72"/>
    <s v="High"/>
    <x v="0"/>
    <s v="Sales Executive"/>
    <s v="High"/>
    <s v="Married"/>
    <n v="6538"/>
    <n v="12740"/>
    <n v="9"/>
    <s v="No"/>
    <n v="15"/>
    <s v="Excellent"/>
    <s v="Low"/>
    <n v="1"/>
    <n v="6"/>
    <n v="3"/>
    <s v="Better"/>
    <x v="11"/>
    <s v="0-5"/>
    <n v="2"/>
    <n v="1"/>
    <n v="2"/>
    <n v="394"/>
  </r>
  <r>
    <n v="31"/>
    <x v="2"/>
    <x v="1"/>
    <s v="Travel_Rarely"/>
    <n v="480"/>
    <x v="0"/>
    <n v="7"/>
    <s v="College"/>
    <x v="2"/>
    <s v="Medium"/>
    <x v="1"/>
    <n v="31"/>
    <s v="High"/>
    <x v="0"/>
    <s v="Manufacturing Director"/>
    <s v="Low"/>
    <s v="Married"/>
    <n v="4306"/>
    <n v="4156"/>
    <n v="1"/>
    <s v="No"/>
    <n v="12"/>
    <s v="Excellent"/>
    <s v="Medium"/>
    <n v="1"/>
    <n v="13"/>
    <n v="5"/>
    <s v="Bad"/>
    <x v="20"/>
    <s v="10-40"/>
    <n v="10"/>
    <n v="3"/>
    <n v="12"/>
    <n v="395"/>
  </r>
  <r>
    <n v="43"/>
    <x v="0"/>
    <x v="1"/>
    <s v="Travel_Frequently"/>
    <n v="313"/>
    <x v="0"/>
    <n v="21"/>
    <s v="Bachelor"/>
    <x v="2"/>
    <s v="Very High"/>
    <x v="0"/>
    <n v="61"/>
    <s v="High"/>
    <x v="1"/>
    <s v="Laboratory Technician"/>
    <s v="Very High"/>
    <s v="Married"/>
    <n v="2258"/>
    <n v="15238"/>
    <n v="7"/>
    <s v="No"/>
    <n v="20"/>
    <s v="Outstanding"/>
    <s v="Low"/>
    <n v="1"/>
    <n v="8"/>
    <n v="1"/>
    <s v="Better"/>
    <x v="11"/>
    <s v="0-5"/>
    <n v="2"/>
    <n v="1"/>
    <n v="2"/>
    <n v="396"/>
  </r>
  <r>
    <n v="43"/>
    <x v="0"/>
    <x v="1"/>
    <s v="Travel_Rarely"/>
    <n v="1473"/>
    <x v="0"/>
    <n v="8"/>
    <s v="Master"/>
    <x v="1"/>
    <s v="High"/>
    <x v="1"/>
    <n v="74"/>
    <s v="High"/>
    <x v="0"/>
    <s v="Healthcare Representative"/>
    <s v="High"/>
    <s v="Divorced"/>
    <n v="4522"/>
    <n v="2227"/>
    <n v="4"/>
    <s v="Yes"/>
    <n v="14"/>
    <s v="Excellent"/>
    <s v="Very High"/>
    <n v="0"/>
    <n v="8"/>
    <n v="3"/>
    <s v="Better"/>
    <x v="8"/>
    <s v="0-5"/>
    <n v="2"/>
    <n v="0"/>
    <n v="2"/>
    <n v="397"/>
  </r>
  <r>
    <n v="25"/>
    <x v="4"/>
    <x v="1"/>
    <s v="Travel_Rarely"/>
    <n v="891"/>
    <x v="1"/>
    <n v="4"/>
    <s v="College"/>
    <x v="0"/>
    <s v="Medium"/>
    <x v="1"/>
    <n v="99"/>
    <s v="Medium"/>
    <x v="0"/>
    <s v="Sales Executive"/>
    <s v="Very High"/>
    <s v="Single"/>
    <n v="4487"/>
    <n v="12090"/>
    <n v="1"/>
    <s v="Yes"/>
    <n v="11"/>
    <s v="Excellent"/>
    <s v="Medium"/>
    <n v="0"/>
    <n v="5"/>
    <n v="3"/>
    <s v="Better"/>
    <x v="8"/>
    <s v="0-5"/>
    <n v="4"/>
    <n v="1"/>
    <n v="3"/>
    <n v="398"/>
  </r>
  <r>
    <n v="37"/>
    <x v="0"/>
    <x v="1"/>
    <s v="Non-Travel"/>
    <n v="1063"/>
    <x v="0"/>
    <n v="25"/>
    <s v="Doctor"/>
    <x v="2"/>
    <s v="Medium"/>
    <x v="1"/>
    <n v="72"/>
    <s v="High"/>
    <x v="0"/>
    <s v="Research Scientist"/>
    <s v="High"/>
    <s v="Married"/>
    <n v="4449"/>
    <n v="23866"/>
    <n v="3"/>
    <s v="Yes"/>
    <n v="15"/>
    <s v="Excellent"/>
    <s v="Low"/>
    <n v="2"/>
    <n v="15"/>
    <n v="2"/>
    <s v="Better"/>
    <x v="20"/>
    <s v="10-40"/>
    <n v="11"/>
    <n v="10"/>
    <n v="7"/>
    <n v="399"/>
  </r>
  <r>
    <n v="31"/>
    <x v="2"/>
    <x v="1"/>
    <s v="Travel_Rarely"/>
    <n v="329"/>
    <x v="0"/>
    <n v="1"/>
    <s v="College"/>
    <x v="0"/>
    <s v="Very High"/>
    <x v="0"/>
    <n v="98"/>
    <s v="Medium"/>
    <x v="1"/>
    <s v="Laboratory Technician"/>
    <s v="Low"/>
    <s v="Married"/>
    <n v="2218"/>
    <n v="16193"/>
    <n v="1"/>
    <s v="No"/>
    <n v="12"/>
    <s v="Excellent"/>
    <s v="High"/>
    <n v="1"/>
    <n v="4"/>
    <n v="3"/>
    <s v="Better"/>
    <x v="9"/>
    <s v="0-5"/>
    <n v="2"/>
    <n v="3"/>
    <n v="2"/>
    <n v="400"/>
  </r>
  <r>
    <n v="39"/>
    <x v="0"/>
    <x v="1"/>
    <s v="Travel_Frequently"/>
    <n v="1218"/>
    <x v="0"/>
    <n v="1"/>
    <s v="Below College"/>
    <x v="0"/>
    <s v="Medium"/>
    <x v="0"/>
    <n v="52"/>
    <s v="High"/>
    <x v="4"/>
    <s v="Manager"/>
    <s v="High"/>
    <s v="Divorced"/>
    <n v="19197"/>
    <n v="8213"/>
    <n v="1"/>
    <s v="Yes"/>
    <n v="14"/>
    <s v="Excellent"/>
    <s v="High"/>
    <n v="1"/>
    <n v="21"/>
    <n v="3"/>
    <s v="Better"/>
    <x v="17"/>
    <s v="10-40"/>
    <n v="8"/>
    <n v="1"/>
    <n v="6"/>
    <n v="401"/>
  </r>
  <r>
    <n v="56"/>
    <x v="3"/>
    <x v="1"/>
    <s v="Travel_Frequently"/>
    <n v="906"/>
    <x v="1"/>
    <n v="6"/>
    <s v="Bachelor"/>
    <x v="0"/>
    <s v="High"/>
    <x v="1"/>
    <n v="86"/>
    <s v="Very High"/>
    <x v="3"/>
    <s v="Sales Executive"/>
    <s v="Low"/>
    <s v="Married"/>
    <n v="13212"/>
    <n v="18256"/>
    <n v="9"/>
    <s v="No"/>
    <n v="11"/>
    <s v="Excellent"/>
    <s v="Very High"/>
    <n v="3"/>
    <n v="36"/>
    <n v="0"/>
    <s v="Good"/>
    <x v="5"/>
    <s v="5-10"/>
    <n v="7"/>
    <n v="7"/>
    <n v="7"/>
    <n v="402"/>
  </r>
  <r>
    <n v="30"/>
    <x v="2"/>
    <x v="1"/>
    <s v="Travel_Rarely"/>
    <n v="1082"/>
    <x v="1"/>
    <n v="12"/>
    <s v="Bachelor"/>
    <x v="4"/>
    <s v="Medium"/>
    <x v="1"/>
    <n v="83"/>
    <s v="High"/>
    <x v="0"/>
    <s v="Sales Executive"/>
    <s v="High"/>
    <s v="Single"/>
    <n v="6577"/>
    <n v="19558"/>
    <n v="0"/>
    <s v="No"/>
    <n v="11"/>
    <s v="Excellent"/>
    <s v="Medium"/>
    <n v="0"/>
    <n v="6"/>
    <n v="6"/>
    <s v="Better"/>
    <x v="8"/>
    <s v="0-5"/>
    <n v="4"/>
    <n v="4"/>
    <n v="4"/>
    <n v="403"/>
  </r>
  <r>
    <n v="41"/>
    <x v="0"/>
    <x v="1"/>
    <s v="Travel_Rarely"/>
    <n v="645"/>
    <x v="1"/>
    <n v="1"/>
    <s v="Bachelor"/>
    <x v="3"/>
    <s v="Medium"/>
    <x v="0"/>
    <n v="49"/>
    <s v="Very High"/>
    <x v="2"/>
    <s v="Sales Executive"/>
    <s v="Low"/>
    <s v="Married"/>
    <n v="8392"/>
    <n v="19566"/>
    <n v="1"/>
    <s v="No"/>
    <n v="16"/>
    <s v="Excellent"/>
    <s v="High"/>
    <n v="1"/>
    <n v="10"/>
    <n v="2"/>
    <s v="Better"/>
    <x v="1"/>
    <s v="5-10"/>
    <n v="7"/>
    <n v="0"/>
    <n v="7"/>
    <n v="404"/>
  </r>
  <r>
    <n v="28"/>
    <x v="2"/>
    <x v="1"/>
    <s v="Travel_Rarely"/>
    <n v="1300"/>
    <x v="0"/>
    <n v="17"/>
    <s v="College"/>
    <x v="2"/>
    <s v="High"/>
    <x v="0"/>
    <n v="79"/>
    <s v="High"/>
    <x v="0"/>
    <s v="Laboratory Technician"/>
    <s v="Low"/>
    <s v="Divorced"/>
    <n v="4558"/>
    <n v="13535"/>
    <n v="1"/>
    <s v="No"/>
    <n v="12"/>
    <s v="Excellent"/>
    <s v="Very High"/>
    <n v="1"/>
    <n v="10"/>
    <n v="2"/>
    <s v="Better"/>
    <x v="1"/>
    <s v="5-10"/>
    <n v="0"/>
    <n v="1"/>
    <n v="8"/>
    <n v="405"/>
  </r>
  <r>
    <n v="25"/>
    <x v="4"/>
    <x v="0"/>
    <s v="Travel_Rarely"/>
    <n v="688"/>
    <x v="0"/>
    <n v="3"/>
    <s v="Bachelor"/>
    <x v="2"/>
    <s v="Low"/>
    <x v="0"/>
    <n v="91"/>
    <s v="High"/>
    <x v="1"/>
    <s v="Laboratory Technician"/>
    <s v="Low"/>
    <s v="Married"/>
    <n v="4031"/>
    <n v="9396"/>
    <n v="5"/>
    <s v="No"/>
    <n v="13"/>
    <s v="Excellent"/>
    <s v="High"/>
    <n v="1"/>
    <n v="6"/>
    <n v="5"/>
    <s v="Better"/>
    <x v="4"/>
    <s v="0-5"/>
    <n v="2"/>
    <n v="0"/>
    <n v="2"/>
    <n v="406"/>
  </r>
  <r>
    <n v="52"/>
    <x v="1"/>
    <x v="1"/>
    <s v="Travel_Rarely"/>
    <n v="319"/>
    <x v="0"/>
    <n v="3"/>
    <s v="Bachelor"/>
    <x v="2"/>
    <s v="Very High"/>
    <x v="0"/>
    <n v="39"/>
    <s v="Medium"/>
    <x v="2"/>
    <s v="Manufacturing Director"/>
    <s v="High"/>
    <s v="Married"/>
    <n v="7969"/>
    <n v="19609"/>
    <n v="2"/>
    <s v="Yes"/>
    <n v="14"/>
    <s v="Excellent"/>
    <s v="High"/>
    <n v="0"/>
    <n v="28"/>
    <n v="4"/>
    <s v="Better"/>
    <x v="8"/>
    <s v="0-5"/>
    <n v="4"/>
    <n v="0"/>
    <n v="4"/>
    <n v="407"/>
  </r>
  <r>
    <n v="45"/>
    <x v="0"/>
    <x v="1"/>
    <s v="Travel_Rarely"/>
    <n v="192"/>
    <x v="0"/>
    <n v="10"/>
    <s v="College"/>
    <x v="0"/>
    <s v="Low"/>
    <x v="0"/>
    <n v="69"/>
    <s v="High"/>
    <x v="1"/>
    <s v="Research Scientist"/>
    <s v="Very High"/>
    <s v="Married"/>
    <n v="2654"/>
    <n v="9655"/>
    <n v="3"/>
    <s v="No"/>
    <n v="21"/>
    <s v="Outstanding"/>
    <s v="Very High"/>
    <n v="2"/>
    <n v="8"/>
    <n v="3"/>
    <s v="Good"/>
    <x v="4"/>
    <s v="0-5"/>
    <n v="2"/>
    <n v="0"/>
    <n v="2"/>
    <n v="408"/>
  </r>
  <r>
    <n v="52"/>
    <x v="1"/>
    <x v="1"/>
    <s v="Travel_Rarely"/>
    <n v="1490"/>
    <x v="0"/>
    <n v="4"/>
    <s v="College"/>
    <x v="0"/>
    <s v="Very High"/>
    <x v="1"/>
    <n v="30"/>
    <s v="High"/>
    <x v="3"/>
    <s v="Manager"/>
    <s v="Very High"/>
    <s v="Married"/>
    <n v="16555"/>
    <n v="10310"/>
    <n v="2"/>
    <s v="No"/>
    <n v="13"/>
    <s v="Excellent"/>
    <s v="Very High"/>
    <n v="0"/>
    <n v="31"/>
    <n v="2"/>
    <s v="Bad"/>
    <x v="8"/>
    <s v="0-5"/>
    <n v="2"/>
    <n v="1"/>
    <n v="4"/>
    <n v="409"/>
  </r>
  <r>
    <n v="42"/>
    <x v="0"/>
    <x v="1"/>
    <s v="Travel_Frequently"/>
    <n v="532"/>
    <x v="0"/>
    <n v="29"/>
    <s v="College"/>
    <x v="0"/>
    <s v="Low"/>
    <x v="1"/>
    <n v="92"/>
    <s v="High"/>
    <x v="0"/>
    <s v="Research Scientist"/>
    <s v="High"/>
    <s v="Divorced"/>
    <n v="4556"/>
    <n v="12932"/>
    <n v="2"/>
    <s v="No"/>
    <n v="11"/>
    <s v="Excellent"/>
    <s v="Medium"/>
    <n v="1"/>
    <n v="19"/>
    <n v="3"/>
    <s v="Better"/>
    <x v="8"/>
    <s v="0-5"/>
    <n v="4"/>
    <n v="0"/>
    <n v="2"/>
    <n v="410"/>
  </r>
  <r>
    <n v="30"/>
    <x v="2"/>
    <x v="1"/>
    <s v="Travel_Rarely"/>
    <n v="317"/>
    <x v="0"/>
    <n v="2"/>
    <s v="Bachelor"/>
    <x v="0"/>
    <s v="High"/>
    <x v="1"/>
    <n v="43"/>
    <s v="Low"/>
    <x v="0"/>
    <s v="Manufacturing Director"/>
    <s v="Very High"/>
    <s v="Single"/>
    <n v="6091"/>
    <n v="24793"/>
    <n v="2"/>
    <s v="No"/>
    <n v="20"/>
    <s v="Outstanding"/>
    <s v="High"/>
    <n v="0"/>
    <n v="11"/>
    <n v="2"/>
    <s v="Better"/>
    <x v="8"/>
    <s v="0-5"/>
    <n v="4"/>
    <n v="0"/>
    <n v="2"/>
    <n v="411"/>
  </r>
  <r>
    <n v="60"/>
    <x v="3"/>
    <x v="1"/>
    <s v="Travel_Rarely"/>
    <n v="422"/>
    <x v="0"/>
    <n v="7"/>
    <s v="Bachelor"/>
    <x v="0"/>
    <s v="Low"/>
    <x v="1"/>
    <n v="41"/>
    <s v="High"/>
    <x v="4"/>
    <s v="Manager"/>
    <s v="Low"/>
    <s v="Married"/>
    <n v="19566"/>
    <n v="3854"/>
    <n v="5"/>
    <s v="No"/>
    <n v="11"/>
    <s v="Excellent"/>
    <s v="Very High"/>
    <n v="0"/>
    <n v="33"/>
    <n v="5"/>
    <s v="Bad"/>
    <x v="30"/>
    <s v="10-40"/>
    <n v="8"/>
    <n v="11"/>
    <n v="10"/>
    <n v="412"/>
  </r>
  <r>
    <n v="46"/>
    <x v="1"/>
    <x v="1"/>
    <s v="Travel_Rarely"/>
    <n v="1485"/>
    <x v="0"/>
    <n v="18"/>
    <s v="Bachelor"/>
    <x v="2"/>
    <s v="High"/>
    <x v="1"/>
    <n v="87"/>
    <s v="High"/>
    <x v="0"/>
    <s v="Manufacturing Director"/>
    <s v="High"/>
    <s v="Divorced"/>
    <n v="4810"/>
    <n v="26314"/>
    <n v="2"/>
    <s v="No"/>
    <n v="14"/>
    <s v="Excellent"/>
    <s v="High"/>
    <n v="1"/>
    <n v="19"/>
    <n v="5"/>
    <s v="Good"/>
    <x v="1"/>
    <s v="5-10"/>
    <n v="7"/>
    <n v="0"/>
    <n v="8"/>
    <n v="413"/>
  </r>
  <r>
    <n v="42"/>
    <x v="0"/>
    <x v="1"/>
    <s v="Travel_Frequently"/>
    <n v="1368"/>
    <x v="0"/>
    <n v="28"/>
    <s v="Master"/>
    <x v="4"/>
    <s v="Very High"/>
    <x v="1"/>
    <n v="88"/>
    <s v="Medium"/>
    <x v="0"/>
    <s v="Healthcare Representative"/>
    <s v="Very High"/>
    <s v="Married"/>
    <n v="4523"/>
    <n v="4386"/>
    <n v="0"/>
    <s v="No"/>
    <n v="11"/>
    <s v="Excellent"/>
    <s v="Very High"/>
    <n v="3"/>
    <n v="7"/>
    <n v="4"/>
    <s v="Best"/>
    <x v="0"/>
    <s v="5-10"/>
    <n v="5"/>
    <n v="0"/>
    <n v="4"/>
    <n v="414"/>
  </r>
  <r>
    <n v="24"/>
    <x v="4"/>
    <x v="0"/>
    <s v="Travel_Rarely"/>
    <n v="1448"/>
    <x v="1"/>
    <n v="1"/>
    <s v="Below College"/>
    <x v="4"/>
    <s v="Low"/>
    <x v="1"/>
    <n v="62"/>
    <s v="High"/>
    <x v="1"/>
    <s v="Sales Representative"/>
    <s v="Medium"/>
    <s v="Single"/>
    <n v="3202"/>
    <n v="21972"/>
    <n v="1"/>
    <s v="Yes"/>
    <n v="16"/>
    <s v="Excellent"/>
    <s v="Medium"/>
    <n v="0"/>
    <n v="6"/>
    <n v="4"/>
    <s v="Better"/>
    <x v="8"/>
    <s v="0-5"/>
    <n v="3"/>
    <n v="1"/>
    <n v="4"/>
    <n v="415"/>
  </r>
  <r>
    <n v="34"/>
    <x v="2"/>
    <x v="0"/>
    <s v="Travel_Frequently"/>
    <n v="296"/>
    <x v="1"/>
    <n v="6"/>
    <s v="College"/>
    <x v="3"/>
    <s v="Very High"/>
    <x v="1"/>
    <n v="33"/>
    <s v="Low"/>
    <x v="1"/>
    <s v="Sales Representative"/>
    <s v="High"/>
    <s v="Divorced"/>
    <n v="2351"/>
    <n v="12253"/>
    <n v="0"/>
    <s v="No"/>
    <n v="16"/>
    <s v="Excellent"/>
    <s v="Very High"/>
    <n v="1"/>
    <n v="3"/>
    <n v="3"/>
    <s v="Good"/>
    <x v="4"/>
    <s v="0-5"/>
    <n v="2"/>
    <n v="1"/>
    <n v="0"/>
    <n v="416"/>
  </r>
  <r>
    <n v="38"/>
    <x v="0"/>
    <x v="1"/>
    <s v="Travel_Frequently"/>
    <n v="1490"/>
    <x v="0"/>
    <n v="2"/>
    <s v="College"/>
    <x v="0"/>
    <s v="Very High"/>
    <x v="0"/>
    <n v="42"/>
    <s v="High"/>
    <x v="1"/>
    <s v="Laboratory Technician"/>
    <s v="Very High"/>
    <s v="Married"/>
    <n v="1702"/>
    <n v="12106"/>
    <n v="1"/>
    <s v="Yes"/>
    <n v="23"/>
    <s v="Outstanding"/>
    <s v="High"/>
    <n v="1"/>
    <n v="1"/>
    <n v="3"/>
    <s v="Better"/>
    <x v="6"/>
    <s v="0-5"/>
    <n v="0"/>
    <n v="0"/>
    <n v="0"/>
    <n v="417"/>
  </r>
  <r>
    <n v="40"/>
    <x v="0"/>
    <x v="1"/>
    <s v="Travel_Rarely"/>
    <n v="1398"/>
    <x v="1"/>
    <n v="2"/>
    <s v="Master"/>
    <x v="0"/>
    <s v="High"/>
    <x v="1"/>
    <n v="79"/>
    <s v="High"/>
    <x v="4"/>
    <s v="Manager"/>
    <s v="High"/>
    <s v="Married"/>
    <n v="18041"/>
    <n v="13022"/>
    <n v="0"/>
    <s v="No"/>
    <n v="14"/>
    <s v="Excellent"/>
    <s v="Very High"/>
    <n v="0"/>
    <n v="21"/>
    <n v="2"/>
    <s v="Better"/>
    <x v="23"/>
    <s v="10-40"/>
    <n v="15"/>
    <n v="1"/>
    <n v="12"/>
    <n v="418"/>
  </r>
  <r>
    <n v="26"/>
    <x v="2"/>
    <x v="1"/>
    <s v="Travel_Rarely"/>
    <n v="1349"/>
    <x v="0"/>
    <n v="23"/>
    <s v="Bachelor"/>
    <x v="0"/>
    <s v="Low"/>
    <x v="1"/>
    <n v="90"/>
    <s v="High"/>
    <x v="1"/>
    <s v="Research Scientist"/>
    <s v="Very High"/>
    <s v="Divorced"/>
    <n v="2886"/>
    <n v="3032"/>
    <n v="1"/>
    <s v="No"/>
    <n v="22"/>
    <s v="Outstanding"/>
    <s v="Medium"/>
    <n v="2"/>
    <n v="3"/>
    <n v="3"/>
    <s v="Bad"/>
    <x v="11"/>
    <s v="0-5"/>
    <n v="2"/>
    <n v="0"/>
    <n v="2"/>
    <n v="419"/>
  </r>
  <r>
    <n v="30"/>
    <x v="2"/>
    <x v="1"/>
    <s v="Non-Travel"/>
    <n v="1400"/>
    <x v="0"/>
    <n v="3"/>
    <s v="Bachelor"/>
    <x v="0"/>
    <s v="High"/>
    <x v="0"/>
    <n v="53"/>
    <s v="High"/>
    <x v="1"/>
    <s v="Laboratory Technician"/>
    <s v="Very High"/>
    <s v="Married"/>
    <n v="2097"/>
    <n v="16734"/>
    <n v="4"/>
    <s v="No"/>
    <n v="15"/>
    <s v="Excellent"/>
    <s v="High"/>
    <n v="1"/>
    <n v="9"/>
    <n v="3"/>
    <s v="Bad"/>
    <x v="8"/>
    <s v="0-5"/>
    <n v="3"/>
    <n v="1"/>
    <n v="4"/>
    <n v="420"/>
  </r>
  <r>
    <n v="29"/>
    <x v="2"/>
    <x v="1"/>
    <s v="Travel_Rarely"/>
    <n v="986"/>
    <x v="0"/>
    <n v="3"/>
    <s v="Master"/>
    <x v="2"/>
    <s v="Medium"/>
    <x v="0"/>
    <n v="93"/>
    <s v="Medium"/>
    <x v="2"/>
    <s v="Research Director"/>
    <s v="High"/>
    <s v="Married"/>
    <n v="11935"/>
    <n v="21526"/>
    <n v="1"/>
    <s v="No"/>
    <n v="18"/>
    <s v="Excellent"/>
    <s v="High"/>
    <n v="0"/>
    <n v="10"/>
    <n v="2"/>
    <s v="Better"/>
    <x v="1"/>
    <s v="5-10"/>
    <n v="2"/>
    <n v="0"/>
    <n v="7"/>
    <n v="421"/>
  </r>
  <r>
    <n v="29"/>
    <x v="2"/>
    <x v="0"/>
    <s v="Travel_Rarely"/>
    <n v="408"/>
    <x v="0"/>
    <n v="25"/>
    <s v="Doctor"/>
    <x v="4"/>
    <s v="High"/>
    <x v="1"/>
    <n v="71"/>
    <s v="Medium"/>
    <x v="1"/>
    <s v="Research Scientist"/>
    <s v="Medium"/>
    <s v="Married"/>
    <n v="2546"/>
    <n v="18300"/>
    <n v="5"/>
    <s v="No"/>
    <n v="16"/>
    <s v="Excellent"/>
    <s v="Medium"/>
    <n v="0"/>
    <n v="6"/>
    <n v="2"/>
    <s v="Best"/>
    <x v="4"/>
    <s v="0-5"/>
    <n v="2"/>
    <n v="1"/>
    <n v="1"/>
    <n v="422"/>
  </r>
  <r>
    <n v="19"/>
    <x v="4"/>
    <x v="0"/>
    <s v="Travel_Rarely"/>
    <n v="489"/>
    <x v="2"/>
    <n v="2"/>
    <s v="College"/>
    <x v="4"/>
    <s v="Low"/>
    <x v="0"/>
    <n v="52"/>
    <s v="Medium"/>
    <x v="1"/>
    <s v="Human Resources"/>
    <s v="Very High"/>
    <s v="Single"/>
    <n v="2564"/>
    <n v="18437"/>
    <n v="1"/>
    <s v="No"/>
    <n v="12"/>
    <s v="Excellent"/>
    <s v="High"/>
    <n v="0"/>
    <n v="1"/>
    <n v="3"/>
    <s v="Best"/>
    <x v="6"/>
    <s v="0-5"/>
    <n v="0"/>
    <n v="0"/>
    <n v="0"/>
    <n v="423"/>
  </r>
  <r>
    <n v="30"/>
    <x v="2"/>
    <x v="1"/>
    <s v="Non-Travel"/>
    <n v="1398"/>
    <x v="1"/>
    <n v="22"/>
    <s v="Master"/>
    <x v="1"/>
    <s v="High"/>
    <x v="1"/>
    <n v="69"/>
    <s v="High"/>
    <x v="2"/>
    <s v="Sales Executive"/>
    <s v="Low"/>
    <s v="Married"/>
    <n v="8412"/>
    <n v="2890"/>
    <n v="0"/>
    <s v="No"/>
    <n v="11"/>
    <s v="Excellent"/>
    <s v="High"/>
    <n v="0"/>
    <n v="10"/>
    <n v="3"/>
    <s v="Better"/>
    <x v="7"/>
    <s v="5-10"/>
    <n v="8"/>
    <n v="7"/>
    <n v="8"/>
    <n v="424"/>
  </r>
  <r>
    <n v="57"/>
    <x v="3"/>
    <x v="1"/>
    <s v="Travel_Rarely"/>
    <n v="210"/>
    <x v="1"/>
    <n v="29"/>
    <s v="Bachelor"/>
    <x v="3"/>
    <s v="Low"/>
    <x v="0"/>
    <n v="56"/>
    <s v="Medium"/>
    <x v="3"/>
    <s v="Manager"/>
    <s v="Very High"/>
    <s v="Divorced"/>
    <n v="14118"/>
    <n v="22102"/>
    <n v="3"/>
    <s v="No"/>
    <n v="12"/>
    <s v="Excellent"/>
    <s v="High"/>
    <n v="1"/>
    <n v="32"/>
    <n v="3"/>
    <s v="Good"/>
    <x v="6"/>
    <s v="0-5"/>
    <n v="0"/>
    <n v="0"/>
    <n v="0"/>
    <n v="425"/>
  </r>
  <r>
    <n v="50"/>
    <x v="1"/>
    <x v="1"/>
    <s v="Travel_Rarely"/>
    <n v="1099"/>
    <x v="0"/>
    <n v="29"/>
    <s v="Master"/>
    <x v="0"/>
    <s v="Medium"/>
    <x v="0"/>
    <n v="88"/>
    <s v="Medium"/>
    <x v="3"/>
    <s v="Manager"/>
    <s v="High"/>
    <s v="Married"/>
    <n v="17046"/>
    <n v="9314"/>
    <n v="0"/>
    <s v="No"/>
    <n v="15"/>
    <s v="Excellent"/>
    <s v="Medium"/>
    <n v="1"/>
    <n v="28"/>
    <n v="2"/>
    <s v="Better"/>
    <x v="16"/>
    <s v="10-40"/>
    <n v="10"/>
    <n v="15"/>
    <n v="7"/>
    <n v="426"/>
  </r>
  <r>
    <n v="30"/>
    <x v="2"/>
    <x v="1"/>
    <s v="Non-Travel"/>
    <n v="1116"/>
    <x v="0"/>
    <n v="2"/>
    <s v="Bachelor"/>
    <x v="2"/>
    <s v="High"/>
    <x v="1"/>
    <n v="49"/>
    <s v="High"/>
    <x v="1"/>
    <s v="Laboratory Technician"/>
    <s v="Very High"/>
    <s v="Single"/>
    <n v="2564"/>
    <n v="7181"/>
    <n v="0"/>
    <s v="No"/>
    <n v="14"/>
    <s v="Excellent"/>
    <s v="High"/>
    <n v="0"/>
    <n v="12"/>
    <n v="2"/>
    <s v="Good"/>
    <x v="19"/>
    <s v="10-40"/>
    <n v="7"/>
    <n v="6"/>
    <n v="7"/>
    <n v="427"/>
  </r>
  <r>
    <n v="60"/>
    <x v="3"/>
    <x v="1"/>
    <s v="Travel_Frequently"/>
    <n v="1499"/>
    <x v="1"/>
    <n v="28"/>
    <s v="Bachelor"/>
    <x v="3"/>
    <s v="High"/>
    <x v="1"/>
    <n v="80"/>
    <s v="Medium"/>
    <x v="2"/>
    <s v="Sales Executive"/>
    <s v="Low"/>
    <s v="Married"/>
    <n v="10266"/>
    <n v="2845"/>
    <n v="4"/>
    <s v="No"/>
    <n v="19"/>
    <s v="Excellent"/>
    <s v="Very High"/>
    <n v="0"/>
    <n v="22"/>
    <n v="5"/>
    <s v="Best"/>
    <x v="29"/>
    <s v="10-40"/>
    <n v="13"/>
    <n v="13"/>
    <n v="11"/>
    <n v="428"/>
  </r>
  <r>
    <n v="47"/>
    <x v="1"/>
    <x v="1"/>
    <s v="Travel_Rarely"/>
    <n v="983"/>
    <x v="0"/>
    <n v="2"/>
    <s v="College"/>
    <x v="2"/>
    <s v="Low"/>
    <x v="1"/>
    <n v="65"/>
    <s v="High"/>
    <x v="0"/>
    <s v="Manufacturing Director"/>
    <s v="Very High"/>
    <s v="Divorced"/>
    <n v="5070"/>
    <n v="7389"/>
    <n v="5"/>
    <s v="No"/>
    <n v="13"/>
    <s v="Excellent"/>
    <s v="High"/>
    <n v="3"/>
    <n v="20"/>
    <n v="2"/>
    <s v="Better"/>
    <x v="8"/>
    <s v="0-5"/>
    <n v="0"/>
    <n v="0"/>
    <n v="4"/>
    <n v="429"/>
  </r>
  <r>
    <n v="46"/>
    <x v="1"/>
    <x v="1"/>
    <s v="Travel_Rarely"/>
    <n v="1009"/>
    <x v="0"/>
    <n v="2"/>
    <s v="Bachelor"/>
    <x v="0"/>
    <s v="Low"/>
    <x v="0"/>
    <n v="51"/>
    <s v="High"/>
    <x v="3"/>
    <s v="Research Director"/>
    <s v="High"/>
    <s v="Married"/>
    <n v="17861"/>
    <n v="2288"/>
    <n v="6"/>
    <s v="No"/>
    <n v="13"/>
    <s v="Excellent"/>
    <s v="High"/>
    <n v="0"/>
    <n v="26"/>
    <n v="2"/>
    <s v="Bad"/>
    <x v="11"/>
    <s v="0-5"/>
    <n v="2"/>
    <n v="0"/>
    <n v="1"/>
    <n v="430"/>
  </r>
  <r>
    <n v="35"/>
    <x v="2"/>
    <x v="1"/>
    <s v="Travel_Rarely"/>
    <n v="144"/>
    <x v="0"/>
    <n v="22"/>
    <s v="Bachelor"/>
    <x v="0"/>
    <s v="Very High"/>
    <x v="0"/>
    <n v="46"/>
    <s v="Low"/>
    <x v="1"/>
    <s v="Laboratory Technician"/>
    <s v="High"/>
    <s v="Single"/>
    <n v="4230"/>
    <n v="19225"/>
    <n v="0"/>
    <s v="No"/>
    <n v="15"/>
    <s v="Excellent"/>
    <s v="High"/>
    <n v="0"/>
    <n v="6"/>
    <n v="2"/>
    <s v="Better"/>
    <x v="8"/>
    <s v="0-5"/>
    <n v="4"/>
    <n v="4"/>
    <n v="3"/>
    <n v="431"/>
  </r>
  <r>
    <n v="54"/>
    <x v="1"/>
    <x v="1"/>
    <s v="Travel_Rarely"/>
    <n v="548"/>
    <x v="0"/>
    <n v="8"/>
    <s v="Master"/>
    <x v="0"/>
    <s v="High"/>
    <x v="1"/>
    <n v="42"/>
    <s v="High"/>
    <x v="0"/>
    <s v="Laboratory Technician"/>
    <s v="High"/>
    <s v="Single"/>
    <n v="3780"/>
    <n v="23428"/>
    <n v="7"/>
    <s v="No"/>
    <n v="11"/>
    <s v="Excellent"/>
    <s v="High"/>
    <n v="0"/>
    <n v="19"/>
    <n v="3"/>
    <s v="Better"/>
    <x v="6"/>
    <s v="0-5"/>
    <n v="0"/>
    <n v="0"/>
    <n v="0"/>
    <n v="432"/>
  </r>
  <r>
    <n v="34"/>
    <x v="2"/>
    <x v="1"/>
    <s v="Travel_Rarely"/>
    <n v="1303"/>
    <x v="0"/>
    <n v="2"/>
    <s v="Master"/>
    <x v="0"/>
    <s v="Very High"/>
    <x v="0"/>
    <n v="62"/>
    <s v="Medium"/>
    <x v="1"/>
    <s v="Research Scientist"/>
    <s v="High"/>
    <s v="Divorced"/>
    <n v="2768"/>
    <n v="8416"/>
    <n v="3"/>
    <s v="No"/>
    <n v="12"/>
    <s v="Excellent"/>
    <s v="High"/>
    <n v="1"/>
    <n v="14"/>
    <n v="3"/>
    <s v="Better"/>
    <x v="5"/>
    <s v="5-10"/>
    <n v="3"/>
    <n v="5"/>
    <n v="7"/>
    <n v="433"/>
  </r>
  <r>
    <n v="46"/>
    <x v="1"/>
    <x v="1"/>
    <s v="Travel_Rarely"/>
    <n v="1125"/>
    <x v="1"/>
    <n v="10"/>
    <s v="Bachelor"/>
    <x v="3"/>
    <s v="High"/>
    <x v="1"/>
    <n v="94"/>
    <s v="Medium"/>
    <x v="2"/>
    <s v="Sales Executive"/>
    <s v="Very High"/>
    <s v="Married"/>
    <n v="9071"/>
    <n v="11563"/>
    <n v="2"/>
    <s v="Yes"/>
    <n v="19"/>
    <s v="Excellent"/>
    <s v="High"/>
    <n v="1"/>
    <n v="15"/>
    <n v="3"/>
    <s v="Better"/>
    <x v="11"/>
    <s v="0-5"/>
    <n v="2"/>
    <n v="1"/>
    <n v="2"/>
    <n v="434"/>
  </r>
  <r>
    <n v="31"/>
    <x v="2"/>
    <x v="1"/>
    <s v="Travel_Rarely"/>
    <n v="1274"/>
    <x v="0"/>
    <n v="9"/>
    <s v="Below College"/>
    <x v="0"/>
    <s v="High"/>
    <x v="0"/>
    <n v="33"/>
    <s v="High"/>
    <x v="2"/>
    <s v="Manufacturing Director"/>
    <s v="Medium"/>
    <s v="Divorced"/>
    <n v="10648"/>
    <n v="14394"/>
    <n v="1"/>
    <s v="No"/>
    <n v="25"/>
    <s v="Outstanding"/>
    <s v="Very High"/>
    <n v="1"/>
    <n v="13"/>
    <n v="6"/>
    <s v="Best"/>
    <x v="20"/>
    <s v="10-40"/>
    <n v="8"/>
    <n v="0"/>
    <n v="8"/>
    <n v="435"/>
  </r>
  <r>
    <n v="33"/>
    <x v="2"/>
    <x v="0"/>
    <s v="Travel_Rarely"/>
    <n v="1277"/>
    <x v="0"/>
    <n v="15"/>
    <s v="Below College"/>
    <x v="2"/>
    <s v="Medium"/>
    <x v="0"/>
    <n v="56"/>
    <s v="High"/>
    <x v="2"/>
    <s v="Manager"/>
    <s v="High"/>
    <s v="Married"/>
    <n v="13610"/>
    <n v="24619"/>
    <n v="7"/>
    <s v="Yes"/>
    <n v="12"/>
    <s v="Excellent"/>
    <s v="Very High"/>
    <n v="0"/>
    <n v="15"/>
    <n v="2"/>
    <s v="Best"/>
    <x v="5"/>
    <s v="5-10"/>
    <n v="6"/>
    <n v="7"/>
    <n v="7"/>
    <n v="436"/>
  </r>
  <r>
    <n v="33"/>
    <x v="2"/>
    <x v="0"/>
    <s v="Travel_Rarely"/>
    <n v="587"/>
    <x v="0"/>
    <n v="10"/>
    <s v="Below College"/>
    <x v="2"/>
    <s v="Low"/>
    <x v="0"/>
    <n v="38"/>
    <s v="Low"/>
    <x v="1"/>
    <s v="Laboratory Technician"/>
    <s v="Very High"/>
    <s v="Divorced"/>
    <n v="3408"/>
    <n v="6705"/>
    <n v="7"/>
    <s v="No"/>
    <n v="13"/>
    <s v="Excellent"/>
    <s v="Low"/>
    <n v="3"/>
    <n v="8"/>
    <n v="2"/>
    <s v="Better"/>
    <x v="9"/>
    <s v="0-5"/>
    <n v="3"/>
    <n v="1"/>
    <n v="3"/>
    <n v="437"/>
  </r>
  <r>
    <n v="30"/>
    <x v="2"/>
    <x v="1"/>
    <s v="Travel_Rarely"/>
    <n v="413"/>
    <x v="1"/>
    <n v="7"/>
    <s v="Below College"/>
    <x v="3"/>
    <s v="Very High"/>
    <x v="0"/>
    <n v="57"/>
    <s v="High"/>
    <x v="1"/>
    <s v="Sales Representative"/>
    <s v="Medium"/>
    <s v="Single"/>
    <n v="2983"/>
    <n v="18398"/>
    <n v="0"/>
    <s v="No"/>
    <n v="14"/>
    <s v="Excellent"/>
    <s v="Low"/>
    <n v="0"/>
    <n v="4"/>
    <n v="3"/>
    <s v="Better"/>
    <x v="11"/>
    <s v="0-5"/>
    <n v="2"/>
    <n v="1"/>
    <n v="2"/>
    <n v="438"/>
  </r>
  <r>
    <n v="35"/>
    <x v="2"/>
    <x v="1"/>
    <s v="Travel_Rarely"/>
    <n v="1276"/>
    <x v="0"/>
    <n v="16"/>
    <s v="Bachelor"/>
    <x v="0"/>
    <s v="Very High"/>
    <x v="0"/>
    <n v="72"/>
    <s v="High"/>
    <x v="2"/>
    <s v="Healthcare Representative"/>
    <s v="High"/>
    <s v="Married"/>
    <n v="7632"/>
    <n v="14295"/>
    <n v="4"/>
    <s v="Yes"/>
    <n v="12"/>
    <s v="Excellent"/>
    <s v="High"/>
    <n v="0"/>
    <n v="10"/>
    <n v="2"/>
    <s v="Better"/>
    <x v="3"/>
    <s v="5-10"/>
    <n v="7"/>
    <n v="0"/>
    <n v="0"/>
    <n v="439"/>
  </r>
  <r>
    <n v="31"/>
    <x v="2"/>
    <x v="0"/>
    <s v="Travel_Frequently"/>
    <n v="534"/>
    <x v="0"/>
    <n v="20"/>
    <s v="Bachelor"/>
    <x v="0"/>
    <s v="Low"/>
    <x v="0"/>
    <n v="66"/>
    <s v="High"/>
    <x v="2"/>
    <s v="Healthcare Representative"/>
    <s v="High"/>
    <s v="Married"/>
    <n v="9824"/>
    <n v="22908"/>
    <n v="3"/>
    <s v="No"/>
    <n v="12"/>
    <s v="Excellent"/>
    <s v="Low"/>
    <n v="0"/>
    <n v="12"/>
    <n v="2"/>
    <s v="Better"/>
    <x v="6"/>
    <s v="0-5"/>
    <n v="0"/>
    <n v="0"/>
    <n v="0"/>
    <n v="440"/>
  </r>
  <r>
    <n v="34"/>
    <x v="2"/>
    <x v="0"/>
    <s v="Travel_Frequently"/>
    <n v="988"/>
    <x v="2"/>
    <n v="23"/>
    <s v="Bachelor"/>
    <x v="5"/>
    <s v="Medium"/>
    <x v="1"/>
    <n v="43"/>
    <s v="High"/>
    <x v="2"/>
    <s v="Human Resources"/>
    <s v="Low"/>
    <s v="Divorced"/>
    <n v="9950"/>
    <n v="11533"/>
    <n v="9"/>
    <s v="Yes"/>
    <n v="15"/>
    <s v="Excellent"/>
    <s v="High"/>
    <n v="3"/>
    <n v="11"/>
    <n v="2"/>
    <s v="Better"/>
    <x v="11"/>
    <s v="0-5"/>
    <n v="2"/>
    <n v="0"/>
    <n v="2"/>
    <n v="441"/>
  </r>
  <r>
    <n v="42"/>
    <x v="0"/>
    <x v="1"/>
    <s v="Travel_Frequently"/>
    <n v="1474"/>
    <x v="0"/>
    <n v="5"/>
    <s v="College"/>
    <x v="1"/>
    <s v="Medium"/>
    <x v="0"/>
    <n v="97"/>
    <s v="High"/>
    <x v="1"/>
    <s v="Laboratory Technician"/>
    <s v="High"/>
    <s v="Married"/>
    <n v="2093"/>
    <n v="9260"/>
    <n v="4"/>
    <s v="No"/>
    <n v="17"/>
    <s v="Excellent"/>
    <s v="Very High"/>
    <n v="1"/>
    <n v="8"/>
    <n v="4"/>
    <s v="Better"/>
    <x v="4"/>
    <s v="0-5"/>
    <n v="2"/>
    <n v="2"/>
    <n v="0"/>
    <n v="442"/>
  </r>
  <r>
    <n v="36"/>
    <x v="0"/>
    <x v="1"/>
    <s v="Non-Travel"/>
    <n v="635"/>
    <x v="1"/>
    <n v="10"/>
    <s v="Master"/>
    <x v="2"/>
    <s v="Medium"/>
    <x v="0"/>
    <n v="32"/>
    <s v="High"/>
    <x v="2"/>
    <s v="Sales Executive"/>
    <s v="Very High"/>
    <s v="Single"/>
    <n v="9980"/>
    <n v="15318"/>
    <n v="1"/>
    <s v="No"/>
    <n v="14"/>
    <s v="Excellent"/>
    <s v="Very High"/>
    <n v="0"/>
    <n v="10"/>
    <n v="3"/>
    <s v="Good"/>
    <x v="1"/>
    <s v="5-10"/>
    <n v="3"/>
    <n v="9"/>
    <n v="7"/>
    <n v="443"/>
  </r>
  <r>
    <n v="22"/>
    <x v="4"/>
    <x v="0"/>
    <s v="Travel_Frequently"/>
    <n v="1368"/>
    <x v="0"/>
    <n v="4"/>
    <s v="Below College"/>
    <x v="4"/>
    <s v="High"/>
    <x v="0"/>
    <n v="99"/>
    <s v="Medium"/>
    <x v="1"/>
    <s v="Laboratory Technician"/>
    <s v="High"/>
    <s v="Single"/>
    <n v="3894"/>
    <n v="9129"/>
    <n v="5"/>
    <s v="No"/>
    <n v="16"/>
    <s v="Excellent"/>
    <s v="High"/>
    <n v="0"/>
    <n v="4"/>
    <n v="3"/>
    <s v="Better"/>
    <x v="4"/>
    <s v="0-5"/>
    <n v="2"/>
    <n v="1"/>
    <n v="2"/>
    <n v="444"/>
  </r>
  <r>
    <n v="48"/>
    <x v="1"/>
    <x v="1"/>
    <s v="Travel_Rarely"/>
    <n v="163"/>
    <x v="1"/>
    <n v="2"/>
    <s v="Doctor"/>
    <x v="3"/>
    <s v="Medium"/>
    <x v="1"/>
    <n v="37"/>
    <s v="High"/>
    <x v="0"/>
    <s v="Sales Executive"/>
    <s v="Very High"/>
    <s v="Married"/>
    <n v="4051"/>
    <n v="19658"/>
    <n v="2"/>
    <s v="No"/>
    <n v="14"/>
    <s v="Excellent"/>
    <s v="Low"/>
    <n v="1"/>
    <n v="14"/>
    <n v="2"/>
    <s v="Better"/>
    <x v="7"/>
    <s v="5-10"/>
    <n v="7"/>
    <n v="6"/>
    <n v="7"/>
    <n v="445"/>
  </r>
  <r>
    <n v="55"/>
    <x v="1"/>
    <x v="1"/>
    <s v="Travel_Rarely"/>
    <n v="1117"/>
    <x v="1"/>
    <n v="18"/>
    <s v="Doctor"/>
    <x v="0"/>
    <s v="Low"/>
    <x v="1"/>
    <n v="83"/>
    <s v="High"/>
    <x v="3"/>
    <s v="Manager"/>
    <s v="Medium"/>
    <s v="Single"/>
    <n v="16835"/>
    <n v="9873"/>
    <n v="3"/>
    <s v="No"/>
    <n v="23"/>
    <s v="Outstanding"/>
    <s v="Very High"/>
    <n v="0"/>
    <n v="37"/>
    <n v="2"/>
    <s v="Better"/>
    <x v="1"/>
    <s v="5-10"/>
    <n v="9"/>
    <n v="7"/>
    <n v="7"/>
    <n v="446"/>
  </r>
  <r>
    <n v="41"/>
    <x v="0"/>
    <x v="1"/>
    <s v="Non-Travel"/>
    <n v="267"/>
    <x v="1"/>
    <n v="10"/>
    <s v="College"/>
    <x v="0"/>
    <s v="Very High"/>
    <x v="0"/>
    <n v="56"/>
    <s v="High"/>
    <x v="0"/>
    <s v="Sales Executive"/>
    <s v="Very High"/>
    <s v="Single"/>
    <n v="6230"/>
    <n v="13430"/>
    <n v="7"/>
    <s v="No"/>
    <n v="14"/>
    <s v="Excellent"/>
    <s v="Very High"/>
    <n v="0"/>
    <n v="16"/>
    <n v="3"/>
    <s v="Better"/>
    <x v="13"/>
    <s v="10-40"/>
    <n v="3"/>
    <n v="1"/>
    <n v="10"/>
    <n v="447"/>
  </r>
  <r>
    <n v="35"/>
    <x v="2"/>
    <x v="1"/>
    <s v="Travel_Rarely"/>
    <n v="619"/>
    <x v="1"/>
    <n v="1"/>
    <s v="Bachelor"/>
    <x v="3"/>
    <s v="Medium"/>
    <x v="0"/>
    <n v="85"/>
    <s v="High"/>
    <x v="0"/>
    <s v="Sales Executive"/>
    <s v="High"/>
    <s v="Married"/>
    <n v="4717"/>
    <n v="18659"/>
    <n v="9"/>
    <s v="No"/>
    <n v="11"/>
    <s v="Excellent"/>
    <s v="High"/>
    <n v="0"/>
    <n v="15"/>
    <n v="2"/>
    <s v="Better"/>
    <x v="19"/>
    <s v="10-40"/>
    <n v="9"/>
    <n v="6"/>
    <n v="9"/>
    <n v="448"/>
  </r>
  <r>
    <n v="40"/>
    <x v="0"/>
    <x v="1"/>
    <s v="Travel_Rarely"/>
    <n v="302"/>
    <x v="0"/>
    <n v="6"/>
    <s v="Bachelor"/>
    <x v="0"/>
    <s v="Medium"/>
    <x v="1"/>
    <n v="75"/>
    <s v="High"/>
    <x v="3"/>
    <s v="Manufacturing Director"/>
    <s v="High"/>
    <s v="Single"/>
    <n v="13237"/>
    <n v="20364"/>
    <n v="7"/>
    <s v="No"/>
    <n v="15"/>
    <s v="Excellent"/>
    <s v="High"/>
    <n v="0"/>
    <n v="22"/>
    <n v="3"/>
    <s v="Better"/>
    <x v="23"/>
    <s v="10-40"/>
    <n v="6"/>
    <n v="5"/>
    <n v="13"/>
    <n v="449"/>
  </r>
  <r>
    <n v="39"/>
    <x v="0"/>
    <x v="1"/>
    <s v="Travel_Frequently"/>
    <n v="443"/>
    <x v="0"/>
    <n v="8"/>
    <s v="Below College"/>
    <x v="0"/>
    <s v="High"/>
    <x v="1"/>
    <n v="48"/>
    <s v="High"/>
    <x v="1"/>
    <s v="Laboratory Technician"/>
    <s v="High"/>
    <s v="Married"/>
    <n v="3755"/>
    <n v="17872"/>
    <n v="1"/>
    <s v="No"/>
    <n v="11"/>
    <s v="Excellent"/>
    <s v="Low"/>
    <n v="1"/>
    <n v="8"/>
    <n v="3"/>
    <s v="Better"/>
    <x v="3"/>
    <s v="5-10"/>
    <n v="3"/>
    <n v="0"/>
    <n v="7"/>
    <n v="450"/>
  </r>
  <r>
    <n v="31"/>
    <x v="2"/>
    <x v="1"/>
    <s v="Travel_Rarely"/>
    <n v="828"/>
    <x v="1"/>
    <n v="2"/>
    <s v="Below College"/>
    <x v="0"/>
    <s v="Medium"/>
    <x v="0"/>
    <n v="77"/>
    <s v="High"/>
    <x v="0"/>
    <s v="Sales Executive"/>
    <s v="Very High"/>
    <s v="Single"/>
    <n v="6582"/>
    <n v="8346"/>
    <n v="4"/>
    <s v="Yes"/>
    <n v="13"/>
    <s v="Excellent"/>
    <s v="High"/>
    <n v="0"/>
    <n v="10"/>
    <n v="2"/>
    <s v="Best"/>
    <x v="0"/>
    <s v="5-10"/>
    <n v="5"/>
    <n v="0"/>
    <n v="5"/>
    <n v="451"/>
  </r>
  <r>
    <n v="42"/>
    <x v="0"/>
    <x v="1"/>
    <s v="Travel_Rarely"/>
    <n v="319"/>
    <x v="0"/>
    <n v="24"/>
    <s v="Bachelor"/>
    <x v="2"/>
    <s v="Very High"/>
    <x v="0"/>
    <n v="56"/>
    <s v="High"/>
    <x v="2"/>
    <s v="Manufacturing Director"/>
    <s v="Low"/>
    <s v="Married"/>
    <n v="7406"/>
    <n v="6950"/>
    <n v="1"/>
    <s v="Yes"/>
    <n v="21"/>
    <s v="Outstanding"/>
    <s v="Very High"/>
    <n v="1"/>
    <n v="10"/>
    <n v="5"/>
    <s v="Good"/>
    <x v="1"/>
    <s v="5-10"/>
    <n v="9"/>
    <n v="5"/>
    <n v="8"/>
    <n v="452"/>
  </r>
  <r>
    <n v="45"/>
    <x v="0"/>
    <x v="1"/>
    <s v="Travel_Rarely"/>
    <n v="561"/>
    <x v="1"/>
    <n v="2"/>
    <s v="Bachelor"/>
    <x v="1"/>
    <s v="Very High"/>
    <x v="0"/>
    <n v="61"/>
    <s v="High"/>
    <x v="0"/>
    <s v="Sales Executive"/>
    <s v="Medium"/>
    <s v="Married"/>
    <n v="4805"/>
    <n v="16177"/>
    <n v="0"/>
    <s v="No"/>
    <n v="19"/>
    <s v="Excellent"/>
    <s v="Medium"/>
    <n v="1"/>
    <n v="9"/>
    <n v="3"/>
    <s v="Best"/>
    <x v="3"/>
    <s v="5-10"/>
    <n v="7"/>
    <n v="3"/>
    <n v="7"/>
    <n v="453"/>
  </r>
  <r>
    <n v="26"/>
    <x v="2"/>
    <x v="0"/>
    <s v="Travel_Frequently"/>
    <n v="426"/>
    <x v="2"/>
    <n v="17"/>
    <s v="Master"/>
    <x v="0"/>
    <s v="Medium"/>
    <x v="1"/>
    <n v="58"/>
    <s v="High"/>
    <x v="1"/>
    <s v="Human Resources"/>
    <s v="High"/>
    <s v="Divorced"/>
    <n v="2741"/>
    <n v="22808"/>
    <n v="0"/>
    <s v="Yes"/>
    <n v="11"/>
    <s v="Excellent"/>
    <s v="Medium"/>
    <n v="1"/>
    <n v="8"/>
    <n v="2"/>
    <s v="Good"/>
    <x v="5"/>
    <s v="5-10"/>
    <n v="7"/>
    <n v="1"/>
    <n v="0"/>
    <n v="454"/>
  </r>
  <r>
    <n v="29"/>
    <x v="2"/>
    <x v="1"/>
    <s v="Travel_Rarely"/>
    <n v="232"/>
    <x v="0"/>
    <n v="19"/>
    <s v="Bachelor"/>
    <x v="4"/>
    <s v="Very High"/>
    <x v="0"/>
    <n v="34"/>
    <s v="High"/>
    <x v="0"/>
    <s v="Manufacturing Director"/>
    <s v="Very High"/>
    <s v="Divorced"/>
    <n v="4262"/>
    <n v="22645"/>
    <n v="4"/>
    <s v="No"/>
    <n v="12"/>
    <s v="Excellent"/>
    <s v="Medium"/>
    <n v="2"/>
    <n v="8"/>
    <n v="2"/>
    <s v="Best"/>
    <x v="11"/>
    <s v="0-5"/>
    <n v="2"/>
    <n v="1"/>
    <n v="2"/>
    <n v="455"/>
  </r>
  <r>
    <n v="33"/>
    <x v="2"/>
    <x v="1"/>
    <s v="Travel_Rarely"/>
    <n v="922"/>
    <x v="0"/>
    <n v="1"/>
    <s v="Doctor"/>
    <x v="2"/>
    <s v="Low"/>
    <x v="1"/>
    <n v="95"/>
    <s v="Very High"/>
    <x v="3"/>
    <s v="Research Director"/>
    <s v="High"/>
    <s v="Divorced"/>
    <n v="16184"/>
    <n v="22578"/>
    <n v="4"/>
    <s v="No"/>
    <n v="19"/>
    <s v="Excellent"/>
    <s v="High"/>
    <n v="1"/>
    <n v="10"/>
    <n v="2"/>
    <s v="Better"/>
    <x v="0"/>
    <s v="5-10"/>
    <n v="1"/>
    <n v="0"/>
    <n v="5"/>
    <n v="456"/>
  </r>
  <r>
    <n v="31"/>
    <x v="2"/>
    <x v="1"/>
    <s v="Travel_Rarely"/>
    <n v="688"/>
    <x v="1"/>
    <n v="7"/>
    <s v="Bachelor"/>
    <x v="0"/>
    <s v="High"/>
    <x v="0"/>
    <n v="44"/>
    <s v="Medium"/>
    <x v="2"/>
    <s v="Manager"/>
    <s v="Very High"/>
    <s v="Divorced"/>
    <n v="11557"/>
    <n v="25291"/>
    <n v="9"/>
    <s v="No"/>
    <n v="21"/>
    <s v="Outstanding"/>
    <s v="High"/>
    <n v="1"/>
    <n v="10"/>
    <n v="3"/>
    <s v="Good"/>
    <x v="8"/>
    <s v="0-5"/>
    <n v="4"/>
    <n v="0"/>
    <n v="1"/>
    <n v="457"/>
  </r>
  <r>
    <n v="18"/>
    <x v="4"/>
    <x v="0"/>
    <s v="Travel_Frequently"/>
    <n v="1306"/>
    <x v="1"/>
    <n v="5"/>
    <s v="Bachelor"/>
    <x v="3"/>
    <s v="Medium"/>
    <x v="0"/>
    <n v="69"/>
    <s v="High"/>
    <x v="1"/>
    <s v="Sales Representative"/>
    <s v="Medium"/>
    <s v="Single"/>
    <n v="1878"/>
    <n v="8059"/>
    <n v="1"/>
    <s v="Yes"/>
    <n v="14"/>
    <s v="Excellent"/>
    <s v="Very High"/>
    <n v="0"/>
    <n v="0"/>
    <n v="3"/>
    <s v="Better"/>
    <x v="2"/>
    <s v="0-5"/>
    <n v="0"/>
    <n v="0"/>
    <n v="0"/>
    <n v="458"/>
  </r>
  <r>
    <n v="40"/>
    <x v="0"/>
    <x v="1"/>
    <s v="Non-Travel"/>
    <n v="1094"/>
    <x v="1"/>
    <n v="28"/>
    <s v="Bachelor"/>
    <x v="1"/>
    <s v="High"/>
    <x v="0"/>
    <n v="58"/>
    <s v="Low"/>
    <x v="2"/>
    <s v="Sales Executive"/>
    <s v="Low"/>
    <s v="Divorced"/>
    <n v="10932"/>
    <n v="11373"/>
    <n v="3"/>
    <s v="No"/>
    <n v="15"/>
    <s v="Excellent"/>
    <s v="High"/>
    <n v="1"/>
    <n v="20"/>
    <n v="2"/>
    <s v="Better"/>
    <x v="6"/>
    <s v="0-5"/>
    <n v="0"/>
    <n v="0"/>
    <n v="1"/>
    <n v="459"/>
  </r>
  <r>
    <n v="41"/>
    <x v="0"/>
    <x v="1"/>
    <s v="Non-Travel"/>
    <n v="509"/>
    <x v="0"/>
    <n v="2"/>
    <s v="Master"/>
    <x v="1"/>
    <s v="Low"/>
    <x v="1"/>
    <n v="62"/>
    <s v="Medium"/>
    <x v="0"/>
    <s v="Healthcare Representative"/>
    <s v="High"/>
    <s v="Single"/>
    <n v="6811"/>
    <n v="2112"/>
    <n v="2"/>
    <s v="Yes"/>
    <n v="17"/>
    <s v="Excellent"/>
    <s v="Low"/>
    <n v="0"/>
    <n v="10"/>
    <n v="3"/>
    <s v="Better"/>
    <x v="3"/>
    <s v="5-10"/>
    <n v="7"/>
    <n v="0"/>
    <n v="7"/>
    <n v="460"/>
  </r>
  <r>
    <n v="26"/>
    <x v="2"/>
    <x v="1"/>
    <s v="Travel_Rarely"/>
    <n v="775"/>
    <x v="1"/>
    <n v="29"/>
    <s v="College"/>
    <x v="2"/>
    <s v="Low"/>
    <x v="0"/>
    <n v="45"/>
    <s v="High"/>
    <x v="0"/>
    <s v="Sales Executive"/>
    <s v="High"/>
    <s v="Divorced"/>
    <n v="4306"/>
    <n v="4267"/>
    <n v="5"/>
    <s v="No"/>
    <n v="12"/>
    <s v="Excellent"/>
    <s v="Low"/>
    <n v="2"/>
    <n v="8"/>
    <n v="5"/>
    <s v="Better"/>
    <x v="2"/>
    <s v="0-5"/>
    <n v="0"/>
    <n v="0"/>
    <n v="0"/>
    <n v="461"/>
  </r>
  <r>
    <n v="35"/>
    <x v="2"/>
    <x v="1"/>
    <s v="Travel_Rarely"/>
    <n v="195"/>
    <x v="1"/>
    <n v="1"/>
    <s v="Bachelor"/>
    <x v="2"/>
    <s v="Low"/>
    <x v="1"/>
    <n v="80"/>
    <s v="High"/>
    <x v="0"/>
    <s v="Sales Executive"/>
    <s v="High"/>
    <s v="Single"/>
    <n v="4859"/>
    <n v="6698"/>
    <n v="1"/>
    <s v="No"/>
    <n v="16"/>
    <s v="Excellent"/>
    <s v="Very High"/>
    <n v="0"/>
    <n v="5"/>
    <n v="3"/>
    <s v="Better"/>
    <x v="8"/>
    <s v="0-5"/>
    <n v="4"/>
    <n v="0"/>
    <n v="3"/>
    <n v="462"/>
  </r>
  <r>
    <n v="34"/>
    <x v="2"/>
    <x v="1"/>
    <s v="Travel_Rarely"/>
    <n v="258"/>
    <x v="1"/>
    <n v="21"/>
    <s v="Master"/>
    <x v="0"/>
    <s v="Very High"/>
    <x v="0"/>
    <n v="74"/>
    <s v="Very High"/>
    <x v="0"/>
    <s v="Sales Executive"/>
    <s v="Very High"/>
    <s v="Single"/>
    <n v="5337"/>
    <n v="19921"/>
    <n v="1"/>
    <s v="No"/>
    <n v="12"/>
    <s v="Excellent"/>
    <s v="Very High"/>
    <n v="0"/>
    <n v="10"/>
    <n v="3"/>
    <s v="Better"/>
    <x v="1"/>
    <s v="5-10"/>
    <n v="7"/>
    <n v="5"/>
    <n v="7"/>
    <n v="463"/>
  </r>
  <r>
    <n v="26"/>
    <x v="2"/>
    <x v="0"/>
    <s v="Travel_Rarely"/>
    <n v="471"/>
    <x v="0"/>
    <n v="24"/>
    <s v="Bachelor"/>
    <x v="4"/>
    <s v="High"/>
    <x v="0"/>
    <n v="66"/>
    <s v="Low"/>
    <x v="1"/>
    <s v="Laboratory Technician"/>
    <s v="Very High"/>
    <s v="Single"/>
    <n v="2340"/>
    <n v="23213"/>
    <n v="1"/>
    <s v="Yes"/>
    <n v="18"/>
    <s v="Excellent"/>
    <s v="Medium"/>
    <n v="0"/>
    <n v="1"/>
    <n v="3"/>
    <s v="Bad"/>
    <x v="6"/>
    <s v="0-5"/>
    <n v="0"/>
    <n v="0"/>
    <n v="0"/>
    <n v="464"/>
  </r>
  <r>
    <n v="37"/>
    <x v="0"/>
    <x v="1"/>
    <s v="Travel_Rarely"/>
    <n v="799"/>
    <x v="0"/>
    <n v="1"/>
    <s v="Bachelor"/>
    <x v="4"/>
    <s v="Medium"/>
    <x v="1"/>
    <n v="59"/>
    <s v="High"/>
    <x v="2"/>
    <s v="Manufacturing Director"/>
    <s v="Very High"/>
    <s v="Single"/>
    <n v="7491"/>
    <n v="23848"/>
    <n v="4"/>
    <s v="No"/>
    <n v="17"/>
    <s v="Excellent"/>
    <s v="Very High"/>
    <n v="0"/>
    <n v="12"/>
    <n v="3"/>
    <s v="Best"/>
    <x v="0"/>
    <s v="5-10"/>
    <n v="5"/>
    <n v="1"/>
    <n v="2"/>
    <n v="465"/>
  </r>
  <r>
    <n v="46"/>
    <x v="1"/>
    <x v="1"/>
    <s v="Travel_Frequently"/>
    <n v="1034"/>
    <x v="0"/>
    <n v="18"/>
    <s v="Below College"/>
    <x v="2"/>
    <s v="Low"/>
    <x v="1"/>
    <n v="86"/>
    <s v="High"/>
    <x v="2"/>
    <s v="Healthcare Representative"/>
    <s v="High"/>
    <s v="Married"/>
    <n v="10527"/>
    <n v="8984"/>
    <n v="5"/>
    <s v="No"/>
    <n v="11"/>
    <s v="Excellent"/>
    <s v="Very High"/>
    <n v="0"/>
    <n v="28"/>
    <n v="3"/>
    <s v="Good"/>
    <x v="4"/>
    <s v="0-5"/>
    <n v="2"/>
    <n v="1"/>
    <n v="2"/>
    <n v="466"/>
  </r>
  <r>
    <n v="41"/>
    <x v="0"/>
    <x v="1"/>
    <s v="Travel_Rarely"/>
    <n v="1276"/>
    <x v="1"/>
    <n v="2"/>
    <s v="Doctor"/>
    <x v="0"/>
    <s v="Medium"/>
    <x v="1"/>
    <n v="91"/>
    <s v="High"/>
    <x v="3"/>
    <s v="Manager"/>
    <s v="Low"/>
    <s v="Married"/>
    <n v="16595"/>
    <n v="5626"/>
    <n v="7"/>
    <s v="No"/>
    <n v="16"/>
    <s v="Excellent"/>
    <s v="Medium"/>
    <n v="1"/>
    <n v="22"/>
    <n v="2"/>
    <s v="Better"/>
    <x v="29"/>
    <s v="10-40"/>
    <n v="16"/>
    <n v="11"/>
    <n v="8"/>
    <n v="467"/>
  </r>
  <r>
    <n v="37"/>
    <x v="0"/>
    <x v="1"/>
    <s v="Non-Travel"/>
    <n v="142"/>
    <x v="1"/>
    <n v="9"/>
    <s v="Master"/>
    <x v="2"/>
    <s v="Low"/>
    <x v="0"/>
    <n v="69"/>
    <s v="High"/>
    <x v="2"/>
    <s v="Sales Executive"/>
    <s v="Medium"/>
    <s v="Divorced"/>
    <n v="8834"/>
    <n v="24666"/>
    <n v="1"/>
    <s v="No"/>
    <n v="13"/>
    <s v="Excellent"/>
    <s v="Very High"/>
    <n v="1"/>
    <n v="9"/>
    <n v="6"/>
    <s v="Better"/>
    <x v="7"/>
    <s v="5-10"/>
    <n v="5"/>
    <n v="7"/>
    <n v="7"/>
    <n v="468"/>
  </r>
  <r>
    <n v="52"/>
    <x v="1"/>
    <x v="1"/>
    <s v="Travel_Rarely"/>
    <n v="956"/>
    <x v="0"/>
    <n v="6"/>
    <s v="College"/>
    <x v="4"/>
    <s v="Very High"/>
    <x v="0"/>
    <n v="78"/>
    <s v="High"/>
    <x v="0"/>
    <s v="Research Scientist"/>
    <s v="Low"/>
    <s v="Divorced"/>
    <n v="5577"/>
    <n v="22087"/>
    <n v="3"/>
    <s v="Yes"/>
    <n v="12"/>
    <s v="Excellent"/>
    <s v="Medium"/>
    <n v="2"/>
    <n v="18"/>
    <n v="3"/>
    <s v="Better"/>
    <x v="1"/>
    <s v="5-10"/>
    <n v="9"/>
    <n v="6"/>
    <n v="9"/>
    <n v="469"/>
  </r>
  <r>
    <n v="32"/>
    <x v="2"/>
    <x v="0"/>
    <s v="Non-Travel"/>
    <n v="1474"/>
    <x v="1"/>
    <n v="11"/>
    <s v="Master"/>
    <x v="1"/>
    <s v="Very High"/>
    <x v="0"/>
    <n v="60"/>
    <s v="Very High"/>
    <x v="0"/>
    <s v="Sales Executive"/>
    <s v="High"/>
    <s v="Married"/>
    <n v="4707"/>
    <n v="23914"/>
    <n v="8"/>
    <s v="No"/>
    <n v="12"/>
    <s v="Excellent"/>
    <s v="Very High"/>
    <n v="0"/>
    <n v="6"/>
    <n v="2"/>
    <s v="Better"/>
    <x v="9"/>
    <s v="0-5"/>
    <n v="2"/>
    <n v="1"/>
    <n v="2"/>
    <n v="470"/>
  </r>
  <r>
    <n v="24"/>
    <x v="4"/>
    <x v="1"/>
    <s v="Travel_Frequently"/>
    <n v="535"/>
    <x v="1"/>
    <n v="24"/>
    <s v="Bachelor"/>
    <x v="2"/>
    <s v="Very High"/>
    <x v="0"/>
    <n v="38"/>
    <s v="High"/>
    <x v="1"/>
    <s v="Sales Representative"/>
    <s v="Very High"/>
    <s v="Married"/>
    <n v="2400"/>
    <n v="5530"/>
    <n v="0"/>
    <s v="No"/>
    <n v="13"/>
    <s v="Excellent"/>
    <s v="High"/>
    <n v="2"/>
    <n v="3"/>
    <n v="3"/>
    <s v="Better"/>
    <x v="4"/>
    <s v="0-5"/>
    <n v="2"/>
    <n v="2"/>
    <n v="1"/>
    <n v="471"/>
  </r>
  <r>
    <n v="38"/>
    <x v="0"/>
    <x v="1"/>
    <s v="Travel_Rarely"/>
    <n v="1495"/>
    <x v="0"/>
    <n v="10"/>
    <s v="Bachelor"/>
    <x v="2"/>
    <s v="High"/>
    <x v="1"/>
    <n v="76"/>
    <s v="High"/>
    <x v="0"/>
    <s v="Healthcare Representative"/>
    <s v="High"/>
    <s v="Married"/>
    <n v="9824"/>
    <n v="22174"/>
    <n v="3"/>
    <s v="No"/>
    <n v="19"/>
    <s v="Excellent"/>
    <s v="High"/>
    <n v="1"/>
    <n v="18"/>
    <n v="4"/>
    <s v="Better"/>
    <x v="6"/>
    <s v="0-5"/>
    <n v="0"/>
    <n v="0"/>
    <n v="0"/>
    <n v="472"/>
  </r>
  <r>
    <n v="37"/>
    <x v="0"/>
    <x v="1"/>
    <s v="Travel_Rarely"/>
    <n v="446"/>
    <x v="0"/>
    <n v="1"/>
    <s v="Master"/>
    <x v="0"/>
    <s v="Medium"/>
    <x v="1"/>
    <n v="65"/>
    <s v="High"/>
    <x v="0"/>
    <s v="Manufacturing Director"/>
    <s v="Medium"/>
    <s v="Married"/>
    <n v="6447"/>
    <n v="15701"/>
    <n v="6"/>
    <s v="No"/>
    <n v="12"/>
    <s v="Excellent"/>
    <s v="Medium"/>
    <n v="1"/>
    <n v="8"/>
    <n v="2"/>
    <s v="Good"/>
    <x v="0"/>
    <s v="5-10"/>
    <n v="5"/>
    <n v="4"/>
    <n v="3"/>
    <n v="473"/>
  </r>
  <r>
    <n v="49"/>
    <x v="1"/>
    <x v="1"/>
    <s v="Travel_Rarely"/>
    <n v="1245"/>
    <x v="0"/>
    <n v="18"/>
    <s v="Master"/>
    <x v="0"/>
    <s v="Very High"/>
    <x v="0"/>
    <n v="58"/>
    <s v="Medium"/>
    <x v="4"/>
    <s v="Research Director"/>
    <s v="High"/>
    <s v="Divorced"/>
    <n v="19502"/>
    <n v="2125"/>
    <n v="1"/>
    <s v="Yes"/>
    <n v="17"/>
    <s v="Excellent"/>
    <s v="High"/>
    <n v="1"/>
    <n v="31"/>
    <n v="5"/>
    <s v="Better"/>
    <x v="31"/>
    <s v="10-40"/>
    <n v="9"/>
    <n v="0"/>
    <n v="9"/>
    <n v="474"/>
  </r>
  <r>
    <n v="24"/>
    <x v="4"/>
    <x v="1"/>
    <s v="Travel_Rarely"/>
    <n v="691"/>
    <x v="0"/>
    <n v="23"/>
    <s v="Bachelor"/>
    <x v="2"/>
    <s v="Medium"/>
    <x v="0"/>
    <n v="89"/>
    <s v="Very High"/>
    <x v="1"/>
    <s v="Research Scientist"/>
    <s v="Very High"/>
    <s v="Married"/>
    <n v="2725"/>
    <n v="21630"/>
    <n v="1"/>
    <s v="Yes"/>
    <n v="11"/>
    <s v="Excellent"/>
    <s v="Medium"/>
    <n v="2"/>
    <n v="6"/>
    <n v="3"/>
    <s v="Better"/>
    <x v="0"/>
    <s v="5-10"/>
    <n v="5"/>
    <n v="1"/>
    <n v="4"/>
    <n v="475"/>
  </r>
  <r>
    <n v="26"/>
    <x v="2"/>
    <x v="1"/>
    <s v="Travel_Rarely"/>
    <n v="703"/>
    <x v="1"/>
    <n v="28"/>
    <s v="College"/>
    <x v="3"/>
    <s v="Low"/>
    <x v="0"/>
    <n v="66"/>
    <s v="High"/>
    <x v="0"/>
    <s v="Sales Executive"/>
    <s v="Medium"/>
    <s v="Married"/>
    <n v="6272"/>
    <n v="7428"/>
    <n v="1"/>
    <s v="No"/>
    <n v="20"/>
    <s v="Outstanding"/>
    <s v="Very High"/>
    <n v="2"/>
    <n v="6"/>
    <n v="5"/>
    <s v="Best"/>
    <x v="8"/>
    <s v="0-5"/>
    <n v="3"/>
    <n v="1"/>
    <n v="4"/>
    <n v="476"/>
  </r>
  <r>
    <n v="24"/>
    <x v="4"/>
    <x v="1"/>
    <s v="Travel_Rarely"/>
    <n v="823"/>
    <x v="0"/>
    <n v="17"/>
    <s v="College"/>
    <x v="1"/>
    <s v="Very High"/>
    <x v="0"/>
    <n v="94"/>
    <s v="Medium"/>
    <x v="1"/>
    <s v="Laboratory Technician"/>
    <s v="Medium"/>
    <s v="Married"/>
    <n v="2127"/>
    <n v="9100"/>
    <n v="1"/>
    <s v="No"/>
    <n v="21"/>
    <s v="Outstanding"/>
    <s v="Very High"/>
    <n v="1"/>
    <n v="1"/>
    <n v="2"/>
    <s v="Better"/>
    <x v="6"/>
    <s v="0-5"/>
    <n v="0"/>
    <n v="0"/>
    <n v="0"/>
    <n v="477"/>
  </r>
  <r>
    <n v="50"/>
    <x v="1"/>
    <x v="1"/>
    <s v="Travel_Frequently"/>
    <n v="1246"/>
    <x v="2"/>
    <n v="3"/>
    <s v="Bachelor"/>
    <x v="2"/>
    <s v="Low"/>
    <x v="0"/>
    <n v="99"/>
    <s v="High"/>
    <x v="4"/>
    <s v="Manager"/>
    <s v="Medium"/>
    <s v="Married"/>
    <n v="18200"/>
    <n v="7999"/>
    <n v="1"/>
    <s v="No"/>
    <n v="11"/>
    <s v="Excellent"/>
    <s v="High"/>
    <n v="1"/>
    <n v="32"/>
    <n v="2"/>
    <s v="Better"/>
    <x v="32"/>
    <s v="10-40"/>
    <n v="5"/>
    <n v="10"/>
    <n v="7"/>
    <n v="478"/>
  </r>
  <r>
    <n v="25"/>
    <x v="4"/>
    <x v="1"/>
    <s v="Travel_Rarely"/>
    <n v="622"/>
    <x v="1"/>
    <n v="13"/>
    <s v="Below College"/>
    <x v="2"/>
    <s v="Medium"/>
    <x v="0"/>
    <n v="40"/>
    <s v="High"/>
    <x v="1"/>
    <s v="Sales Representative"/>
    <s v="High"/>
    <s v="Married"/>
    <n v="2096"/>
    <n v="26376"/>
    <n v="1"/>
    <s v="No"/>
    <n v="11"/>
    <s v="Excellent"/>
    <s v="High"/>
    <n v="0"/>
    <n v="7"/>
    <n v="1"/>
    <s v="Better"/>
    <x v="5"/>
    <s v="5-10"/>
    <n v="4"/>
    <n v="0"/>
    <n v="6"/>
    <n v="479"/>
  </r>
  <r>
    <n v="24"/>
    <x v="4"/>
    <x v="0"/>
    <s v="Travel_Frequently"/>
    <n v="1287"/>
    <x v="0"/>
    <n v="7"/>
    <s v="Bachelor"/>
    <x v="0"/>
    <s v="Low"/>
    <x v="1"/>
    <n v="55"/>
    <s v="High"/>
    <x v="1"/>
    <s v="Laboratory Technician"/>
    <s v="High"/>
    <s v="Married"/>
    <n v="2886"/>
    <n v="14168"/>
    <n v="1"/>
    <s v="Yes"/>
    <n v="16"/>
    <s v="Excellent"/>
    <s v="Very High"/>
    <n v="1"/>
    <n v="6"/>
    <n v="4"/>
    <s v="Better"/>
    <x v="0"/>
    <s v="5-10"/>
    <n v="3"/>
    <n v="1"/>
    <n v="2"/>
    <n v="480"/>
  </r>
  <r>
    <n v="30"/>
    <x v="2"/>
    <x v="0"/>
    <s v="Travel_Frequently"/>
    <n v="448"/>
    <x v="1"/>
    <n v="12"/>
    <s v="Master"/>
    <x v="0"/>
    <s v="Medium"/>
    <x v="0"/>
    <n v="74"/>
    <s v="Medium"/>
    <x v="1"/>
    <s v="Sales Representative"/>
    <s v="Low"/>
    <s v="Married"/>
    <n v="2033"/>
    <n v="14470"/>
    <n v="1"/>
    <s v="No"/>
    <n v="18"/>
    <s v="Excellent"/>
    <s v="High"/>
    <n v="1"/>
    <n v="1"/>
    <n v="2"/>
    <s v="Best"/>
    <x v="6"/>
    <s v="0-5"/>
    <n v="0"/>
    <n v="0"/>
    <n v="0"/>
    <n v="481"/>
  </r>
  <r>
    <n v="34"/>
    <x v="2"/>
    <x v="1"/>
    <s v="Travel_Rarely"/>
    <n v="254"/>
    <x v="0"/>
    <n v="1"/>
    <s v="College"/>
    <x v="0"/>
    <s v="Medium"/>
    <x v="0"/>
    <n v="83"/>
    <s v="Medium"/>
    <x v="1"/>
    <s v="Research Scientist"/>
    <s v="Very High"/>
    <s v="Married"/>
    <n v="3622"/>
    <n v="22794"/>
    <n v="1"/>
    <s v="Yes"/>
    <n v="13"/>
    <s v="Excellent"/>
    <s v="Very High"/>
    <n v="1"/>
    <n v="6"/>
    <n v="3"/>
    <s v="Better"/>
    <x v="0"/>
    <s v="5-10"/>
    <n v="5"/>
    <n v="1"/>
    <n v="3"/>
    <n v="482"/>
  </r>
  <r>
    <n v="31"/>
    <x v="2"/>
    <x v="0"/>
    <s v="Travel_Rarely"/>
    <n v="1365"/>
    <x v="1"/>
    <n v="13"/>
    <s v="Master"/>
    <x v="2"/>
    <s v="Medium"/>
    <x v="0"/>
    <n v="46"/>
    <s v="High"/>
    <x v="0"/>
    <s v="Sales Executive"/>
    <s v="Low"/>
    <s v="Divorced"/>
    <n v="4233"/>
    <n v="11512"/>
    <n v="2"/>
    <s v="No"/>
    <n v="17"/>
    <s v="Excellent"/>
    <s v="High"/>
    <n v="0"/>
    <n v="9"/>
    <n v="2"/>
    <s v="Bad"/>
    <x v="11"/>
    <s v="0-5"/>
    <n v="1"/>
    <n v="1"/>
    <n v="2"/>
    <n v="483"/>
  </r>
  <r>
    <n v="35"/>
    <x v="2"/>
    <x v="1"/>
    <s v="Travel_Rarely"/>
    <n v="538"/>
    <x v="0"/>
    <n v="25"/>
    <s v="College"/>
    <x v="1"/>
    <s v="Low"/>
    <x v="0"/>
    <n v="54"/>
    <s v="Medium"/>
    <x v="0"/>
    <s v="Laboratory Technician"/>
    <s v="Very High"/>
    <s v="Single"/>
    <n v="3681"/>
    <n v="14004"/>
    <n v="4"/>
    <s v="No"/>
    <n v="14"/>
    <s v="Excellent"/>
    <s v="Very High"/>
    <n v="0"/>
    <n v="9"/>
    <n v="3"/>
    <s v="Better"/>
    <x v="11"/>
    <s v="0-5"/>
    <n v="2"/>
    <n v="0"/>
    <n v="2"/>
    <n v="484"/>
  </r>
  <r>
    <n v="31"/>
    <x v="2"/>
    <x v="1"/>
    <s v="Travel_Rarely"/>
    <n v="525"/>
    <x v="1"/>
    <n v="6"/>
    <s v="Master"/>
    <x v="2"/>
    <s v="Low"/>
    <x v="0"/>
    <n v="66"/>
    <s v="Very High"/>
    <x v="0"/>
    <s v="Sales Executive"/>
    <s v="Very High"/>
    <s v="Divorced"/>
    <n v="5460"/>
    <n v="6219"/>
    <n v="4"/>
    <s v="No"/>
    <n v="22"/>
    <s v="Outstanding"/>
    <s v="Very High"/>
    <n v="2"/>
    <n v="13"/>
    <n v="4"/>
    <s v="Best"/>
    <x v="5"/>
    <s v="5-10"/>
    <n v="7"/>
    <n v="5"/>
    <n v="7"/>
    <n v="485"/>
  </r>
  <r>
    <n v="27"/>
    <x v="2"/>
    <x v="1"/>
    <s v="Travel_Rarely"/>
    <n v="798"/>
    <x v="0"/>
    <n v="6"/>
    <s v="Master"/>
    <x v="2"/>
    <s v="Low"/>
    <x v="1"/>
    <n v="66"/>
    <s v="Medium"/>
    <x v="1"/>
    <s v="Research Scientist"/>
    <s v="High"/>
    <s v="Divorced"/>
    <n v="2187"/>
    <n v="5013"/>
    <n v="0"/>
    <s v="No"/>
    <n v="12"/>
    <s v="Excellent"/>
    <s v="High"/>
    <n v="2"/>
    <n v="6"/>
    <n v="5"/>
    <s v="Good"/>
    <x v="8"/>
    <s v="0-5"/>
    <n v="3"/>
    <n v="0"/>
    <n v="3"/>
    <n v="486"/>
  </r>
  <r>
    <n v="37"/>
    <x v="0"/>
    <x v="1"/>
    <s v="Travel_Rarely"/>
    <n v="558"/>
    <x v="1"/>
    <n v="2"/>
    <s v="Bachelor"/>
    <x v="3"/>
    <s v="Very High"/>
    <x v="0"/>
    <n v="75"/>
    <s v="High"/>
    <x v="0"/>
    <s v="Sales Executive"/>
    <s v="High"/>
    <s v="Married"/>
    <n v="9602"/>
    <n v="3010"/>
    <n v="4"/>
    <s v="Yes"/>
    <n v="11"/>
    <s v="Excellent"/>
    <s v="High"/>
    <n v="1"/>
    <n v="17"/>
    <n v="3"/>
    <s v="Good"/>
    <x v="11"/>
    <s v="0-5"/>
    <n v="0"/>
    <n v="1"/>
    <n v="0"/>
    <n v="487"/>
  </r>
  <r>
    <n v="20"/>
    <x v="4"/>
    <x v="1"/>
    <s v="Travel_Rarely"/>
    <n v="959"/>
    <x v="0"/>
    <n v="1"/>
    <s v="Bachelor"/>
    <x v="0"/>
    <s v="Very High"/>
    <x v="1"/>
    <n v="83"/>
    <s v="Medium"/>
    <x v="1"/>
    <s v="Research Scientist"/>
    <s v="Medium"/>
    <s v="Single"/>
    <n v="2836"/>
    <n v="11757"/>
    <n v="1"/>
    <s v="No"/>
    <n v="13"/>
    <s v="Excellent"/>
    <s v="Very High"/>
    <n v="0"/>
    <n v="1"/>
    <n v="0"/>
    <s v="Best"/>
    <x v="6"/>
    <s v="0-5"/>
    <n v="0"/>
    <n v="0"/>
    <n v="0"/>
    <n v="488"/>
  </r>
  <r>
    <n v="42"/>
    <x v="0"/>
    <x v="1"/>
    <s v="Travel_Rarely"/>
    <n v="622"/>
    <x v="0"/>
    <n v="2"/>
    <s v="Master"/>
    <x v="0"/>
    <s v="High"/>
    <x v="1"/>
    <n v="81"/>
    <s v="High"/>
    <x v="0"/>
    <s v="Healthcare Representative"/>
    <s v="Very High"/>
    <s v="Married"/>
    <n v="4089"/>
    <n v="5718"/>
    <n v="1"/>
    <s v="No"/>
    <n v="13"/>
    <s v="Excellent"/>
    <s v="Medium"/>
    <n v="2"/>
    <n v="10"/>
    <n v="4"/>
    <s v="Better"/>
    <x v="1"/>
    <s v="5-10"/>
    <n v="2"/>
    <n v="2"/>
    <n v="2"/>
    <n v="489"/>
  </r>
  <r>
    <n v="43"/>
    <x v="0"/>
    <x v="1"/>
    <s v="Travel_Rarely"/>
    <n v="782"/>
    <x v="0"/>
    <n v="6"/>
    <s v="Master"/>
    <x v="1"/>
    <s v="Medium"/>
    <x v="0"/>
    <n v="50"/>
    <s v="Medium"/>
    <x v="3"/>
    <s v="Research Director"/>
    <s v="Very High"/>
    <s v="Divorced"/>
    <n v="16627"/>
    <n v="2671"/>
    <n v="4"/>
    <s v="Yes"/>
    <n v="14"/>
    <s v="Excellent"/>
    <s v="High"/>
    <n v="1"/>
    <n v="21"/>
    <n v="3"/>
    <s v="Good"/>
    <x v="6"/>
    <s v="0-5"/>
    <n v="0"/>
    <n v="0"/>
    <n v="0"/>
    <n v="490"/>
  </r>
  <r>
    <n v="38"/>
    <x v="0"/>
    <x v="1"/>
    <s v="Travel_Rarely"/>
    <n v="362"/>
    <x v="0"/>
    <n v="1"/>
    <s v="Below College"/>
    <x v="0"/>
    <s v="High"/>
    <x v="1"/>
    <n v="43"/>
    <s v="High"/>
    <x v="1"/>
    <s v="Research Scientist"/>
    <s v="Low"/>
    <s v="Single"/>
    <n v="2619"/>
    <n v="14561"/>
    <n v="3"/>
    <s v="No"/>
    <n v="17"/>
    <s v="Excellent"/>
    <s v="Very High"/>
    <n v="0"/>
    <n v="8"/>
    <n v="3"/>
    <s v="Good"/>
    <x v="2"/>
    <s v="0-5"/>
    <n v="0"/>
    <n v="0"/>
    <n v="0"/>
    <n v="491"/>
  </r>
  <r>
    <n v="43"/>
    <x v="0"/>
    <x v="1"/>
    <s v="Travel_Frequently"/>
    <n v="1001"/>
    <x v="0"/>
    <n v="9"/>
    <s v="Doctor"/>
    <x v="2"/>
    <s v="Very High"/>
    <x v="0"/>
    <n v="72"/>
    <s v="High"/>
    <x v="0"/>
    <s v="Laboratory Technician"/>
    <s v="High"/>
    <s v="Divorced"/>
    <n v="5679"/>
    <n v="19627"/>
    <n v="3"/>
    <s v="Yes"/>
    <n v="13"/>
    <s v="Excellent"/>
    <s v="Medium"/>
    <n v="1"/>
    <n v="10"/>
    <n v="3"/>
    <s v="Better"/>
    <x v="3"/>
    <s v="5-10"/>
    <n v="7"/>
    <n v="4"/>
    <n v="7"/>
    <n v="492"/>
  </r>
  <r>
    <n v="48"/>
    <x v="1"/>
    <x v="1"/>
    <s v="Travel_Rarely"/>
    <n v="1236"/>
    <x v="0"/>
    <n v="1"/>
    <s v="Master"/>
    <x v="0"/>
    <s v="Very High"/>
    <x v="1"/>
    <n v="40"/>
    <s v="Medium"/>
    <x v="3"/>
    <s v="Manager"/>
    <s v="Low"/>
    <s v="Married"/>
    <n v="15402"/>
    <n v="17997"/>
    <n v="7"/>
    <s v="No"/>
    <n v="11"/>
    <s v="Excellent"/>
    <s v="Low"/>
    <n v="1"/>
    <n v="21"/>
    <n v="3"/>
    <s v="Bad"/>
    <x v="11"/>
    <s v="0-5"/>
    <n v="2"/>
    <n v="0"/>
    <n v="2"/>
    <n v="493"/>
  </r>
  <r>
    <n v="44"/>
    <x v="0"/>
    <x v="1"/>
    <s v="Travel_Rarely"/>
    <n v="1112"/>
    <x v="2"/>
    <n v="1"/>
    <s v="Master"/>
    <x v="0"/>
    <s v="Low"/>
    <x v="1"/>
    <n v="50"/>
    <s v="Medium"/>
    <x v="0"/>
    <s v="Human Resources"/>
    <s v="High"/>
    <s v="Single"/>
    <n v="5985"/>
    <n v="26894"/>
    <n v="4"/>
    <s v="No"/>
    <n v="11"/>
    <s v="Excellent"/>
    <s v="Medium"/>
    <n v="0"/>
    <n v="10"/>
    <n v="1"/>
    <s v="Best"/>
    <x v="4"/>
    <s v="0-5"/>
    <n v="2"/>
    <n v="0"/>
    <n v="2"/>
    <n v="494"/>
  </r>
  <r>
    <n v="34"/>
    <x v="2"/>
    <x v="1"/>
    <s v="Travel_Rarely"/>
    <n v="204"/>
    <x v="1"/>
    <n v="14"/>
    <s v="Bachelor"/>
    <x v="4"/>
    <s v="High"/>
    <x v="1"/>
    <n v="31"/>
    <s v="High"/>
    <x v="1"/>
    <s v="Sales Representative"/>
    <s v="High"/>
    <s v="Divorced"/>
    <n v="2579"/>
    <n v="2912"/>
    <n v="1"/>
    <s v="Yes"/>
    <n v="18"/>
    <s v="Excellent"/>
    <s v="Very High"/>
    <n v="2"/>
    <n v="8"/>
    <n v="3"/>
    <s v="Better"/>
    <x v="3"/>
    <s v="5-10"/>
    <n v="2"/>
    <n v="0"/>
    <n v="6"/>
    <n v="495"/>
  </r>
  <r>
    <n v="27"/>
    <x v="2"/>
    <x v="0"/>
    <s v="Travel_Rarely"/>
    <n v="1420"/>
    <x v="1"/>
    <n v="2"/>
    <s v="Below College"/>
    <x v="3"/>
    <s v="High"/>
    <x v="0"/>
    <n v="85"/>
    <s v="High"/>
    <x v="1"/>
    <s v="Sales Representative"/>
    <s v="Low"/>
    <s v="Divorced"/>
    <n v="3041"/>
    <n v="16346"/>
    <n v="0"/>
    <s v="No"/>
    <n v="11"/>
    <s v="Excellent"/>
    <s v="Medium"/>
    <n v="1"/>
    <n v="5"/>
    <n v="3"/>
    <s v="Better"/>
    <x v="9"/>
    <s v="0-5"/>
    <n v="3"/>
    <n v="0"/>
    <n v="2"/>
    <n v="496"/>
  </r>
  <r>
    <n v="21"/>
    <x v="4"/>
    <x v="1"/>
    <s v="Travel_Rarely"/>
    <n v="1343"/>
    <x v="1"/>
    <n v="22"/>
    <s v="Below College"/>
    <x v="4"/>
    <s v="High"/>
    <x v="0"/>
    <n v="49"/>
    <s v="High"/>
    <x v="1"/>
    <s v="Sales Representative"/>
    <s v="High"/>
    <s v="Single"/>
    <n v="3447"/>
    <n v="24444"/>
    <n v="1"/>
    <s v="No"/>
    <n v="11"/>
    <s v="Excellent"/>
    <s v="High"/>
    <n v="0"/>
    <n v="3"/>
    <n v="2"/>
    <s v="Better"/>
    <x v="11"/>
    <s v="0-5"/>
    <n v="2"/>
    <n v="1"/>
    <n v="2"/>
    <n v="497"/>
  </r>
  <r>
    <n v="44"/>
    <x v="0"/>
    <x v="1"/>
    <s v="Travel_Rarely"/>
    <n v="1315"/>
    <x v="0"/>
    <n v="3"/>
    <s v="Master"/>
    <x v="1"/>
    <s v="Very High"/>
    <x v="0"/>
    <n v="35"/>
    <s v="High"/>
    <x v="4"/>
    <s v="Manager"/>
    <s v="Very High"/>
    <s v="Married"/>
    <n v="19513"/>
    <n v="9358"/>
    <n v="4"/>
    <s v="Yes"/>
    <n v="12"/>
    <s v="Excellent"/>
    <s v="Low"/>
    <n v="1"/>
    <n v="26"/>
    <n v="2"/>
    <s v="Best"/>
    <x v="4"/>
    <s v="0-5"/>
    <n v="2"/>
    <n v="0"/>
    <n v="1"/>
    <n v="498"/>
  </r>
  <r>
    <n v="22"/>
    <x v="4"/>
    <x v="1"/>
    <s v="Travel_Rarely"/>
    <n v="604"/>
    <x v="0"/>
    <n v="6"/>
    <s v="Below College"/>
    <x v="2"/>
    <s v="Low"/>
    <x v="0"/>
    <n v="69"/>
    <s v="High"/>
    <x v="1"/>
    <s v="Research Scientist"/>
    <s v="High"/>
    <s v="Married"/>
    <n v="2773"/>
    <n v="12145"/>
    <n v="0"/>
    <s v="No"/>
    <n v="20"/>
    <s v="Outstanding"/>
    <s v="Very High"/>
    <n v="0"/>
    <n v="3"/>
    <n v="3"/>
    <s v="Better"/>
    <x v="4"/>
    <s v="0-5"/>
    <n v="2"/>
    <n v="2"/>
    <n v="2"/>
    <n v="499"/>
  </r>
  <r>
    <n v="33"/>
    <x v="2"/>
    <x v="1"/>
    <s v="Travel_Rarely"/>
    <n v="1216"/>
    <x v="1"/>
    <n v="8"/>
    <s v="Master"/>
    <x v="3"/>
    <s v="High"/>
    <x v="0"/>
    <n v="39"/>
    <s v="High"/>
    <x v="0"/>
    <s v="Sales Executive"/>
    <s v="High"/>
    <s v="Divorced"/>
    <n v="7104"/>
    <n v="20431"/>
    <n v="0"/>
    <s v="No"/>
    <n v="12"/>
    <s v="Excellent"/>
    <s v="Very High"/>
    <n v="0"/>
    <n v="6"/>
    <n v="3"/>
    <s v="Better"/>
    <x v="8"/>
    <s v="0-5"/>
    <n v="0"/>
    <n v="1"/>
    <n v="2"/>
    <n v="500"/>
  </r>
  <r>
    <n v="32"/>
    <x v="2"/>
    <x v="1"/>
    <s v="Travel_Rarely"/>
    <n v="646"/>
    <x v="0"/>
    <n v="9"/>
    <s v="Master"/>
    <x v="0"/>
    <s v="Low"/>
    <x v="1"/>
    <n v="92"/>
    <s v="High"/>
    <x v="0"/>
    <s v="Research Scientist"/>
    <s v="Very High"/>
    <s v="Married"/>
    <n v="6322"/>
    <n v="18089"/>
    <n v="1"/>
    <s v="Yes"/>
    <n v="12"/>
    <s v="Excellent"/>
    <s v="Very High"/>
    <n v="1"/>
    <n v="6"/>
    <n v="2"/>
    <s v="Good"/>
    <x v="0"/>
    <s v="5-10"/>
    <n v="4"/>
    <n v="0"/>
    <n v="5"/>
    <n v="501"/>
  </r>
  <r>
    <n v="30"/>
    <x v="2"/>
    <x v="1"/>
    <s v="Travel_Frequently"/>
    <n v="160"/>
    <x v="0"/>
    <n v="3"/>
    <s v="Bachelor"/>
    <x v="2"/>
    <s v="High"/>
    <x v="1"/>
    <n v="71"/>
    <s v="High"/>
    <x v="1"/>
    <s v="Research Scientist"/>
    <s v="High"/>
    <s v="Divorced"/>
    <n v="2083"/>
    <n v="22653"/>
    <n v="1"/>
    <s v="No"/>
    <n v="20"/>
    <s v="Outstanding"/>
    <s v="High"/>
    <n v="1"/>
    <n v="1"/>
    <n v="2"/>
    <s v="Better"/>
    <x v="6"/>
    <s v="0-5"/>
    <n v="0"/>
    <n v="0"/>
    <n v="0"/>
    <n v="502"/>
  </r>
  <r>
    <n v="53"/>
    <x v="1"/>
    <x v="1"/>
    <s v="Travel_Rarely"/>
    <n v="238"/>
    <x v="1"/>
    <n v="1"/>
    <s v="Below College"/>
    <x v="2"/>
    <s v="Very High"/>
    <x v="1"/>
    <n v="34"/>
    <s v="High"/>
    <x v="0"/>
    <s v="Sales Executive"/>
    <s v="Low"/>
    <s v="Single"/>
    <n v="8381"/>
    <n v="7507"/>
    <n v="7"/>
    <s v="No"/>
    <n v="20"/>
    <s v="Outstanding"/>
    <s v="Very High"/>
    <n v="0"/>
    <n v="18"/>
    <n v="2"/>
    <s v="Best"/>
    <x v="13"/>
    <s v="10-40"/>
    <n v="7"/>
    <n v="8"/>
    <n v="10"/>
    <n v="503"/>
  </r>
  <r>
    <n v="34"/>
    <x v="2"/>
    <x v="1"/>
    <s v="Travel_Rarely"/>
    <n v="1397"/>
    <x v="0"/>
    <n v="1"/>
    <s v="Doctor"/>
    <x v="0"/>
    <s v="Medium"/>
    <x v="0"/>
    <n v="42"/>
    <s v="High"/>
    <x v="1"/>
    <s v="Research Scientist"/>
    <s v="Very High"/>
    <s v="Married"/>
    <n v="2691"/>
    <n v="7660"/>
    <n v="1"/>
    <s v="No"/>
    <n v="12"/>
    <s v="Excellent"/>
    <s v="Very High"/>
    <n v="1"/>
    <n v="10"/>
    <n v="4"/>
    <s v="Good"/>
    <x v="1"/>
    <s v="5-10"/>
    <n v="9"/>
    <n v="8"/>
    <n v="8"/>
    <n v="504"/>
  </r>
  <r>
    <n v="45"/>
    <x v="0"/>
    <x v="0"/>
    <s v="Travel_Frequently"/>
    <n v="306"/>
    <x v="1"/>
    <n v="26"/>
    <s v="Master"/>
    <x v="0"/>
    <s v="Low"/>
    <x v="1"/>
    <n v="100"/>
    <s v="High"/>
    <x v="0"/>
    <s v="Sales Executive"/>
    <s v="Low"/>
    <s v="Married"/>
    <n v="4286"/>
    <n v="5630"/>
    <n v="2"/>
    <s v="No"/>
    <n v="14"/>
    <s v="Excellent"/>
    <s v="Very High"/>
    <n v="2"/>
    <n v="5"/>
    <n v="4"/>
    <s v="Better"/>
    <x v="6"/>
    <s v="0-5"/>
    <n v="1"/>
    <n v="0"/>
    <n v="0"/>
    <n v="505"/>
  </r>
  <r>
    <n v="26"/>
    <x v="2"/>
    <x v="1"/>
    <s v="Travel_Rarely"/>
    <n v="991"/>
    <x v="0"/>
    <n v="6"/>
    <s v="Bachelor"/>
    <x v="0"/>
    <s v="High"/>
    <x v="1"/>
    <n v="71"/>
    <s v="High"/>
    <x v="1"/>
    <s v="Laboratory Technician"/>
    <s v="Very High"/>
    <s v="Married"/>
    <n v="2659"/>
    <n v="17759"/>
    <n v="1"/>
    <s v="Yes"/>
    <n v="13"/>
    <s v="Excellent"/>
    <s v="High"/>
    <n v="1"/>
    <n v="3"/>
    <n v="2"/>
    <s v="Better"/>
    <x v="11"/>
    <s v="0-5"/>
    <n v="2"/>
    <n v="0"/>
    <n v="2"/>
    <n v="506"/>
  </r>
  <r>
    <n v="37"/>
    <x v="0"/>
    <x v="1"/>
    <s v="Travel_Rarely"/>
    <n v="482"/>
    <x v="0"/>
    <n v="3"/>
    <s v="Bachelor"/>
    <x v="1"/>
    <s v="High"/>
    <x v="0"/>
    <n v="36"/>
    <s v="High"/>
    <x v="2"/>
    <s v="Manufacturing Director"/>
    <s v="High"/>
    <s v="Married"/>
    <n v="9434"/>
    <n v="9606"/>
    <n v="1"/>
    <s v="No"/>
    <n v="15"/>
    <s v="Excellent"/>
    <s v="High"/>
    <n v="1"/>
    <n v="10"/>
    <n v="2"/>
    <s v="Better"/>
    <x v="1"/>
    <s v="5-10"/>
    <n v="7"/>
    <n v="7"/>
    <n v="8"/>
    <n v="507"/>
  </r>
  <r>
    <n v="29"/>
    <x v="2"/>
    <x v="1"/>
    <s v="Travel_Rarely"/>
    <n v="1176"/>
    <x v="1"/>
    <n v="3"/>
    <s v="College"/>
    <x v="2"/>
    <s v="Medium"/>
    <x v="1"/>
    <n v="62"/>
    <s v="High"/>
    <x v="0"/>
    <s v="Sales Executive"/>
    <s v="High"/>
    <s v="Married"/>
    <n v="5561"/>
    <n v="3487"/>
    <n v="1"/>
    <s v="No"/>
    <n v="14"/>
    <s v="Excellent"/>
    <s v="Low"/>
    <n v="1"/>
    <n v="6"/>
    <n v="5"/>
    <s v="Good"/>
    <x v="0"/>
    <s v="5-10"/>
    <n v="0"/>
    <n v="1"/>
    <n v="2"/>
    <n v="508"/>
  </r>
  <r>
    <n v="35"/>
    <x v="2"/>
    <x v="1"/>
    <s v="Travel_Rarely"/>
    <n v="1017"/>
    <x v="0"/>
    <n v="6"/>
    <s v="Master"/>
    <x v="0"/>
    <s v="Medium"/>
    <x v="0"/>
    <n v="82"/>
    <s v="Low"/>
    <x v="0"/>
    <s v="Research Scientist"/>
    <s v="Very High"/>
    <s v="Single"/>
    <n v="6646"/>
    <n v="19368"/>
    <n v="1"/>
    <s v="No"/>
    <n v="13"/>
    <s v="Excellent"/>
    <s v="Medium"/>
    <n v="0"/>
    <n v="17"/>
    <n v="3"/>
    <s v="Better"/>
    <x v="18"/>
    <s v="10-40"/>
    <n v="11"/>
    <n v="11"/>
    <n v="8"/>
    <n v="509"/>
  </r>
  <r>
    <n v="33"/>
    <x v="2"/>
    <x v="1"/>
    <s v="Travel_Frequently"/>
    <n v="1296"/>
    <x v="0"/>
    <n v="6"/>
    <s v="Bachelor"/>
    <x v="0"/>
    <s v="High"/>
    <x v="0"/>
    <n v="30"/>
    <s v="High"/>
    <x v="0"/>
    <s v="Healthcare Representative"/>
    <s v="Very High"/>
    <s v="Divorced"/>
    <n v="7725"/>
    <n v="5335"/>
    <n v="3"/>
    <s v="No"/>
    <n v="23"/>
    <s v="Outstanding"/>
    <s v="High"/>
    <n v="1"/>
    <n v="15"/>
    <n v="2"/>
    <s v="Bad"/>
    <x v="20"/>
    <s v="10-40"/>
    <n v="11"/>
    <n v="4"/>
    <n v="7"/>
    <n v="510"/>
  </r>
  <r>
    <n v="54"/>
    <x v="1"/>
    <x v="1"/>
    <s v="Travel_Rarely"/>
    <n v="397"/>
    <x v="2"/>
    <n v="19"/>
    <s v="Master"/>
    <x v="2"/>
    <s v="High"/>
    <x v="0"/>
    <n v="88"/>
    <s v="High"/>
    <x v="2"/>
    <s v="Human Resources"/>
    <s v="Medium"/>
    <s v="Married"/>
    <n v="10725"/>
    <n v="6729"/>
    <n v="2"/>
    <s v="No"/>
    <n v="15"/>
    <s v="Excellent"/>
    <s v="High"/>
    <n v="1"/>
    <n v="16"/>
    <n v="1"/>
    <s v="Best"/>
    <x v="7"/>
    <s v="5-10"/>
    <n v="7"/>
    <n v="7"/>
    <n v="1"/>
    <n v="511"/>
  </r>
  <r>
    <n v="36"/>
    <x v="0"/>
    <x v="1"/>
    <s v="Travel_Rarely"/>
    <n v="913"/>
    <x v="0"/>
    <n v="9"/>
    <s v="College"/>
    <x v="2"/>
    <s v="Medium"/>
    <x v="0"/>
    <n v="48"/>
    <s v="Medium"/>
    <x v="0"/>
    <s v="Manufacturing Director"/>
    <s v="Medium"/>
    <s v="Divorced"/>
    <n v="8847"/>
    <n v="13934"/>
    <n v="2"/>
    <s v="Yes"/>
    <n v="11"/>
    <s v="Excellent"/>
    <s v="High"/>
    <n v="1"/>
    <n v="13"/>
    <n v="2"/>
    <s v="Better"/>
    <x v="11"/>
    <s v="0-5"/>
    <n v="2"/>
    <n v="0"/>
    <n v="2"/>
    <n v="512"/>
  </r>
  <r>
    <n v="27"/>
    <x v="2"/>
    <x v="1"/>
    <s v="Travel_Rarely"/>
    <n v="1115"/>
    <x v="0"/>
    <n v="3"/>
    <s v="Master"/>
    <x v="2"/>
    <s v="Low"/>
    <x v="0"/>
    <n v="54"/>
    <s v="Medium"/>
    <x v="1"/>
    <s v="Research Scientist"/>
    <s v="Very High"/>
    <s v="Single"/>
    <n v="2045"/>
    <n v="15174"/>
    <n v="0"/>
    <s v="No"/>
    <n v="13"/>
    <s v="Excellent"/>
    <s v="Very High"/>
    <n v="0"/>
    <n v="5"/>
    <n v="0"/>
    <s v="Better"/>
    <x v="9"/>
    <s v="0-5"/>
    <n v="2"/>
    <n v="1"/>
    <n v="1"/>
    <n v="513"/>
  </r>
  <r>
    <n v="20"/>
    <x v="4"/>
    <x v="0"/>
    <s v="Travel_Rarely"/>
    <n v="1362"/>
    <x v="0"/>
    <n v="10"/>
    <s v="Below College"/>
    <x v="2"/>
    <s v="Very High"/>
    <x v="0"/>
    <n v="32"/>
    <s v="High"/>
    <x v="1"/>
    <s v="Research Scientist"/>
    <s v="High"/>
    <s v="Single"/>
    <n v="1009"/>
    <n v="26999"/>
    <n v="1"/>
    <s v="Yes"/>
    <n v="11"/>
    <s v="Excellent"/>
    <s v="Very High"/>
    <n v="0"/>
    <n v="1"/>
    <n v="5"/>
    <s v="Better"/>
    <x v="6"/>
    <s v="0-5"/>
    <n v="0"/>
    <n v="1"/>
    <n v="1"/>
    <n v="514"/>
  </r>
  <r>
    <n v="33"/>
    <x v="2"/>
    <x v="0"/>
    <s v="Travel_Frequently"/>
    <n v="1076"/>
    <x v="0"/>
    <n v="3"/>
    <s v="Bachelor"/>
    <x v="0"/>
    <s v="Low"/>
    <x v="0"/>
    <n v="70"/>
    <s v="High"/>
    <x v="1"/>
    <s v="Research Scientist"/>
    <s v="Low"/>
    <s v="Single"/>
    <n v="3348"/>
    <n v="3164"/>
    <n v="1"/>
    <s v="Yes"/>
    <n v="11"/>
    <s v="Excellent"/>
    <s v="Low"/>
    <n v="0"/>
    <n v="10"/>
    <n v="3"/>
    <s v="Better"/>
    <x v="1"/>
    <s v="5-10"/>
    <n v="8"/>
    <n v="9"/>
    <n v="7"/>
    <n v="515"/>
  </r>
  <r>
    <n v="35"/>
    <x v="2"/>
    <x v="1"/>
    <s v="Non-Travel"/>
    <n v="727"/>
    <x v="0"/>
    <n v="3"/>
    <s v="Bachelor"/>
    <x v="0"/>
    <s v="High"/>
    <x v="0"/>
    <n v="41"/>
    <s v="Medium"/>
    <x v="1"/>
    <s v="Laboratory Technician"/>
    <s v="High"/>
    <s v="Married"/>
    <n v="1281"/>
    <n v="16900"/>
    <n v="1"/>
    <s v="No"/>
    <n v="18"/>
    <s v="Excellent"/>
    <s v="High"/>
    <n v="2"/>
    <n v="1"/>
    <n v="3"/>
    <s v="Better"/>
    <x v="6"/>
    <s v="0-5"/>
    <n v="0"/>
    <n v="0"/>
    <n v="0"/>
    <n v="516"/>
  </r>
  <r>
    <n v="23"/>
    <x v="4"/>
    <x v="1"/>
    <s v="Travel_Rarely"/>
    <n v="885"/>
    <x v="0"/>
    <n v="4"/>
    <s v="Bachelor"/>
    <x v="2"/>
    <s v="Low"/>
    <x v="0"/>
    <n v="58"/>
    <s v="Very High"/>
    <x v="1"/>
    <s v="Research Scientist"/>
    <s v="Low"/>
    <s v="Married"/>
    <n v="2819"/>
    <n v="8544"/>
    <n v="2"/>
    <s v="No"/>
    <n v="16"/>
    <s v="Excellent"/>
    <s v="Low"/>
    <n v="1"/>
    <n v="5"/>
    <n v="3"/>
    <s v="Best"/>
    <x v="11"/>
    <s v="0-5"/>
    <n v="2"/>
    <n v="0"/>
    <n v="2"/>
    <n v="517"/>
  </r>
  <r>
    <n v="25"/>
    <x v="4"/>
    <x v="1"/>
    <s v="Travel_Rarely"/>
    <n v="810"/>
    <x v="1"/>
    <n v="8"/>
    <s v="Bachelor"/>
    <x v="0"/>
    <s v="Very High"/>
    <x v="0"/>
    <n v="57"/>
    <s v="Very High"/>
    <x v="0"/>
    <s v="Sales Executive"/>
    <s v="Medium"/>
    <s v="Married"/>
    <n v="4851"/>
    <n v="15678"/>
    <n v="0"/>
    <s v="No"/>
    <n v="22"/>
    <s v="Outstanding"/>
    <s v="High"/>
    <n v="1"/>
    <n v="4"/>
    <n v="4"/>
    <s v="Better"/>
    <x v="11"/>
    <s v="0-5"/>
    <n v="2"/>
    <n v="1"/>
    <n v="2"/>
    <n v="518"/>
  </r>
  <r>
    <n v="38"/>
    <x v="0"/>
    <x v="1"/>
    <s v="Travel_Rarely"/>
    <n v="243"/>
    <x v="1"/>
    <n v="7"/>
    <s v="Master"/>
    <x v="3"/>
    <s v="Very High"/>
    <x v="1"/>
    <n v="46"/>
    <s v="Medium"/>
    <x v="0"/>
    <s v="Sales Executive"/>
    <s v="Very High"/>
    <s v="Single"/>
    <n v="4028"/>
    <n v="7791"/>
    <n v="0"/>
    <s v="No"/>
    <n v="20"/>
    <s v="Outstanding"/>
    <s v="Low"/>
    <n v="0"/>
    <n v="8"/>
    <n v="2"/>
    <s v="Better"/>
    <x v="5"/>
    <s v="5-10"/>
    <n v="7"/>
    <n v="0"/>
    <n v="5"/>
    <n v="519"/>
  </r>
  <r>
    <n v="29"/>
    <x v="2"/>
    <x v="1"/>
    <s v="Travel_Frequently"/>
    <n v="806"/>
    <x v="0"/>
    <n v="1"/>
    <s v="Master"/>
    <x v="0"/>
    <s v="Medium"/>
    <x v="0"/>
    <n v="76"/>
    <s v="Low"/>
    <x v="1"/>
    <s v="Research Scientist"/>
    <s v="Very High"/>
    <s v="Divorced"/>
    <n v="2720"/>
    <n v="18959"/>
    <n v="1"/>
    <s v="No"/>
    <n v="18"/>
    <s v="Excellent"/>
    <s v="Very High"/>
    <n v="1"/>
    <n v="10"/>
    <n v="5"/>
    <s v="Better"/>
    <x v="1"/>
    <s v="5-10"/>
    <n v="7"/>
    <n v="2"/>
    <n v="8"/>
    <n v="520"/>
  </r>
  <r>
    <n v="48"/>
    <x v="1"/>
    <x v="1"/>
    <s v="Travel_Rarely"/>
    <n v="817"/>
    <x v="1"/>
    <n v="2"/>
    <s v="Below College"/>
    <x v="3"/>
    <s v="Medium"/>
    <x v="0"/>
    <n v="56"/>
    <s v="Very High"/>
    <x v="0"/>
    <s v="Sales Executive"/>
    <s v="Medium"/>
    <s v="Married"/>
    <n v="8120"/>
    <n v="18597"/>
    <n v="3"/>
    <s v="No"/>
    <n v="12"/>
    <s v="Excellent"/>
    <s v="Very High"/>
    <n v="0"/>
    <n v="12"/>
    <n v="3"/>
    <s v="Better"/>
    <x v="4"/>
    <s v="0-5"/>
    <n v="2"/>
    <n v="2"/>
    <n v="2"/>
    <n v="521"/>
  </r>
  <r>
    <n v="27"/>
    <x v="2"/>
    <x v="1"/>
    <s v="Travel_Frequently"/>
    <n v="1410"/>
    <x v="1"/>
    <n v="3"/>
    <s v="Below College"/>
    <x v="2"/>
    <s v="Very High"/>
    <x v="1"/>
    <n v="71"/>
    <s v="Very High"/>
    <x v="0"/>
    <s v="Sales Executive"/>
    <s v="Very High"/>
    <s v="Divorced"/>
    <n v="4647"/>
    <n v="16673"/>
    <n v="1"/>
    <s v="Yes"/>
    <n v="20"/>
    <s v="Outstanding"/>
    <s v="Medium"/>
    <n v="2"/>
    <n v="6"/>
    <n v="3"/>
    <s v="Better"/>
    <x v="0"/>
    <s v="5-10"/>
    <n v="5"/>
    <n v="0"/>
    <n v="4"/>
    <n v="522"/>
  </r>
  <r>
    <n v="37"/>
    <x v="0"/>
    <x v="1"/>
    <s v="Travel_Rarely"/>
    <n v="1225"/>
    <x v="0"/>
    <n v="10"/>
    <s v="College"/>
    <x v="0"/>
    <s v="Very High"/>
    <x v="0"/>
    <n v="80"/>
    <s v="Very High"/>
    <x v="1"/>
    <s v="Research Scientist"/>
    <s v="Very High"/>
    <s v="Single"/>
    <n v="4680"/>
    <n v="15232"/>
    <n v="3"/>
    <s v="No"/>
    <n v="17"/>
    <s v="Excellent"/>
    <s v="Low"/>
    <n v="0"/>
    <n v="4"/>
    <n v="2"/>
    <s v="Better"/>
    <x v="6"/>
    <s v="0-5"/>
    <n v="0"/>
    <n v="0"/>
    <n v="0"/>
    <n v="523"/>
  </r>
  <r>
    <n v="50"/>
    <x v="1"/>
    <x v="1"/>
    <s v="Travel_Rarely"/>
    <n v="1207"/>
    <x v="0"/>
    <n v="28"/>
    <s v="Below College"/>
    <x v="2"/>
    <s v="Very High"/>
    <x v="0"/>
    <n v="74"/>
    <s v="Very High"/>
    <x v="1"/>
    <s v="Laboratory Technician"/>
    <s v="High"/>
    <s v="Married"/>
    <n v="3221"/>
    <n v="3297"/>
    <n v="1"/>
    <s v="Yes"/>
    <n v="11"/>
    <s v="Excellent"/>
    <s v="High"/>
    <n v="3"/>
    <n v="20"/>
    <n v="3"/>
    <s v="Better"/>
    <x v="23"/>
    <s v="10-40"/>
    <n v="8"/>
    <n v="3"/>
    <n v="8"/>
    <n v="524"/>
  </r>
  <r>
    <n v="34"/>
    <x v="2"/>
    <x v="1"/>
    <s v="Travel_Rarely"/>
    <n v="1442"/>
    <x v="0"/>
    <n v="9"/>
    <s v="Bachelor"/>
    <x v="2"/>
    <s v="Very High"/>
    <x v="1"/>
    <n v="46"/>
    <s v="Medium"/>
    <x v="2"/>
    <s v="Healthcare Representative"/>
    <s v="Medium"/>
    <s v="Single"/>
    <n v="8621"/>
    <n v="17654"/>
    <n v="1"/>
    <s v="No"/>
    <n v="14"/>
    <s v="Excellent"/>
    <s v="Medium"/>
    <n v="0"/>
    <n v="9"/>
    <n v="3"/>
    <s v="Best"/>
    <x v="3"/>
    <s v="5-10"/>
    <n v="7"/>
    <n v="7"/>
    <n v="7"/>
    <n v="525"/>
  </r>
  <r>
    <n v="24"/>
    <x v="4"/>
    <x v="0"/>
    <s v="Travel_Rarely"/>
    <n v="693"/>
    <x v="1"/>
    <n v="3"/>
    <s v="College"/>
    <x v="0"/>
    <s v="Low"/>
    <x v="1"/>
    <n v="65"/>
    <s v="High"/>
    <x v="0"/>
    <s v="Sales Executive"/>
    <s v="High"/>
    <s v="Single"/>
    <n v="4577"/>
    <n v="24785"/>
    <n v="9"/>
    <s v="No"/>
    <n v="14"/>
    <s v="Excellent"/>
    <s v="Low"/>
    <n v="0"/>
    <n v="4"/>
    <n v="3"/>
    <s v="Better"/>
    <x v="4"/>
    <s v="0-5"/>
    <n v="2"/>
    <n v="2"/>
    <n v="0"/>
    <n v="526"/>
  </r>
  <r>
    <n v="39"/>
    <x v="0"/>
    <x v="1"/>
    <s v="Travel_Rarely"/>
    <n v="408"/>
    <x v="0"/>
    <n v="2"/>
    <s v="Master"/>
    <x v="4"/>
    <s v="Very High"/>
    <x v="1"/>
    <n v="80"/>
    <s v="Medium"/>
    <x v="0"/>
    <s v="Healthcare Representative"/>
    <s v="High"/>
    <s v="Single"/>
    <n v="4553"/>
    <n v="20978"/>
    <n v="1"/>
    <s v="No"/>
    <n v="11"/>
    <s v="Excellent"/>
    <s v="Low"/>
    <n v="0"/>
    <n v="20"/>
    <n v="4"/>
    <s v="Better"/>
    <x v="23"/>
    <s v="10-40"/>
    <n v="7"/>
    <n v="11"/>
    <n v="10"/>
    <n v="527"/>
  </r>
  <r>
    <n v="32"/>
    <x v="2"/>
    <x v="1"/>
    <s v="Travel_Rarely"/>
    <n v="929"/>
    <x v="1"/>
    <n v="10"/>
    <s v="Bachelor"/>
    <x v="3"/>
    <s v="Very High"/>
    <x v="0"/>
    <n v="55"/>
    <s v="High"/>
    <x v="0"/>
    <s v="Sales Executive"/>
    <s v="Very High"/>
    <s v="Single"/>
    <n v="5396"/>
    <n v="21703"/>
    <n v="1"/>
    <s v="No"/>
    <n v="12"/>
    <s v="Excellent"/>
    <s v="Very High"/>
    <n v="0"/>
    <n v="10"/>
    <n v="2"/>
    <s v="Good"/>
    <x v="1"/>
    <s v="5-10"/>
    <n v="7"/>
    <n v="0"/>
    <n v="8"/>
    <n v="528"/>
  </r>
  <r>
    <n v="50"/>
    <x v="1"/>
    <x v="0"/>
    <s v="Travel_Frequently"/>
    <n v="562"/>
    <x v="1"/>
    <n v="8"/>
    <s v="College"/>
    <x v="4"/>
    <s v="Medium"/>
    <x v="0"/>
    <n v="50"/>
    <s v="High"/>
    <x v="0"/>
    <s v="Sales Executive"/>
    <s v="High"/>
    <s v="Married"/>
    <n v="6796"/>
    <n v="23452"/>
    <n v="3"/>
    <s v="Yes"/>
    <n v="14"/>
    <s v="Excellent"/>
    <s v="Low"/>
    <n v="1"/>
    <n v="18"/>
    <n v="4"/>
    <s v="Better"/>
    <x v="9"/>
    <s v="0-5"/>
    <n v="3"/>
    <n v="1"/>
    <n v="3"/>
    <n v="529"/>
  </r>
  <r>
    <n v="38"/>
    <x v="0"/>
    <x v="1"/>
    <s v="Travel_Rarely"/>
    <n v="827"/>
    <x v="0"/>
    <n v="1"/>
    <s v="Master"/>
    <x v="0"/>
    <s v="Medium"/>
    <x v="1"/>
    <n v="33"/>
    <s v="Very High"/>
    <x v="0"/>
    <s v="Healthcare Representative"/>
    <s v="Very High"/>
    <s v="Single"/>
    <n v="7625"/>
    <n v="19383"/>
    <n v="0"/>
    <s v="No"/>
    <n v="13"/>
    <s v="Excellent"/>
    <s v="High"/>
    <n v="0"/>
    <n v="10"/>
    <n v="4"/>
    <s v="Good"/>
    <x v="7"/>
    <s v="5-10"/>
    <n v="7"/>
    <n v="1"/>
    <n v="8"/>
    <n v="530"/>
  </r>
  <r>
    <n v="27"/>
    <x v="2"/>
    <x v="1"/>
    <s v="Travel_Rarely"/>
    <n v="608"/>
    <x v="0"/>
    <n v="1"/>
    <s v="College"/>
    <x v="0"/>
    <s v="High"/>
    <x v="1"/>
    <n v="68"/>
    <s v="High"/>
    <x v="2"/>
    <s v="Manufacturing Director"/>
    <s v="Low"/>
    <s v="Married"/>
    <n v="7412"/>
    <n v="6009"/>
    <n v="1"/>
    <s v="No"/>
    <n v="11"/>
    <s v="Excellent"/>
    <s v="Very High"/>
    <n v="0"/>
    <n v="9"/>
    <n v="3"/>
    <s v="Better"/>
    <x v="7"/>
    <s v="5-10"/>
    <n v="7"/>
    <n v="0"/>
    <n v="7"/>
    <n v="531"/>
  </r>
  <r>
    <n v="32"/>
    <x v="2"/>
    <x v="1"/>
    <s v="Travel_Rarely"/>
    <n v="1018"/>
    <x v="0"/>
    <n v="3"/>
    <s v="College"/>
    <x v="0"/>
    <s v="High"/>
    <x v="1"/>
    <n v="39"/>
    <s v="High"/>
    <x v="2"/>
    <s v="Research Director"/>
    <s v="Very High"/>
    <s v="Single"/>
    <n v="11159"/>
    <n v="19373"/>
    <n v="3"/>
    <s v="No"/>
    <n v="15"/>
    <s v="Excellent"/>
    <s v="Very High"/>
    <n v="0"/>
    <n v="10"/>
    <n v="6"/>
    <s v="Better"/>
    <x v="5"/>
    <s v="5-10"/>
    <n v="7"/>
    <n v="7"/>
    <n v="7"/>
    <n v="532"/>
  </r>
  <r>
    <n v="47"/>
    <x v="1"/>
    <x v="1"/>
    <s v="Travel_Rarely"/>
    <n v="703"/>
    <x v="1"/>
    <n v="14"/>
    <s v="Master"/>
    <x v="3"/>
    <s v="Very High"/>
    <x v="0"/>
    <n v="42"/>
    <s v="High"/>
    <x v="0"/>
    <s v="Sales Executive"/>
    <s v="Low"/>
    <s v="Single"/>
    <n v="4960"/>
    <n v="11825"/>
    <n v="2"/>
    <s v="No"/>
    <n v="12"/>
    <s v="Excellent"/>
    <s v="Very High"/>
    <n v="0"/>
    <n v="20"/>
    <n v="2"/>
    <s v="Better"/>
    <x v="5"/>
    <s v="5-10"/>
    <n v="7"/>
    <n v="1"/>
    <n v="7"/>
    <n v="533"/>
  </r>
  <r>
    <n v="40"/>
    <x v="0"/>
    <x v="1"/>
    <s v="Travel_Frequently"/>
    <n v="580"/>
    <x v="1"/>
    <n v="5"/>
    <s v="Master"/>
    <x v="0"/>
    <s v="Very High"/>
    <x v="0"/>
    <n v="48"/>
    <s v="Medium"/>
    <x v="2"/>
    <s v="Sales Executive"/>
    <s v="Low"/>
    <s v="Married"/>
    <n v="10475"/>
    <n v="23772"/>
    <n v="5"/>
    <s v="Yes"/>
    <n v="21"/>
    <s v="Outstanding"/>
    <s v="High"/>
    <n v="1"/>
    <n v="20"/>
    <n v="2"/>
    <s v="Better"/>
    <x v="29"/>
    <s v="10-40"/>
    <n v="13"/>
    <n v="1"/>
    <n v="12"/>
    <n v="534"/>
  </r>
  <r>
    <n v="53"/>
    <x v="1"/>
    <x v="1"/>
    <s v="Travel_Rarely"/>
    <n v="970"/>
    <x v="0"/>
    <n v="7"/>
    <s v="Bachelor"/>
    <x v="0"/>
    <s v="High"/>
    <x v="0"/>
    <n v="59"/>
    <s v="Very High"/>
    <x v="3"/>
    <s v="Research Director"/>
    <s v="High"/>
    <s v="Married"/>
    <n v="14814"/>
    <n v="13514"/>
    <n v="3"/>
    <s v="No"/>
    <n v="19"/>
    <s v="Excellent"/>
    <s v="High"/>
    <n v="0"/>
    <n v="32"/>
    <n v="3"/>
    <s v="Better"/>
    <x v="8"/>
    <s v="0-5"/>
    <n v="1"/>
    <n v="1"/>
    <n v="3"/>
    <n v="535"/>
  </r>
  <r>
    <n v="41"/>
    <x v="0"/>
    <x v="1"/>
    <s v="Travel_Rarely"/>
    <n v="427"/>
    <x v="2"/>
    <n v="10"/>
    <s v="Master"/>
    <x v="5"/>
    <s v="Medium"/>
    <x v="0"/>
    <n v="73"/>
    <s v="Medium"/>
    <x v="4"/>
    <s v="Manager"/>
    <s v="Very High"/>
    <s v="Divorced"/>
    <n v="19141"/>
    <n v="8861"/>
    <n v="3"/>
    <s v="No"/>
    <n v="15"/>
    <s v="Excellent"/>
    <s v="Medium"/>
    <n v="3"/>
    <n v="23"/>
    <n v="2"/>
    <s v="Good"/>
    <x v="17"/>
    <s v="10-40"/>
    <n v="6"/>
    <n v="12"/>
    <n v="6"/>
    <n v="536"/>
  </r>
  <r>
    <n v="60"/>
    <x v="3"/>
    <x v="1"/>
    <s v="Travel_Rarely"/>
    <n v="1179"/>
    <x v="1"/>
    <n v="16"/>
    <s v="Master"/>
    <x v="3"/>
    <s v="Low"/>
    <x v="0"/>
    <n v="84"/>
    <s v="High"/>
    <x v="0"/>
    <s v="Sales Executive"/>
    <s v="Low"/>
    <s v="Single"/>
    <n v="5405"/>
    <n v="11924"/>
    <n v="8"/>
    <s v="No"/>
    <n v="14"/>
    <s v="Excellent"/>
    <s v="Very High"/>
    <n v="0"/>
    <n v="10"/>
    <n v="1"/>
    <s v="Better"/>
    <x v="4"/>
    <s v="0-5"/>
    <n v="2"/>
    <n v="2"/>
    <n v="2"/>
    <n v="537"/>
  </r>
  <r>
    <n v="27"/>
    <x v="2"/>
    <x v="1"/>
    <s v="Travel_Frequently"/>
    <n v="294"/>
    <x v="0"/>
    <n v="10"/>
    <s v="College"/>
    <x v="0"/>
    <s v="Very High"/>
    <x v="0"/>
    <n v="32"/>
    <s v="High"/>
    <x v="2"/>
    <s v="Manufacturing Director"/>
    <s v="Low"/>
    <s v="Divorced"/>
    <n v="8793"/>
    <n v="4809"/>
    <n v="1"/>
    <s v="No"/>
    <n v="21"/>
    <s v="Outstanding"/>
    <s v="High"/>
    <n v="2"/>
    <n v="9"/>
    <n v="4"/>
    <s v="Good"/>
    <x v="7"/>
    <s v="5-10"/>
    <n v="7"/>
    <n v="1"/>
    <n v="7"/>
    <n v="538"/>
  </r>
  <r>
    <n v="41"/>
    <x v="0"/>
    <x v="1"/>
    <s v="Travel_Rarely"/>
    <n v="314"/>
    <x v="2"/>
    <n v="1"/>
    <s v="Bachelor"/>
    <x v="5"/>
    <s v="Very High"/>
    <x v="0"/>
    <n v="59"/>
    <s v="Medium"/>
    <x v="4"/>
    <s v="Manager"/>
    <s v="High"/>
    <s v="Married"/>
    <n v="19189"/>
    <n v="19562"/>
    <n v="1"/>
    <s v="No"/>
    <n v="12"/>
    <s v="Excellent"/>
    <s v="Medium"/>
    <n v="1"/>
    <n v="22"/>
    <n v="3"/>
    <s v="Better"/>
    <x v="14"/>
    <s v="10-40"/>
    <n v="7"/>
    <n v="2"/>
    <n v="10"/>
    <n v="539"/>
  </r>
  <r>
    <n v="50"/>
    <x v="1"/>
    <x v="1"/>
    <s v="Travel_Rarely"/>
    <n v="316"/>
    <x v="1"/>
    <n v="8"/>
    <s v="Master"/>
    <x v="3"/>
    <s v="Very High"/>
    <x v="0"/>
    <n v="54"/>
    <s v="High"/>
    <x v="1"/>
    <s v="Sales Representative"/>
    <s v="Medium"/>
    <s v="Married"/>
    <n v="3875"/>
    <n v="9983"/>
    <n v="7"/>
    <s v="No"/>
    <n v="15"/>
    <s v="Excellent"/>
    <s v="Very High"/>
    <n v="1"/>
    <n v="4"/>
    <n v="2"/>
    <s v="Better"/>
    <x v="4"/>
    <s v="0-5"/>
    <n v="2"/>
    <n v="2"/>
    <n v="2"/>
    <n v="540"/>
  </r>
  <r>
    <n v="28"/>
    <x v="2"/>
    <x v="0"/>
    <s v="Travel_Rarely"/>
    <n v="654"/>
    <x v="0"/>
    <n v="1"/>
    <s v="College"/>
    <x v="0"/>
    <s v="Low"/>
    <x v="1"/>
    <n v="67"/>
    <s v="Low"/>
    <x v="1"/>
    <s v="Research Scientist"/>
    <s v="Medium"/>
    <s v="Single"/>
    <n v="2216"/>
    <n v="3872"/>
    <n v="7"/>
    <s v="Yes"/>
    <n v="13"/>
    <s v="Excellent"/>
    <s v="Very High"/>
    <n v="0"/>
    <n v="10"/>
    <n v="4"/>
    <s v="Better"/>
    <x v="5"/>
    <s v="5-10"/>
    <n v="7"/>
    <n v="3"/>
    <n v="7"/>
    <n v="541"/>
  </r>
  <r>
    <n v="36"/>
    <x v="0"/>
    <x v="1"/>
    <s v="Non-Travel"/>
    <n v="427"/>
    <x v="0"/>
    <n v="8"/>
    <s v="Bachelor"/>
    <x v="0"/>
    <s v="Low"/>
    <x v="1"/>
    <n v="63"/>
    <s v="Very High"/>
    <x v="2"/>
    <s v="Research Director"/>
    <s v="Low"/>
    <s v="Married"/>
    <n v="11713"/>
    <n v="20335"/>
    <n v="9"/>
    <s v="No"/>
    <n v="14"/>
    <s v="Excellent"/>
    <s v="Low"/>
    <n v="1"/>
    <n v="10"/>
    <n v="2"/>
    <s v="Better"/>
    <x v="3"/>
    <s v="5-10"/>
    <n v="7"/>
    <n v="0"/>
    <n v="5"/>
    <n v="542"/>
  </r>
  <r>
    <n v="38"/>
    <x v="0"/>
    <x v="1"/>
    <s v="Travel_Rarely"/>
    <n v="168"/>
    <x v="0"/>
    <n v="1"/>
    <s v="Bachelor"/>
    <x v="0"/>
    <s v="High"/>
    <x v="1"/>
    <n v="81"/>
    <s v="High"/>
    <x v="2"/>
    <s v="Manufacturing Director"/>
    <s v="High"/>
    <s v="Single"/>
    <n v="7861"/>
    <n v="15397"/>
    <n v="4"/>
    <s v="Yes"/>
    <n v="14"/>
    <s v="Excellent"/>
    <s v="Very High"/>
    <n v="0"/>
    <n v="10"/>
    <n v="4"/>
    <s v="Best"/>
    <x v="6"/>
    <s v="0-5"/>
    <n v="0"/>
    <n v="0"/>
    <n v="0"/>
    <n v="543"/>
  </r>
  <r>
    <n v="44"/>
    <x v="0"/>
    <x v="1"/>
    <s v="Non-Travel"/>
    <n v="381"/>
    <x v="0"/>
    <n v="24"/>
    <s v="Bachelor"/>
    <x v="2"/>
    <s v="Low"/>
    <x v="0"/>
    <n v="49"/>
    <s v="Low"/>
    <x v="1"/>
    <s v="Laboratory Technician"/>
    <s v="High"/>
    <s v="Single"/>
    <n v="3708"/>
    <n v="2104"/>
    <n v="2"/>
    <s v="No"/>
    <n v="14"/>
    <s v="Excellent"/>
    <s v="High"/>
    <n v="0"/>
    <n v="9"/>
    <n v="5"/>
    <s v="Better"/>
    <x v="8"/>
    <s v="0-5"/>
    <n v="2"/>
    <n v="1"/>
    <n v="4"/>
    <n v="544"/>
  </r>
  <r>
    <n v="47"/>
    <x v="1"/>
    <x v="1"/>
    <s v="Travel_Frequently"/>
    <n v="217"/>
    <x v="1"/>
    <n v="3"/>
    <s v="Bachelor"/>
    <x v="2"/>
    <s v="Very High"/>
    <x v="1"/>
    <n v="49"/>
    <s v="High"/>
    <x v="3"/>
    <s v="Sales Executive"/>
    <s v="High"/>
    <s v="Divorced"/>
    <n v="13770"/>
    <n v="10225"/>
    <n v="9"/>
    <s v="Yes"/>
    <n v="12"/>
    <s v="Excellent"/>
    <s v="Very High"/>
    <n v="2"/>
    <n v="28"/>
    <n v="2"/>
    <s v="Good"/>
    <x v="14"/>
    <s v="10-40"/>
    <n v="2"/>
    <n v="11"/>
    <n v="13"/>
    <n v="545"/>
  </r>
  <r>
    <n v="30"/>
    <x v="2"/>
    <x v="1"/>
    <s v="Travel_Rarely"/>
    <n v="501"/>
    <x v="1"/>
    <n v="27"/>
    <s v="Doctor"/>
    <x v="3"/>
    <s v="High"/>
    <x v="0"/>
    <n v="99"/>
    <s v="High"/>
    <x v="0"/>
    <s v="Sales Executive"/>
    <s v="Very High"/>
    <s v="Divorced"/>
    <n v="5304"/>
    <n v="25275"/>
    <n v="7"/>
    <s v="No"/>
    <n v="23"/>
    <s v="Outstanding"/>
    <s v="Very High"/>
    <n v="1"/>
    <n v="10"/>
    <n v="2"/>
    <s v="Good"/>
    <x v="3"/>
    <s v="5-10"/>
    <n v="7"/>
    <n v="7"/>
    <n v="7"/>
    <n v="546"/>
  </r>
  <r>
    <n v="29"/>
    <x v="2"/>
    <x v="1"/>
    <s v="Travel_Rarely"/>
    <n v="1396"/>
    <x v="1"/>
    <n v="10"/>
    <s v="Bachelor"/>
    <x v="0"/>
    <s v="High"/>
    <x v="0"/>
    <n v="99"/>
    <s v="High"/>
    <x v="1"/>
    <s v="Sales Representative"/>
    <s v="High"/>
    <s v="Single"/>
    <n v="2642"/>
    <n v="2755"/>
    <n v="1"/>
    <s v="No"/>
    <n v="11"/>
    <s v="Excellent"/>
    <s v="High"/>
    <n v="0"/>
    <n v="1"/>
    <n v="6"/>
    <s v="Better"/>
    <x v="6"/>
    <s v="0-5"/>
    <n v="0"/>
    <n v="0"/>
    <n v="0"/>
    <n v="547"/>
  </r>
  <r>
    <n v="42"/>
    <x v="0"/>
    <x v="0"/>
    <s v="Travel_Frequently"/>
    <n v="933"/>
    <x v="0"/>
    <n v="19"/>
    <s v="Bachelor"/>
    <x v="2"/>
    <s v="High"/>
    <x v="0"/>
    <n v="57"/>
    <s v="Very High"/>
    <x v="1"/>
    <s v="Research Scientist"/>
    <s v="High"/>
    <s v="Divorced"/>
    <n v="2759"/>
    <n v="20366"/>
    <n v="6"/>
    <s v="Yes"/>
    <n v="12"/>
    <s v="Excellent"/>
    <s v="Very High"/>
    <n v="0"/>
    <n v="7"/>
    <n v="2"/>
    <s v="Better"/>
    <x v="4"/>
    <s v="0-5"/>
    <n v="2"/>
    <n v="2"/>
    <n v="2"/>
    <n v="548"/>
  </r>
  <r>
    <n v="43"/>
    <x v="0"/>
    <x v="1"/>
    <s v="Travel_Frequently"/>
    <n v="775"/>
    <x v="1"/>
    <n v="15"/>
    <s v="Bachelor"/>
    <x v="0"/>
    <s v="Very High"/>
    <x v="0"/>
    <n v="47"/>
    <s v="Medium"/>
    <x v="0"/>
    <s v="Sales Executive"/>
    <s v="Very High"/>
    <s v="Married"/>
    <n v="6804"/>
    <n v="23683"/>
    <n v="3"/>
    <s v="No"/>
    <n v="18"/>
    <s v="Excellent"/>
    <s v="High"/>
    <n v="1"/>
    <n v="7"/>
    <n v="5"/>
    <s v="Better"/>
    <x v="4"/>
    <s v="0-5"/>
    <n v="2"/>
    <n v="2"/>
    <n v="2"/>
    <n v="549"/>
  </r>
  <r>
    <n v="34"/>
    <x v="2"/>
    <x v="1"/>
    <s v="Travel_Rarely"/>
    <n v="970"/>
    <x v="0"/>
    <n v="8"/>
    <s v="College"/>
    <x v="2"/>
    <s v="Medium"/>
    <x v="1"/>
    <n v="96"/>
    <s v="High"/>
    <x v="0"/>
    <s v="Healthcare Representative"/>
    <s v="High"/>
    <s v="Single"/>
    <n v="6142"/>
    <n v="7360"/>
    <n v="3"/>
    <s v="No"/>
    <n v="11"/>
    <s v="Excellent"/>
    <s v="Very High"/>
    <n v="0"/>
    <n v="10"/>
    <n v="2"/>
    <s v="Better"/>
    <x v="8"/>
    <s v="0-5"/>
    <n v="1"/>
    <n v="4"/>
    <n v="3"/>
    <n v="550"/>
  </r>
  <r>
    <n v="23"/>
    <x v="4"/>
    <x v="1"/>
    <s v="Travel_Rarely"/>
    <n v="650"/>
    <x v="0"/>
    <n v="9"/>
    <s v="Below College"/>
    <x v="2"/>
    <s v="Medium"/>
    <x v="0"/>
    <n v="37"/>
    <s v="High"/>
    <x v="1"/>
    <s v="Laboratory Technician"/>
    <s v="Low"/>
    <s v="Married"/>
    <n v="2500"/>
    <n v="4344"/>
    <n v="1"/>
    <s v="No"/>
    <n v="14"/>
    <s v="Excellent"/>
    <s v="Very High"/>
    <n v="1"/>
    <n v="5"/>
    <n v="2"/>
    <s v="Best"/>
    <x v="9"/>
    <s v="0-5"/>
    <n v="3"/>
    <n v="0"/>
    <n v="2"/>
    <n v="551"/>
  </r>
  <r>
    <n v="39"/>
    <x v="0"/>
    <x v="1"/>
    <s v="Travel_Rarely"/>
    <n v="141"/>
    <x v="2"/>
    <n v="3"/>
    <s v="Bachelor"/>
    <x v="5"/>
    <s v="High"/>
    <x v="1"/>
    <n v="44"/>
    <s v="Very High"/>
    <x v="0"/>
    <s v="Human Resources"/>
    <s v="Medium"/>
    <s v="Married"/>
    <n v="6389"/>
    <n v="18767"/>
    <n v="9"/>
    <s v="No"/>
    <n v="15"/>
    <s v="Excellent"/>
    <s v="High"/>
    <n v="1"/>
    <n v="12"/>
    <n v="3"/>
    <s v="Bad"/>
    <x v="3"/>
    <s v="5-10"/>
    <n v="3"/>
    <n v="3"/>
    <n v="6"/>
    <n v="552"/>
  </r>
  <r>
    <n v="56"/>
    <x v="3"/>
    <x v="1"/>
    <s v="Travel_Rarely"/>
    <n v="832"/>
    <x v="0"/>
    <n v="9"/>
    <s v="Bachelor"/>
    <x v="2"/>
    <s v="High"/>
    <x v="0"/>
    <n v="81"/>
    <s v="High"/>
    <x v="3"/>
    <s v="Healthcare Representative"/>
    <s v="Very High"/>
    <s v="Married"/>
    <n v="11103"/>
    <n v="20420"/>
    <n v="7"/>
    <s v="No"/>
    <n v="11"/>
    <s v="Excellent"/>
    <s v="High"/>
    <n v="0"/>
    <n v="30"/>
    <n v="1"/>
    <s v="Good"/>
    <x v="1"/>
    <s v="5-10"/>
    <n v="7"/>
    <n v="1"/>
    <n v="1"/>
    <n v="553"/>
  </r>
  <r>
    <n v="40"/>
    <x v="0"/>
    <x v="1"/>
    <s v="Travel_Rarely"/>
    <n v="804"/>
    <x v="0"/>
    <n v="2"/>
    <s v="Below College"/>
    <x v="2"/>
    <s v="Very High"/>
    <x v="1"/>
    <n v="86"/>
    <s v="Medium"/>
    <x v="1"/>
    <s v="Research Scientist"/>
    <s v="Very High"/>
    <s v="Single"/>
    <n v="2342"/>
    <n v="22929"/>
    <n v="0"/>
    <s v="Yes"/>
    <n v="20"/>
    <s v="Outstanding"/>
    <s v="Very High"/>
    <n v="0"/>
    <n v="5"/>
    <n v="2"/>
    <s v="Good"/>
    <x v="9"/>
    <s v="0-5"/>
    <n v="2"/>
    <n v="2"/>
    <n v="3"/>
    <n v="554"/>
  </r>
  <r>
    <n v="27"/>
    <x v="2"/>
    <x v="1"/>
    <s v="Travel_Rarely"/>
    <n v="975"/>
    <x v="0"/>
    <n v="7"/>
    <s v="Bachelor"/>
    <x v="2"/>
    <s v="Very High"/>
    <x v="1"/>
    <n v="55"/>
    <s v="Medium"/>
    <x v="0"/>
    <s v="Healthcare Representative"/>
    <s v="Low"/>
    <s v="Single"/>
    <n v="6811"/>
    <n v="23398"/>
    <n v="8"/>
    <s v="No"/>
    <n v="19"/>
    <s v="Excellent"/>
    <s v="Low"/>
    <n v="0"/>
    <n v="9"/>
    <n v="2"/>
    <s v="Bad"/>
    <x v="5"/>
    <s v="5-10"/>
    <n v="6"/>
    <n v="0"/>
    <n v="7"/>
    <n v="555"/>
  </r>
  <r>
    <n v="29"/>
    <x v="2"/>
    <x v="1"/>
    <s v="Travel_Rarely"/>
    <n v="1090"/>
    <x v="1"/>
    <n v="10"/>
    <s v="Bachelor"/>
    <x v="3"/>
    <s v="Very High"/>
    <x v="0"/>
    <n v="83"/>
    <s v="High"/>
    <x v="1"/>
    <s v="Sales Representative"/>
    <s v="Medium"/>
    <s v="Divorced"/>
    <n v="2297"/>
    <n v="17967"/>
    <n v="1"/>
    <s v="No"/>
    <n v="14"/>
    <s v="Excellent"/>
    <s v="Very High"/>
    <n v="2"/>
    <n v="2"/>
    <n v="2"/>
    <s v="Better"/>
    <x v="4"/>
    <s v="0-5"/>
    <n v="2"/>
    <n v="2"/>
    <n v="2"/>
    <n v="556"/>
  </r>
  <r>
    <n v="53"/>
    <x v="1"/>
    <x v="1"/>
    <s v="Travel_Rarely"/>
    <n v="346"/>
    <x v="0"/>
    <n v="6"/>
    <s v="Bachelor"/>
    <x v="0"/>
    <s v="Very High"/>
    <x v="0"/>
    <n v="86"/>
    <s v="High"/>
    <x v="0"/>
    <s v="Laboratory Technician"/>
    <s v="Very High"/>
    <s v="Single"/>
    <n v="2450"/>
    <n v="10919"/>
    <n v="2"/>
    <s v="No"/>
    <n v="17"/>
    <s v="Excellent"/>
    <s v="Very High"/>
    <n v="0"/>
    <n v="19"/>
    <n v="4"/>
    <s v="Better"/>
    <x v="4"/>
    <s v="0-5"/>
    <n v="2"/>
    <n v="2"/>
    <n v="2"/>
    <n v="557"/>
  </r>
  <r>
    <n v="35"/>
    <x v="2"/>
    <x v="1"/>
    <s v="Non-Travel"/>
    <n v="1225"/>
    <x v="0"/>
    <n v="2"/>
    <s v="Master"/>
    <x v="0"/>
    <s v="Very High"/>
    <x v="1"/>
    <n v="61"/>
    <s v="High"/>
    <x v="0"/>
    <s v="Healthcare Representative"/>
    <s v="Low"/>
    <s v="Divorced"/>
    <n v="5093"/>
    <n v="4761"/>
    <n v="2"/>
    <s v="No"/>
    <n v="11"/>
    <s v="Excellent"/>
    <s v="Low"/>
    <n v="1"/>
    <n v="16"/>
    <n v="2"/>
    <s v="Best"/>
    <x v="6"/>
    <s v="0-5"/>
    <n v="0"/>
    <n v="0"/>
    <n v="0"/>
    <n v="558"/>
  </r>
  <r>
    <n v="32"/>
    <x v="2"/>
    <x v="1"/>
    <s v="Travel_Frequently"/>
    <n v="430"/>
    <x v="0"/>
    <n v="24"/>
    <s v="Master"/>
    <x v="0"/>
    <s v="Low"/>
    <x v="0"/>
    <n v="80"/>
    <s v="High"/>
    <x v="0"/>
    <s v="Laboratory Technician"/>
    <s v="Very High"/>
    <s v="Married"/>
    <n v="5309"/>
    <n v="21146"/>
    <n v="1"/>
    <s v="No"/>
    <n v="15"/>
    <s v="Excellent"/>
    <s v="Very High"/>
    <n v="2"/>
    <n v="10"/>
    <n v="2"/>
    <s v="Better"/>
    <x v="1"/>
    <s v="5-10"/>
    <n v="8"/>
    <n v="4"/>
    <n v="7"/>
    <n v="559"/>
  </r>
  <r>
    <n v="38"/>
    <x v="0"/>
    <x v="1"/>
    <s v="Travel_Rarely"/>
    <n v="268"/>
    <x v="0"/>
    <n v="2"/>
    <s v="Doctor"/>
    <x v="2"/>
    <s v="Very High"/>
    <x v="0"/>
    <n v="92"/>
    <s v="High"/>
    <x v="1"/>
    <s v="Research Scientist"/>
    <s v="High"/>
    <s v="Married"/>
    <n v="3057"/>
    <n v="20471"/>
    <n v="6"/>
    <s v="Yes"/>
    <n v="13"/>
    <s v="Excellent"/>
    <s v="Medium"/>
    <n v="1"/>
    <n v="6"/>
    <n v="0"/>
    <s v="Bad"/>
    <x v="6"/>
    <s v="0-5"/>
    <n v="0"/>
    <n v="0"/>
    <n v="1"/>
    <n v="560"/>
  </r>
  <r>
    <n v="34"/>
    <x v="2"/>
    <x v="1"/>
    <s v="Travel_Rarely"/>
    <n v="167"/>
    <x v="0"/>
    <n v="8"/>
    <s v="Doctor"/>
    <x v="0"/>
    <s v="Medium"/>
    <x v="1"/>
    <n v="32"/>
    <s v="High"/>
    <x v="0"/>
    <s v="Manufacturing Director"/>
    <s v="Low"/>
    <s v="Divorced"/>
    <n v="5121"/>
    <n v="4187"/>
    <n v="3"/>
    <s v="No"/>
    <n v="14"/>
    <s v="Excellent"/>
    <s v="High"/>
    <n v="1"/>
    <n v="7"/>
    <n v="3"/>
    <s v="Better"/>
    <x v="2"/>
    <s v="0-5"/>
    <n v="0"/>
    <n v="0"/>
    <n v="0"/>
    <n v="561"/>
  </r>
  <r>
    <n v="52"/>
    <x v="1"/>
    <x v="1"/>
    <s v="Travel_Rarely"/>
    <n v="621"/>
    <x v="1"/>
    <n v="3"/>
    <s v="Master"/>
    <x v="3"/>
    <s v="High"/>
    <x v="0"/>
    <n v="31"/>
    <s v="Medium"/>
    <x v="3"/>
    <s v="Manager"/>
    <s v="Low"/>
    <s v="Married"/>
    <n v="16856"/>
    <n v="10084"/>
    <n v="1"/>
    <s v="No"/>
    <n v="11"/>
    <s v="Excellent"/>
    <s v="Low"/>
    <n v="0"/>
    <n v="34"/>
    <n v="3"/>
    <s v="Best"/>
    <x v="33"/>
    <s v="10-40"/>
    <n v="6"/>
    <n v="1"/>
    <n v="16"/>
    <n v="562"/>
  </r>
  <r>
    <n v="33"/>
    <x v="2"/>
    <x v="0"/>
    <s v="Travel_Rarely"/>
    <n v="527"/>
    <x v="0"/>
    <n v="1"/>
    <s v="Master"/>
    <x v="1"/>
    <s v="Very High"/>
    <x v="0"/>
    <n v="63"/>
    <s v="High"/>
    <x v="1"/>
    <s v="Research Scientist"/>
    <s v="Very High"/>
    <s v="Single"/>
    <n v="2686"/>
    <n v="5207"/>
    <n v="1"/>
    <s v="Yes"/>
    <n v="13"/>
    <s v="Excellent"/>
    <s v="High"/>
    <n v="0"/>
    <n v="10"/>
    <n v="2"/>
    <s v="Good"/>
    <x v="1"/>
    <s v="5-10"/>
    <n v="9"/>
    <n v="7"/>
    <n v="8"/>
    <n v="563"/>
  </r>
  <r>
    <n v="25"/>
    <x v="4"/>
    <x v="1"/>
    <s v="Travel_Rarely"/>
    <n v="883"/>
    <x v="1"/>
    <n v="26"/>
    <s v="Below College"/>
    <x v="2"/>
    <s v="High"/>
    <x v="1"/>
    <n v="32"/>
    <s v="High"/>
    <x v="0"/>
    <s v="Sales Executive"/>
    <s v="Very High"/>
    <s v="Single"/>
    <n v="6180"/>
    <n v="22807"/>
    <n v="1"/>
    <s v="No"/>
    <n v="23"/>
    <s v="Outstanding"/>
    <s v="Medium"/>
    <n v="0"/>
    <n v="6"/>
    <n v="5"/>
    <s v="Good"/>
    <x v="0"/>
    <s v="5-10"/>
    <n v="5"/>
    <n v="1"/>
    <n v="4"/>
    <n v="564"/>
  </r>
  <r>
    <n v="45"/>
    <x v="0"/>
    <x v="1"/>
    <s v="Travel_Rarely"/>
    <n v="954"/>
    <x v="1"/>
    <n v="2"/>
    <s v="College"/>
    <x v="4"/>
    <s v="Medium"/>
    <x v="0"/>
    <n v="46"/>
    <s v="Low"/>
    <x v="0"/>
    <s v="Sales Representative"/>
    <s v="High"/>
    <s v="Single"/>
    <n v="6632"/>
    <n v="12388"/>
    <n v="0"/>
    <s v="No"/>
    <n v="13"/>
    <s v="Excellent"/>
    <s v="Low"/>
    <n v="0"/>
    <n v="9"/>
    <n v="3"/>
    <s v="Better"/>
    <x v="3"/>
    <s v="5-10"/>
    <n v="7"/>
    <n v="3"/>
    <n v="1"/>
    <n v="565"/>
  </r>
  <r>
    <n v="23"/>
    <x v="4"/>
    <x v="1"/>
    <s v="Travel_Rarely"/>
    <n v="310"/>
    <x v="0"/>
    <n v="10"/>
    <s v="Below College"/>
    <x v="2"/>
    <s v="Low"/>
    <x v="0"/>
    <n v="79"/>
    <s v="Very High"/>
    <x v="1"/>
    <s v="Research Scientist"/>
    <s v="High"/>
    <s v="Single"/>
    <n v="3505"/>
    <n v="19630"/>
    <n v="1"/>
    <s v="No"/>
    <n v="18"/>
    <s v="Excellent"/>
    <s v="Very High"/>
    <n v="0"/>
    <n v="2"/>
    <n v="3"/>
    <s v="Better"/>
    <x v="4"/>
    <s v="0-5"/>
    <n v="2"/>
    <n v="0"/>
    <n v="2"/>
    <n v="566"/>
  </r>
  <r>
    <n v="47"/>
    <x v="1"/>
    <x v="0"/>
    <s v="Travel_Frequently"/>
    <n v="719"/>
    <x v="1"/>
    <n v="27"/>
    <s v="College"/>
    <x v="0"/>
    <s v="Medium"/>
    <x v="1"/>
    <n v="77"/>
    <s v="Very High"/>
    <x v="0"/>
    <s v="Sales Executive"/>
    <s v="High"/>
    <s v="Single"/>
    <n v="6397"/>
    <n v="10339"/>
    <n v="4"/>
    <s v="Yes"/>
    <n v="12"/>
    <s v="Excellent"/>
    <s v="Very High"/>
    <n v="0"/>
    <n v="8"/>
    <n v="2"/>
    <s v="Better"/>
    <x v="8"/>
    <s v="0-5"/>
    <n v="4"/>
    <n v="1"/>
    <n v="3"/>
    <n v="567"/>
  </r>
  <r>
    <n v="34"/>
    <x v="2"/>
    <x v="1"/>
    <s v="Travel_Rarely"/>
    <n v="304"/>
    <x v="1"/>
    <n v="2"/>
    <s v="Bachelor"/>
    <x v="1"/>
    <s v="Very High"/>
    <x v="0"/>
    <n v="60"/>
    <s v="High"/>
    <x v="0"/>
    <s v="Sales Executive"/>
    <s v="Very High"/>
    <s v="Single"/>
    <n v="6274"/>
    <n v="18686"/>
    <n v="1"/>
    <s v="No"/>
    <n v="22"/>
    <s v="Outstanding"/>
    <s v="High"/>
    <n v="0"/>
    <n v="6"/>
    <n v="5"/>
    <s v="Better"/>
    <x v="0"/>
    <s v="5-10"/>
    <n v="5"/>
    <n v="1"/>
    <n v="4"/>
    <n v="568"/>
  </r>
  <r>
    <n v="55"/>
    <x v="1"/>
    <x v="0"/>
    <s v="Travel_Rarely"/>
    <n v="725"/>
    <x v="0"/>
    <n v="2"/>
    <s v="Bachelor"/>
    <x v="2"/>
    <s v="Very High"/>
    <x v="0"/>
    <n v="78"/>
    <s v="High"/>
    <x v="4"/>
    <s v="Manager"/>
    <s v="Low"/>
    <s v="Married"/>
    <n v="19859"/>
    <n v="21199"/>
    <n v="5"/>
    <s v="Yes"/>
    <n v="13"/>
    <s v="Excellent"/>
    <s v="Very High"/>
    <n v="1"/>
    <n v="24"/>
    <n v="2"/>
    <s v="Better"/>
    <x v="8"/>
    <s v="0-5"/>
    <n v="2"/>
    <n v="1"/>
    <n v="4"/>
    <n v="569"/>
  </r>
  <r>
    <n v="36"/>
    <x v="0"/>
    <x v="1"/>
    <s v="Non-Travel"/>
    <n v="1434"/>
    <x v="1"/>
    <n v="8"/>
    <s v="Master"/>
    <x v="0"/>
    <s v="Low"/>
    <x v="0"/>
    <n v="76"/>
    <s v="Medium"/>
    <x v="2"/>
    <s v="Sales Executive"/>
    <s v="Low"/>
    <s v="Single"/>
    <n v="7587"/>
    <n v="14229"/>
    <n v="1"/>
    <s v="No"/>
    <n v="15"/>
    <s v="Excellent"/>
    <s v="Medium"/>
    <n v="0"/>
    <n v="10"/>
    <n v="1"/>
    <s v="Better"/>
    <x v="1"/>
    <s v="5-10"/>
    <n v="7"/>
    <n v="0"/>
    <n v="9"/>
    <n v="570"/>
  </r>
  <r>
    <n v="52"/>
    <x v="1"/>
    <x v="1"/>
    <s v="Non-Travel"/>
    <n v="715"/>
    <x v="0"/>
    <n v="19"/>
    <s v="Master"/>
    <x v="2"/>
    <s v="Very High"/>
    <x v="0"/>
    <n v="41"/>
    <s v="High"/>
    <x v="1"/>
    <s v="Research Scientist"/>
    <s v="Very High"/>
    <s v="Married"/>
    <n v="4258"/>
    <n v="26589"/>
    <n v="0"/>
    <s v="No"/>
    <n v="18"/>
    <s v="Excellent"/>
    <s v="Low"/>
    <n v="1"/>
    <n v="5"/>
    <n v="3"/>
    <s v="Better"/>
    <x v="9"/>
    <s v="0-5"/>
    <n v="3"/>
    <n v="1"/>
    <n v="2"/>
    <n v="571"/>
  </r>
  <r>
    <n v="26"/>
    <x v="2"/>
    <x v="1"/>
    <s v="Travel_Frequently"/>
    <n v="575"/>
    <x v="0"/>
    <n v="1"/>
    <s v="College"/>
    <x v="0"/>
    <s v="Low"/>
    <x v="1"/>
    <n v="71"/>
    <s v="Low"/>
    <x v="1"/>
    <s v="Laboratory Technician"/>
    <s v="Very High"/>
    <s v="Divorced"/>
    <n v="4364"/>
    <n v="5288"/>
    <n v="3"/>
    <s v="No"/>
    <n v="14"/>
    <s v="Excellent"/>
    <s v="Low"/>
    <n v="1"/>
    <n v="5"/>
    <n v="2"/>
    <s v="Better"/>
    <x v="4"/>
    <s v="0-5"/>
    <n v="2"/>
    <n v="2"/>
    <n v="0"/>
    <n v="572"/>
  </r>
  <r>
    <n v="29"/>
    <x v="2"/>
    <x v="1"/>
    <s v="Travel_Rarely"/>
    <n v="657"/>
    <x v="0"/>
    <n v="27"/>
    <s v="Bachelor"/>
    <x v="2"/>
    <s v="Medium"/>
    <x v="1"/>
    <n v="66"/>
    <s v="High"/>
    <x v="0"/>
    <s v="Healthcare Representative"/>
    <s v="High"/>
    <s v="Married"/>
    <n v="4335"/>
    <n v="25549"/>
    <n v="4"/>
    <s v="No"/>
    <n v="12"/>
    <s v="Excellent"/>
    <s v="Low"/>
    <n v="1"/>
    <n v="11"/>
    <n v="3"/>
    <s v="Good"/>
    <x v="3"/>
    <s v="5-10"/>
    <n v="7"/>
    <n v="1"/>
    <n v="1"/>
    <n v="573"/>
  </r>
  <r>
    <n v="26"/>
    <x v="2"/>
    <x v="0"/>
    <s v="Travel_Rarely"/>
    <n v="1146"/>
    <x v="1"/>
    <n v="8"/>
    <s v="Bachelor"/>
    <x v="4"/>
    <s v="Very High"/>
    <x v="0"/>
    <n v="38"/>
    <s v="Medium"/>
    <x v="0"/>
    <s v="Sales Executive"/>
    <s v="Low"/>
    <s v="Single"/>
    <n v="5326"/>
    <n v="3064"/>
    <n v="6"/>
    <s v="No"/>
    <n v="17"/>
    <s v="Excellent"/>
    <s v="High"/>
    <n v="0"/>
    <n v="6"/>
    <n v="2"/>
    <s v="Good"/>
    <x v="9"/>
    <s v="0-5"/>
    <n v="3"/>
    <n v="1"/>
    <n v="2"/>
    <n v="574"/>
  </r>
  <r>
    <n v="34"/>
    <x v="2"/>
    <x v="1"/>
    <s v="Travel_Rarely"/>
    <n v="182"/>
    <x v="0"/>
    <n v="1"/>
    <s v="Master"/>
    <x v="0"/>
    <s v="Medium"/>
    <x v="1"/>
    <n v="72"/>
    <s v="Very High"/>
    <x v="1"/>
    <s v="Research Scientist"/>
    <s v="Very High"/>
    <s v="Single"/>
    <n v="3280"/>
    <n v="13551"/>
    <n v="2"/>
    <s v="No"/>
    <n v="16"/>
    <s v="Excellent"/>
    <s v="High"/>
    <n v="0"/>
    <n v="10"/>
    <n v="2"/>
    <s v="Better"/>
    <x v="9"/>
    <s v="0-5"/>
    <n v="2"/>
    <n v="1"/>
    <n v="3"/>
    <n v="575"/>
  </r>
  <r>
    <n v="54"/>
    <x v="1"/>
    <x v="1"/>
    <s v="Travel_Rarely"/>
    <n v="376"/>
    <x v="0"/>
    <n v="19"/>
    <s v="Master"/>
    <x v="2"/>
    <s v="Very High"/>
    <x v="1"/>
    <n v="95"/>
    <s v="High"/>
    <x v="0"/>
    <s v="Manufacturing Director"/>
    <s v="Low"/>
    <s v="Divorced"/>
    <n v="5485"/>
    <n v="22670"/>
    <n v="9"/>
    <s v="Yes"/>
    <n v="11"/>
    <s v="Excellent"/>
    <s v="Medium"/>
    <n v="2"/>
    <n v="9"/>
    <n v="4"/>
    <s v="Better"/>
    <x v="8"/>
    <s v="0-5"/>
    <n v="3"/>
    <n v="1"/>
    <n v="4"/>
    <n v="576"/>
  </r>
  <r>
    <n v="27"/>
    <x v="2"/>
    <x v="1"/>
    <s v="Travel_Frequently"/>
    <n v="829"/>
    <x v="1"/>
    <n v="8"/>
    <s v="Below College"/>
    <x v="3"/>
    <s v="High"/>
    <x v="0"/>
    <n v="84"/>
    <s v="High"/>
    <x v="0"/>
    <s v="Sales Executive"/>
    <s v="Very High"/>
    <s v="Married"/>
    <n v="4342"/>
    <n v="24008"/>
    <n v="0"/>
    <s v="No"/>
    <n v="19"/>
    <s v="Excellent"/>
    <s v="Medium"/>
    <n v="1"/>
    <n v="5"/>
    <n v="3"/>
    <s v="Better"/>
    <x v="9"/>
    <s v="0-5"/>
    <n v="2"/>
    <n v="1"/>
    <n v="1"/>
    <n v="577"/>
  </r>
  <r>
    <n v="37"/>
    <x v="0"/>
    <x v="1"/>
    <s v="Travel_Rarely"/>
    <n v="571"/>
    <x v="0"/>
    <n v="10"/>
    <s v="Below College"/>
    <x v="0"/>
    <s v="Very High"/>
    <x v="1"/>
    <n v="82"/>
    <s v="High"/>
    <x v="1"/>
    <s v="Research Scientist"/>
    <s v="Low"/>
    <s v="Divorced"/>
    <n v="2782"/>
    <n v="19905"/>
    <n v="0"/>
    <s v="Yes"/>
    <n v="13"/>
    <s v="Excellent"/>
    <s v="Medium"/>
    <n v="2"/>
    <n v="6"/>
    <n v="3"/>
    <s v="Good"/>
    <x v="8"/>
    <s v="0-5"/>
    <n v="3"/>
    <n v="4"/>
    <n v="3"/>
    <n v="578"/>
  </r>
  <r>
    <n v="38"/>
    <x v="0"/>
    <x v="1"/>
    <s v="Travel_Frequently"/>
    <n v="240"/>
    <x v="0"/>
    <n v="2"/>
    <s v="Master"/>
    <x v="0"/>
    <s v="Low"/>
    <x v="1"/>
    <n v="75"/>
    <s v="Very High"/>
    <x v="0"/>
    <s v="Manufacturing Director"/>
    <s v="Low"/>
    <s v="Single"/>
    <n v="5980"/>
    <n v="26085"/>
    <n v="6"/>
    <s v="Yes"/>
    <n v="12"/>
    <s v="Excellent"/>
    <s v="Very High"/>
    <n v="0"/>
    <n v="17"/>
    <n v="2"/>
    <s v="Better"/>
    <x v="15"/>
    <s v="10-40"/>
    <n v="7"/>
    <n v="4"/>
    <n v="12"/>
    <n v="579"/>
  </r>
  <r>
    <n v="34"/>
    <x v="2"/>
    <x v="1"/>
    <s v="Travel_Rarely"/>
    <n v="121"/>
    <x v="0"/>
    <n v="2"/>
    <s v="Master"/>
    <x v="2"/>
    <s v="High"/>
    <x v="1"/>
    <n v="86"/>
    <s v="Medium"/>
    <x v="1"/>
    <s v="Research Scientist"/>
    <s v="Low"/>
    <s v="Single"/>
    <n v="4381"/>
    <n v="7530"/>
    <n v="1"/>
    <s v="No"/>
    <n v="11"/>
    <s v="Excellent"/>
    <s v="High"/>
    <n v="0"/>
    <n v="6"/>
    <n v="3"/>
    <s v="Better"/>
    <x v="0"/>
    <s v="5-10"/>
    <n v="5"/>
    <n v="1"/>
    <n v="3"/>
    <n v="580"/>
  </r>
  <r>
    <n v="35"/>
    <x v="2"/>
    <x v="1"/>
    <s v="Travel_Rarely"/>
    <n v="384"/>
    <x v="1"/>
    <n v="8"/>
    <s v="Master"/>
    <x v="0"/>
    <s v="Low"/>
    <x v="1"/>
    <n v="72"/>
    <s v="High"/>
    <x v="1"/>
    <s v="Sales Representative"/>
    <s v="Very High"/>
    <s v="Married"/>
    <n v="2572"/>
    <n v="20317"/>
    <n v="1"/>
    <s v="No"/>
    <n v="16"/>
    <s v="Excellent"/>
    <s v="Medium"/>
    <n v="1"/>
    <n v="3"/>
    <n v="1"/>
    <s v="Good"/>
    <x v="11"/>
    <s v="0-5"/>
    <n v="2"/>
    <n v="0"/>
    <n v="2"/>
    <n v="581"/>
  </r>
  <r>
    <n v="30"/>
    <x v="2"/>
    <x v="1"/>
    <s v="Travel_Rarely"/>
    <n v="921"/>
    <x v="0"/>
    <n v="1"/>
    <s v="Bachelor"/>
    <x v="0"/>
    <s v="Very High"/>
    <x v="0"/>
    <n v="38"/>
    <s v="Low"/>
    <x v="1"/>
    <s v="Laboratory Technician"/>
    <s v="High"/>
    <s v="Married"/>
    <n v="3833"/>
    <n v="24375"/>
    <n v="3"/>
    <s v="No"/>
    <n v="21"/>
    <s v="Outstanding"/>
    <s v="High"/>
    <n v="2"/>
    <n v="7"/>
    <n v="2"/>
    <s v="Better"/>
    <x v="4"/>
    <s v="0-5"/>
    <n v="2"/>
    <n v="0"/>
    <n v="2"/>
    <n v="582"/>
  </r>
  <r>
    <n v="40"/>
    <x v="0"/>
    <x v="1"/>
    <s v="Travel_Frequently"/>
    <n v="791"/>
    <x v="0"/>
    <n v="2"/>
    <s v="College"/>
    <x v="2"/>
    <s v="High"/>
    <x v="1"/>
    <n v="38"/>
    <s v="Very High"/>
    <x v="0"/>
    <s v="Healthcare Representative"/>
    <s v="Medium"/>
    <s v="Married"/>
    <n v="4244"/>
    <n v="9931"/>
    <n v="1"/>
    <s v="No"/>
    <n v="24"/>
    <s v="Outstanding"/>
    <s v="Very High"/>
    <n v="1"/>
    <n v="8"/>
    <n v="2"/>
    <s v="Better"/>
    <x v="3"/>
    <s v="5-10"/>
    <n v="7"/>
    <n v="3"/>
    <n v="7"/>
    <n v="583"/>
  </r>
  <r>
    <n v="34"/>
    <x v="2"/>
    <x v="1"/>
    <s v="Travel_Rarely"/>
    <n v="1111"/>
    <x v="1"/>
    <n v="8"/>
    <s v="College"/>
    <x v="0"/>
    <s v="High"/>
    <x v="1"/>
    <n v="93"/>
    <s v="High"/>
    <x v="0"/>
    <s v="Sales Executive"/>
    <s v="Low"/>
    <s v="Married"/>
    <n v="6500"/>
    <n v="13305"/>
    <n v="5"/>
    <s v="No"/>
    <n v="17"/>
    <s v="Excellent"/>
    <s v="Medium"/>
    <n v="1"/>
    <n v="6"/>
    <n v="1"/>
    <s v="Better"/>
    <x v="11"/>
    <s v="0-5"/>
    <n v="2"/>
    <n v="1"/>
    <n v="2"/>
    <n v="584"/>
  </r>
  <r>
    <n v="42"/>
    <x v="0"/>
    <x v="1"/>
    <s v="Travel_Frequently"/>
    <n v="570"/>
    <x v="0"/>
    <n v="8"/>
    <s v="Bachelor"/>
    <x v="0"/>
    <s v="Medium"/>
    <x v="0"/>
    <n v="66"/>
    <s v="High"/>
    <x v="4"/>
    <s v="Manager"/>
    <s v="Very High"/>
    <s v="Divorced"/>
    <n v="18430"/>
    <n v="16225"/>
    <n v="1"/>
    <s v="No"/>
    <n v="13"/>
    <s v="Excellent"/>
    <s v="Medium"/>
    <n v="1"/>
    <n v="24"/>
    <n v="4"/>
    <s v="Good"/>
    <x v="25"/>
    <s v="10-40"/>
    <n v="7"/>
    <n v="14"/>
    <n v="9"/>
    <n v="585"/>
  </r>
  <r>
    <n v="23"/>
    <x v="4"/>
    <x v="0"/>
    <s v="Travel_Rarely"/>
    <n v="1243"/>
    <x v="0"/>
    <n v="6"/>
    <s v="Bachelor"/>
    <x v="0"/>
    <s v="High"/>
    <x v="0"/>
    <n v="63"/>
    <s v="Very High"/>
    <x v="1"/>
    <s v="Laboratory Technician"/>
    <s v="Low"/>
    <s v="Married"/>
    <n v="1601"/>
    <n v="3445"/>
    <n v="1"/>
    <s v="Yes"/>
    <n v="21"/>
    <s v="Outstanding"/>
    <s v="High"/>
    <n v="2"/>
    <n v="1"/>
    <n v="2"/>
    <s v="Better"/>
    <x v="2"/>
    <s v="0-5"/>
    <n v="0"/>
    <n v="0"/>
    <n v="0"/>
    <n v="586"/>
  </r>
  <r>
    <n v="24"/>
    <x v="4"/>
    <x v="1"/>
    <s v="Non-Travel"/>
    <n v="1092"/>
    <x v="0"/>
    <n v="9"/>
    <s v="Bachelor"/>
    <x v="0"/>
    <s v="High"/>
    <x v="0"/>
    <n v="60"/>
    <s v="Medium"/>
    <x v="1"/>
    <s v="Laboratory Technician"/>
    <s v="Medium"/>
    <s v="Divorced"/>
    <n v="2694"/>
    <n v="26551"/>
    <n v="1"/>
    <s v="No"/>
    <n v="11"/>
    <s v="Excellent"/>
    <s v="High"/>
    <n v="3"/>
    <n v="1"/>
    <n v="4"/>
    <s v="Better"/>
    <x v="6"/>
    <s v="0-5"/>
    <n v="0"/>
    <n v="0"/>
    <n v="0"/>
    <n v="587"/>
  </r>
  <r>
    <n v="52"/>
    <x v="1"/>
    <x v="1"/>
    <s v="Travel_Rarely"/>
    <n v="1325"/>
    <x v="0"/>
    <n v="11"/>
    <s v="Master"/>
    <x v="0"/>
    <s v="Very High"/>
    <x v="1"/>
    <n v="82"/>
    <s v="High"/>
    <x v="0"/>
    <s v="Laboratory Technician"/>
    <s v="High"/>
    <s v="Married"/>
    <n v="3149"/>
    <n v="21821"/>
    <n v="8"/>
    <s v="No"/>
    <n v="20"/>
    <s v="Outstanding"/>
    <s v="Medium"/>
    <n v="1"/>
    <n v="9"/>
    <n v="3"/>
    <s v="Better"/>
    <x v="8"/>
    <s v="0-5"/>
    <n v="2"/>
    <n v="1"/>
    <n v="4"/>
    <n v="588"/>
  </r>
  <r>
    <n v="50"/>
    <x v="1"/>
    <x v="1"/>
    <s v="Travel_Rarely"/>
    <n v="691"/>
    <x v="0"/>
    <n v="2"/>
    <s v="Bachelor"/>
    <x v="2"/>
    <s v="High"/>
    <x v="0"/>
    <n v="64"/>
    <s v="High"/>
    <x v="3"/>
    <s v="Research Director"/>
    <s v="High"/>
    <s v="Married"/>
    <n v="17639"/>
    <n v="6881"/>
    <n v="5"/>
    <s v="No"/>
    <n v="16"/>
    <s v="Excellent"/>
    <s v="Very High"/>
    <n v="0"/>
    <n v="30"/>
    <n v="3"/>
    <s v="Better"/>
    <x v="9"/>
    <s v="0-5"/>
    <n v="3"/>
    <n v="0"/>
    <n v="3"/>
    <n v="589"/>
  </r>
  <r>
    <n v="29"/>
    <x v="2"/>
    <x v="0"/>
    <s v="Travel_Rarely"/>
    <n v="805"/>
    <x v="0"/>
    <n v="1"/>
    <s v="College"/>
    <x v="0"/>
    <s v="Medium"/>
    <x v="1"/>
    <n v="36"/>
    <s v="Medium"/>
    <x v="1"/>
    <s v="Laboratory Technician"/>
    <s v="Low"/>
    <s v="Married"/>
    <n v="2319"/>
    <n v="6689"/>
    <n v="1"/>
    <s v="Yes"/>
    <n v="11"/>
    <s v="Excellent"/>
    <s v="Very High"/>
    <n v="1"/>
    <n v="1"/>
    <n v="1"/>
    <s v="Better"/>
    <x v="6"/>
    <s v="0-5"/>
    <n v="0"/>
    <n v="0"/>
    <n v="0"/>
    <n v="590"/>
  </r>
  <r>
    <n v="33"/>
    <x v="2"/>
    <x v="1"/>
    <s v="Travel_Rarely"/>
    <n v="213"/>
    <x v="0"/>
    <n v="7"/>
    <s v="Bachelor"/>
    <x v="2"/>
    <s v="High"/>
    <x v="0"/>
    <n v="49"/>
    <s v="High"/>
    <x v="2"/>
    <s v="Research Director"/>
    <s v="High"/>
    <s v="Married"/>
    <n v="11691"/>
    <n v="25995"/>
    <n v="0"/>
    <s v="No"/>
    <n v="11"/>
    <s v="Excellent"/>
    <s v="Very High"/>
    <n v="0"/>
    <n v="14"/>
    <n v="3"/>
    <s v="Best"/>
    <x v="20"/>
    <s v="10-40"/>
    <n v="9"/>
    <n v="3"/>
    <n v="7"/>
    <n v="591"/>
  </r>
  <r>
    <n v="33"/>
    <x v="2"/>
    <x v="0"/>
    <s v="Travel_Rarely"/>
    <n v="118"/>
    <x v="1"/>
    <n v="16"/>
    <s v="Bachelor"/>
    <x v="3"/>
    <s v="Low"/>
    <x v="1"/>
    <n v="69"/>
    <s v="High"/>
    <x v="0"/>
    <s v="Sales Executive"/>
    <s v="Low"/>
    <s v="Single"/>
    <n v="5324"/>
    <n v="26507"/>
    <n v="5"/>
    <s v="No"/>
    <n v="15"/>
    <s v="Excellent"/>
    <s v="High"/>
    <n v="0"/>
    <n v="6"/>
    <n v="3"/>
    <s v="Better"/>
    <x v="11"/>
    <s v="0-5"/>
    <n v="2"/>
    <n v="0"/>
    <n v="2"/>
    <n v="592"/>
  </r>
  <r>
    <n v="47"/>
    <x v="1"/>
    <x v="1"/>
    <s v="Travel_Rarely"/>
    <n v="202"/>
    <x v="0"/>
    <n v="2"/>
    <s v="College"/>
    <x v="1"/>
    <s v="High"/>
    <x v="1"/>
    <n v="33"/>
    <s v="High"/>
    <x v="3"/>
    <s v="Manager"/>
    <s v="Very High"/>
    <s v="Married"/>
    <n v="16752"/>
    <n v="12982"/>
    <n v="1"/>
    <s v="Yes"/>
    <n v="11"/>
    <s v="Excellent"/>
    <s v="High"/>
    <n v="1"/>
    <n v="26"/>
    <n v="3"/>
    <s v="Good"/>
    <x v="34"/>
    <s v="10-40"/>
    <n v="14"/>
    <n v="3"/>
    <n v="0"/>
    <n v="593"/>
  </r>
  <r>
    <n v="36"/>
    <x v="0"/>
    <x v="1"/>
    <s v="Travel_Rarely"/>
    <n v="676"/>
    <x v="0"/>
    <n v="1"/>
    <s v="Bachelor"/>
    <x v="1"/>
    <s v="High"/>
    <x v="1"/>
    <n v="35"/>
    <s v="High"/>
    <x v="0"/>
    <s v="Manufacturing Director"/>
    <s v="Medium"/>
    <s v="Married"/>
    <n v="5228"/>
    <n v="23361"/>
    <n v="0"/>
    <s v="No"/>
    <n v="15"/>
    <s v="Excellent"/>
    <s v="Low"/>
    <n v="1"/>
    <n v="10"/>
    <n v="2"/>
    <s v="Better"/>
    <x v="7"/>
    <s v="5-10"/>
    <n v="7"/>
    <n v="0"/>
    <n v="5"/>
    <n v="594"/>
  </r>
  <r>
    <n v="29"/>
    <x v="2"/>
    <x v="1"/>
    <s v="Travel_Rarely"/>
    <n v="1252"/>
    <x v="0"/>
    <n v="23"/>
    <s v="College"/>
    <x v="0"/>
    <s v="High"/>
    <x v="0"/>
    <n v="81"/>
    <s v="Very High"/>
    <x v="1"/>
    <s v="Research Scientist"/>
    <s v="High"/>
    <s v="Married"/>
    <n v="2700"/>
    <n v="23779"/>
    <n v="1"/>
    <s v="No"/>
    <n v="24"/>
    <s v="Outstanding"/>
    <s v="High"/>
    <n v="1"/>
    <n v="10"/>
    <n v="3"/>
    <s v="Better"/>
    <x v="1"/>
    <s v="5-10"/>
    <n v="7"/>
    <n v="0"/>
    <n v="7"/>
    <n v="595"/>
  </r>
  <r>
    <n v="58"/>
    <x v="3"/>
    <x v="0"/>
    <s v="Travel_Rarely"/>
    <n v="286"/>
    <x v="0"/>
    <n v="2"/>
    <s v="Master"/>
    <x v="0"/>
    <s v="Very High"/>
    <x v="0"/>
    <n v="31"/>
    <s v="High"/>
    <x v="4"/>
    <s v="Research Director"/>
    <s v="Medium"/>
    <s v="Single"/>
    <n v="19246"/>
    <n v="25761"/>
    <n v="7"/>
    <s v="Yes"/>
    <n v="12"/>
    <s v="Excellent"/>
    <s v="Very High"/>
    <n v="0"/>
    <n v="40"/>
    <n v="2"/>
    <s v="Better"/>
    <x v="31"/>
    <s v="10-40"/>
    <n v="15"/>
    <n v="13"/>
    <n v="8"/>
    <n v="596"/>
  </r>
  <r>
    <n v="35"/>
    <x v="2"/>
    <x v="1"/>
    <s v="Travel_Rarely"/>
    <n v="1258"/>
    <x v="0"/>
    <n v="1"/>
    <s v="Master"/>
    <x v="0"/>
    <s v="Very High"/>
    <x v="1"/>
    <n v="40"/>
    <s v="Very High"/>
    <x v="1"/>
    <s v="Research Scientist"/>
    <s v="High"/>
    <s v="Single"/>
    <n v="2506"/>
    <n v="13301"/>
    <n v="3"/>
    <s v="No"/>
    <n v="13"/>
    <s v="Excellent"/>
    <s v="High"/>
    <n v="0"/>
    <n v="7"/>
    <n v="0"/>
    <s v="Better"/>
    <x v="4"/>
    <s v="0-5"/>
    <n v="2"/>
    <n v="2"/>
    <n v="2"/>
    <n v="597"/>
  </r>
  <r>
    <n v="42"/>
    <x v="0"/>
    <x v="1"/>
    <s v="Travel_Rarely"/>
    <n v="932"/>
    <x v="0"/>
    <n v="1"/>
    <s v="College"/>
    <x v="0"/>
    <s v="Very High"/>
    <x v="1"/>
    <n v="43"/>
    <s v="Medium"/>
    <x v="0"/>
    <s v="Manufacturing Director"/>
    <s v="Very High"/>
    <s v="Married"/>
    <n v="6062"/>
    <n v="4051"/>
    <n v="9"/>
    <s v="Yes"/>
    <n v="13"/>
    <s v="Excellent"/>
    <s v="Very High"/>
    <n v="1"/>
    <n v="8"/>
    <n v="4"/>
    <s v="Better"/>
    <x v="9"/>
    <s v="0-5"/>
    <n v="3"/>
    <n v="0"/>
    <n v="2"/>
    <n v="598"/>
  </r>
  <r>
    <n v="28"/>
    <x v="2"/>
    <x v="0"/>
    <s v="Travel_Rarely"/>
    <n v="890"/>
    <x v="0"/>
    <n v="2"/>
    <s v="Master"/>
    <x v="2"/>
    <s v="High"/>
    <x v="0"/>
    <n v="46"/>
    <s v="High"/>
    <x v="1"/>
    <s v="Research Scientist"/>
    <s v="High"/>
    <s v="Single"/>
    <n v="4382"/>
    <n v="16374"/>
    <n v="6"/>
    <s v="No"/>
    <n v="17"/>
    <s v="Excellent"/>
    <s v="Very High"/>
    <n v="0"/>
    <n v="5"/>
    <n v="3"/>
    <s v="Good"/>
    <x v="4"/>
    <s v="0-5"/>
    <n v="2"/>
    <n v="2"/>
    <n v="1"/>
    <n v="599"/>
  </r>
  <r>
    <n v="36"/>
    <x v="0"/>
    <x v="1"/>
    <s v="Travel_Rarely"/>
    <n v="1041"/>
    <x v="2"/>
    <n v="13"/>
    <s v="Bachelor"/>
    <x v="5"/>
    <s v="High"/>
    <x v="0"/>
    <n v="36"/>
    <s v="High"/>
    <x v="1"/>
    <s v="Human Resources"/>
    <s v="Medium"/>
    <s v="Married"/>
    <n v="2143"/>
    <n v="25527"/>
    <n v="4"/>
    <s v="No"/>
    <n v="13"/>
    <s v="Excellent"/>
    <s v="Medium"/>
    <n v="1"/>
    <n v="8"/>
    <n v="2"/>
    <s v="Better"/>
    <x v="8"/>
    <s v="0-5"/>
    <n v="2"/>
    <n v="0"/>
    <n v="4"/>
    <n v="600"/>
  </r>
  <r>
    <n v="32"/>
    <x v="2"/>
    <x v="1"/>
    <s v="Travel_Rarely"/>
    <n v="859"/>
    <x v="0"/>
    <n v="4"/>
    <s v="Bachelor"/>
    <x v="0"/>
    <s v="High"/>
    <x v="1"/>
    <n v="98"/>
    <s v="Medium"/>
    <x v="0"/>
    <s v="Manufacturing Director"/>
    <s v="High"/>
    <s v="Married"/>
    <n v="6162"/>
    <n v="19124"/>
    <n v="1"/>
    <s v="No"/>
    <n v="12"/>
    <s v="Excellent"/>
    <s v="High"/>
    <n v="1"/>
    <n v="14"/>
    <n v="3"/>
    <s v="Better"/>
    <x v="13"/>
    <s v="10-40"/>
    <n v="13"/>
    <n v="6"/>
    <n v="8"/>
    <n v="601"/>
  </r>
  <r>
    <n v="40"/>
    <x v="0"/>
    <x v="1"/>
    <s v="Travel_Frequently"/>
    <n v="720"/>
    <x v="0"/>
    <n v="16"/>
    <s v="Master"/>
    <x v="2"/>
    <s v="Low"/>
    <x v="0"/>
    <n v="51"/>
    <s v="Medium"/>
    <x v="0"/>
    <s v="Laboratory Technician"/>
    <s v="High"/>
    <s v="Single"/>
    <n v="5094"/>
    <n v="11983"/>
    <n v="6"/>
    <s v="No"/>
    <n v="14"/>
    <s v="Excellent"/>
    <s v="Very High"/>
    <n v="0"/>
    <n v="10"/>
    <n v="6"/>
    <s v="Better"/>
    <x v="6"/>
    <s v="0-5"/>
    <n v="0"/>
    <n v="0"/>
    <n v="0"/>
    <n v="602"/>
  </r>
  <r>
    <n v="30"/>
    <x v="2"/>
    <x v="1"/>
    <s v="Travel_Rarely"/>
    <n v="946"/>
    <x v="0"/>
    <n v="2"/>
    <s v="Bachelor"/>
    <x v="2"/>
    <s v="High"/>
    <x v="1"/>
    <n v="52"/>
    <s v="Medium"/>
    <x v="0"/>
    <s v="Manufacturing Director"/>
    <s v="Very High"/>
    <s v="Single"/>
    <n v="6877"/>
    <n v="20234"/>
    <n v="5"/>
    <s v="Yes"/>
    <n v="24"/>
    <s v="Outstanding"/>
    <s v="Medium"/>
    <n v="0"/>
    <n v="12"/>
    <n v="4"/>
    <s v="Good"/>
    <x v="2"/>
    <s v="0-5"/>
    <n v="0"/>
    <n v="0"/>
    <n v="0"/>
    <n v="603"/>
  </r>
  <r>
    <n v="45"/>
    <x v="0"/>
    <x v="1"/>
    <s v="Travel_Rarely"/>
    <n v="252"/>
    <x v="0"/>
    <n v="2"/>
    <s v="Bachelor"/>
    <x v="0"/>
    <s v="Medium"/>
    <x v="1"/>
    <n v="95"/>
    <s v="Medium"/>
    <x v="1"/>
    <s v="Research Scientist"/>
    <s v="High"/>
    <s v="Single"/>
    <n v="2274"/>
    <n v="6153"/>
    <n v="1"/>
    <s v="No"/>
    <n v="14"/>
    <s v="Excellent"/>
    <s v="Very High"/>
    <n v="0"/>
    <n v="1"/>
    <n v="3"/>
    <s v="Better"/>
    <x v="6"/>
    <s v="0-5"/>
    <n v="0"/>
    <n v="0"/>
    <n v="0"/>
    <n v="604"/>
  </r>
  <r>
    <n v="42"/>
    <x v="0"/>
    <x v="1"/>
    <s v="Travel_Rarely"/>
    <n v="933"/>
    <x v="0"/>
    <n v="29"/>
    <s v="Bachelor"/>
    <x v="0"/>
    <s v="Medium"/>
    <x v="0"/>
    <n v="98"/>
    <s v="High"/>
    <x v="0"/>
    <s v="Manufacturing Director"/>
    <s v="Medium"/>
    <s v="Married"/>
    <n v="4434"/>
    <n v="11806"/>
    <n v="1"/>
    <s v="No"/>
    <n v="13"/>
    <s v="Excellent"/>
    <s v="Very High"/>
    <n v="1"/>
    <n v="10"/>
    <n v="3"/>
    <s v="Good"/>
    <x v="7"/>
    <s v="5-10"/>
    <n v="8"/>
    <n v="7"/>
    <n v="8"/>
    <n v="605"/>
  </r>
  <r>
    <n v="38"/>
    <x v="0"/>
    <x v="1"/>
    <s v="Travel_Frequently"/>
    <n v="471"/>
    <x v="0"/>
    <n v="12"/>
    <s v="Bachelor"/>
    <x v="0"/>
    <s v="Low"/>
    <x v="0"/>
    <n v="45"/>
    <s v="Medium"/>
    <x v="0"/>
    <s v="Healthcare Representative"/>
    <s v="Low"/>
    <s v="Divorced"/>
    <n v="6288"/>
    <n v="4284"/>
    <n v="2"/>
    <s v="No"/>
    <n v="15"/>
    <s v="Excellent"/>
    <s v="High"/>
    <n v="1"/>
    <n v="13"/>
    <n v="3"/>
    <s v="Good"/>
    <x v="9"/>
    <s v="0-5"/>
    <n v="3"/>
    <n v="1"/>
    <n v="2"/>
    <n v="606"/>
  </r>
  <r>
    <n v="34"/>
    <x v="2"/>
    <x v="1"/>
    <s v="Travel_Frequently"/>
    <n v="702"/>
    <x v="0"/>
    <n v="16"/>
    <s v="Master"/>
    <x v="0"/>
    <s v="High"/>
    <x v="1"/>
    <n v="100"/>
    <s v="Medium"/>
    <x v="1"/>
    <s v="Research Scientist"/>
    <s v="Very High"/>
    <s v="Single"/>
    <n v="2553"/>
    <n v="8306"/>
    <n v="1"/>
    <s v="No"/>
    <n v="16"/>
    <s v="Excellent"/>
    <s v="High"/>
    <n v="0"/>
    <n v="6"/>
    <n v="3"/>
    <s v="Better"/>
    <x v="8"/>
    <s v="0-5"/>
    <n v="2"/>
    <n v="1"/>
    <n v="3"/>
    <n v="607"/>
  </r>
  <r>
    <n v="49"/>
    <x v="1"/>
    <x v="0"/>
    <s v="Travel_Rarely"/>
    <n v="1184"/>
    <x v="1"/>
    <n v="11"/>
    <s v="Bachelor"/>
    <x v="3"/>
    <s v="High"/>
    <x v="1"/>
    <n v="43"/>
    <s v="High"/>
    <x v="2"/>
    <s v="Sales Executive"/>
    <s v="Very High"/>
    <s v="Married"/>
    <n v="7654"/>
    <n v="5860"/>
    <n v="1"/>
    <s v="No"/>
    <n v="18"/>
    <s v="Excellent"/>
    <s v="Low"/>
    <n v="2"/>
    <n v="9"/>
    <n v="3"/>
    <s v="Best"/>
    <x v="7"/>
    <s v="5-10"/>
    <n v="8"/>
    <n v="7"/>
    <n v="7"/>
    <n v="608"/>
  </r>
  <r>
    <n v="55"/>
    <x v="1"/>
    <x v="0"/>
    <s v="Travel_Rarely"/>
    <n v="436"/>
    <x v="1"/>
    <n v="2"/>
    <s v="Below College"/>
    <x v="2"/>
    <s v="High"/>
    <x v="0"/>
    <n v="37"/>
    <s v="High"/>
    <x v="0"/>
    <s v="Sales Executive"/>
    <s v="Very High"/>
    <s v="Single"/>
    <n v="5160"/>
    <n v="21519"/>
    <n v="4"/>
    <s v="No"/>
    <n v="16"/>
    <s v="Excellent"/>
    <s v="High"/>
    <n v="0"/>
    <n v="12"/>
    <n v="3"/>
    <s v="Good"/>
    <x v="7"/>
    <s v="5-10"/>
    <n v="7"/>
    <n v="7"/>
    <n v="3"/>
    <n v="609"/>
  </r>
  <r>
    <n v="43"/>
    <x v="0"/>
    <x v="1"/>
    <s v="Travel_Rarely"/>
    <n v="589"/>
    <x v="0"/>
    <n v="14"/>
    <s v="College"/>
    <x v="0"/>
    <s v="Medium"/>
    <x v="0"/>
    <n v="94"/>
    <s v="High"/>
    <x v="3"/>
    <s v="Research Director"/>
    <s v="Low"/>
    <s v="Married"/>
    <n v="17159"/>
    <n v="5200"/>
    <n v="6"/>
    <s v="No"/>
    <n v="24"/>
    <s v="Outstanding"/>
    <s v="High"/>
    <n v="1"/>
    <n v="22"/>
    <n v="3"/>
    <s v="Better"/>
    <x v="9"/>
    <s v="0-5"/>
    <n v="1"/>
    <n v="1"/>
    <n v="0"/>
    <n v="610"/>
  </r>
  <r>
    <n v="27"/>
    <x v="2"/>
    <x v="1"/>
    <s v="Travel_Rarely"/>
    <n v="269"/>
    <x v="0"/>
    <n v="5"/>
    <s v="Below College"/>
    <x v="4"/>
    <s v="High"/>
    <x v="0"/>
    <n v="42"/>
    <s v="Medium"/>
    <x v="2"/>
    <s v="Research Director"/>
    <s v="Very High"/>
    <s v="Divorced"/>
    <n v="12808"/>
    <n v="8842"/>
    <n v="1"/>
    <s v="Yes"/>
    <n v="16"/>
    <s v="Excellent"/>
    <s v="Medium"/>
    <n v="1"/>
    <n v="9"/>
    <n v="3"/>
    <s v="Better"/>
    <x v="7"/>
    <s v="5-10"/>
    <n v="8"/>
    <n v="0"/>
    <n v="8"/>
    <n v="611"/>
  </r>
  <r>
    <n v="35"/>
    <x v="2"/>
    <x v="1"/>
    <s v="Travel_Rarely"/>
    <n v="950"/>
    <x v="0"/>
    <n v="7"/>
    <s v="Bachelor"/>
    <x v="1"/>
    <s v="High"/>
    <x v="0"/>
    <n v="59"/>
    <s v="High"/>
    <x v="2"/>
    <s v="Manufacturing Director"/>
    <s v="High"/>
    <s v="Single"/>
    <n v="10221"/>
    <n v="18869"/>
    <n v="3"/>
    <s v="No"/>
    <n v="21"/>
    <s v="Outstanding"/>
    <s v="Medium"/>
    <n v="0"/>
    <n v="17"/>
    <n v="3"/>
    <s v="Best"/>
    <x v="3"/>
    <s v="5-10"/>
    <n v="5"/>
    <n v="1"/>
    <n v="6"/>
    <n v="612"/>
  </r>
  <r>
    <n v="28"/>
    <x v="2"/>
    <x v="1"/>
    <s v="Travel_Rarely"/>
    <n v="760"/>
    <x v="1"/>
    <n v="2"/>
    <s v="Master"/>
    <x v="3"/>
    <s v="Medium"/>
    <x v="1"/>
    <n v="81"/>
    <s v="High"/>
    <x v="0"/>
    <s v="Sales Executive"/>
    <s v="Medium"/>
    <s v="Married"/>
    <n v="4779"/>
    <n v="3698"/>
    <n v="1"/>
    <s v="Yes"/>
    <n v="20"/>
    <s v="Outstanding"/>
    <s v="Low"/>
    <n v="0"/>
    <n v="8"/>
    <n v="2"/>
    <s v="Better"/>
    <x v="3"/>
    <s v="5-10"/>
    <n v="7"/>
    <n v="7"/>
    <n v="5"/>
    <n v="613"/>
  </r>
  <r>
    <n v="34"/>
    <x v="2"/>
    <x v="1"/>
    <s v="Travel_Rarely"/>
    <n v="829"/>
    <x v="2"/>
    <n v="3"/>
    <s v="College"/>
    <x v="5"/>
    <s v="High"/>
    <x v="0"/>
    <n v="88"/>
    <s v="High"/>
    <x v="1"/>
    <s v="Human Resources"/>
    <s v="Very High"/>
    <s v="Married"/>
    <n v="3737"/>
    <n v="2243"/>
    <n v="0"/>
    <s v="No"/>
    <n v="19"/>
    <s v="Excellent"/>
    <s v="High"/>
    <n v="1"/>
    <n v="4"/>
    <n v="1"/>
    <s v="Bad"/>
    <x v="11"/>
    <s v="0-5"/>
    <n v="2"/>
    <n v="0"/>
    <n v="2"/>
    <n v="614"/>
  </r>
  <r>
    <n v="26"/>
    <x v="2"/>
    <x v="0"/>
    <s v="Travel_Frequently"/>
    <n v="887"/>
    <x v="0"/>
    <n v="5"/>
    <s v="College"/>
    <x v="2"/>
    <s v="High"/>
    <x v="1"/>
    <n v="88"/>
    <s v="Medium"/>
    <x v="1"/>
    <s v="Research Scientist"/>
    <s v="High"/>
    <s v="Married"/>
    <n v="2366"/>
    <n v="20898"/>
    <n v="1"/>
    <s v="Yes"/>
    <n v="14"/>
    <s v="Excellent"/>
    <s v="Low"/>
    <n v="1"/>
    <n v="8"/>
    <n v="2"/>
    <s v="Better"/>
    <x v="3"/>
    <s v="5-10"/>
    <n v="7"/>
    <n v="1"/>
    <n v="7"/>
    <n v="615"/>
  </r>
  <r>
    <n v="27"/>
    <x v="2"/>
    <x v="1"/>
    <s v="Non-Travel"/>
    <n v="443"/>
    <x v="0"/>
    <n v="3"/>
    <s v="Bachelor"/>
    <x v="2"/>
    <s v="Very High"/>
    <x v="0"/>
    <n v="50"/>
    <s v="High"/>
    <x v="1"/>
    <s v="Research Scientist"/>
    <s v="Very High"/>
    <s v="Married"/>
    <n v="1706"/>
    <n v="16571"/>
    <n v="1"/>
    <s v="No"/>
    <n v="11"/>
    <s v="Excellent"/>
    <s v="High"/>
    <n v="3"/>
    <n v="0"/>
    <n v="6"/>
    <s v="Good"/>
    <x v="2"/>
    <s v="0-5"/>
    <n v="0"/>
    <n v="0"/>
    <n v="0"/>
    <n v="616"/>
  </r>
  <r>
    <n v="51"/>
    <x v="1"/>
    <x v="1"/>
    <s v="Travel_Rarely"/>
    <n v="1318"/>
    <x v="1"/>
    <n v="26"/>
    <s v="Master"/>
    <x v="3"/>
    <s v="Low"/>
    <x v="1"/>
    <n v="66"/>
    <s v="High"/>
    <x v="3"/>
    <s v="Manager"/>
    <s v="High"/>
    <s v="Married"/>
    <n v="16307"/>
    <n v="5594"/>
    <n v="2"/>
    <s v="No"/>
    <n v="14"/>
    <s v="Excellent"/>
    <s v="High"/>
    <n v="1"/>
    <n v="29"/>
    <n v="2"/>
    <s v="Good"/>
    <x v="23"/>
    <s v="10-40"/>
    <n v="6"/>
    <n v="4"/>
    <n v="17"/>
    <n v="617"/>
  </r>
  <r>
    <n v="44"/>
    <x v="0"/>
    <x v="1"/>
    <s v="Travel_Rarely"/>
    <n v="625"/>
    <x v="0"/>
    <n v="4"/>
    <s v="Bachelor"/>
    <x v="2"/>
    <s v="Very High"/>
    <x v="0"/>
    <n v="50"/>
    <s v="High"/>
    <x v="0"/>
    <s v="Healthcare Representative"/>
    <s v="Medium"/>
    <s v="Single"/>
    <n v="5933"/>
    <n v="5197"/>
    <n v="9"/>
    <s v="No"/>
    <n v="12"/>
    <s v="Excellent"/>
    <s v="Very High"/>
    <n v="0"/>
    <n v="10"/>
    <n v="2"/>
    <s v="Good"/>
    <x v="8"/>
    <s v="0-5"/>
    <n v="2"/>
    <n v="2"/>
    <n v="3"/>
    <n v="618"/>
  </r>
  <r>
    <n v="25"/>
    <x v="4"/>
    <x v="1"/>
    <s v="Travel_Rarely"/>
    <n v="180"/>
    <x v="0"/>
    <n v="2"/>
    <s v="Below College"/>
    <x v="2"/>
    <s v="Low"/>
    <x v="0"/>
    <n v="65"/>
    <s v="Very High"/>
    <x v="1"/>
    <s v="Research Scientist"/>
    <s v="Low"/>
    <s v="Single"/>
    <n v="3424"/>
    <n v="21632"/>
    <n v="7"/>
    <s v="No"/>
    <n v="13"/>
    <s v="Excellent"/>
    <s v="High"/>
    <n v="0"/>
    <n v="6"/>
    <n v="3"/>
    <s v="Good"/>
    <x v="9"/>
    <s v="0-5"/>
    <n v="3"/>
    <n v="0"/>
    <n v="1"/>
    <n v="619"/>
  </r>
  <r>
    <n v="33"/>
    <x v="2"/>
    <x v="1"/>
    <s v="Travel_Rarely"/>
    <n v="586"/>
    <x v="1"/>
    <n v="1"/>
    <s v="Bachelor"/>
    <x v="2"/>
    <s v="Low"/>
    <x v="0"/>
    <n v="48"/>
    <s v="Very High"/>
    <x v="0"/>
    <s v="Sales Executive"/>
    <s v="Low"/>
    <s v="Divorced"/>
    <n v="4037"/>
    <n v="21816"/>
    <n v="1"/>
    <s v="No"/>
    <n v="22"/>
    <s v="Outstanding"/>
    <s v="Low"/>
    <n v="1"/>
    <n v="9"/>
    <n v="5"/>
    <s v="Better"/>
    <x v="7"/>
    <s v="5-10"/>
    <n v="8"/>
    <n v="0"/>
    <n v="8"/>
    <n v="620"/>
  </r>
  <r>
    <n v="35"/>
    <x v="2"/>
    <x v="1"/>
    <s v="Travel_Rarely"/>
    <n v="1343"/>
    <x v="0"/>
    <n v="27"/>
    <s v="Below College"/>
    <x v="2"/>
    <s v="High"/>
    <x v="1"/>
    <n v="53"/>
    <s v="Medium"/>
    <x v="1"/>
    <s v="Research Scientist"/>
    <s v="Low"/>
    <s v="Single"/>
    <n v="2559"/>
    <n v="17852"/>
    <n v="1"/>
    <s v="No"/>
    <n v="11"/>
    <s v="Excellent"/>
    <s v="Very High"/>
    <n v="0"/>
    <n v="6"/>
    <n v="3"/>
    <s v="Good"/>
    <x v="0"/>
    <s v="5-10"/>
    <n v="5"/>
    <n v="1"/>
    <n v="1"/>
    <n v="621"/>
  </r>
  <r>
    <n v="36"/>
    <x v="0"/>
    <x v="1"/>
    <s v="Travel_Rarely"/>
    <n v="928"/>
    <x v="1"/>
    <n v="1"/>
    <s v="College"/>
    <x v="0"/>
    <s v="Medium"/>
    <x v="0"/>
    <n v="56"/>
    <s v="High"/>
    <x v="0"/>
    <s v="Sales Executive"/>
    <s v="Very High"/>
    <s v="Married"/>
    <n v="6201"/>
    <n v="2823"/>
    <n v="1"/>
    <s v="Yes"/>
    <n v="14"/>
    <s v="Excellent"/>
    <s v="Very High"/>
    <n v="1"/>
    <n v="18"/>
    <n v="1"/>
    <s v="Good"/>
    <x v="29"/>
    <s v="10-40"/>
    <n v="14"/>
    <n v="4"/>
    <n v="11"/>
    <n v="622"/>
  </r>
  <r>
    <n v="32"/>
    <x v="2"/>
    <x v="1"/>
    <s v="Travel_Rarely"/>
    <n v="117"/>
    <x v="1"/>
    <n v="13"/>
    <s v="Master"/>
    <x v="0"/>
    <s v="Medium"/>
    <x v="0"/>
    <n v="73"/>
    <s v="High"/>
    <x v="0"/>
    <s v="Sales Executive"/>
    <s v="Very High"/>
    <s v="Divorced"/>
    <n v="4403"/>
    <n v="9250"/>
    <n v="2"/>
    <s v="No"/>
    <n v="11"/>
    <s v="Excellent"/>
    <s v="High"/>
    <n v="1"/>
    <n v="8"/>
    <n v="3"/>
    <s v="Good"/>
    <x v="8"/>
    <s v="0-5"/>
    <n v="2"/>
    <n v="0"/>
    <n v="3"/>
    <n v="623"/>
  </r>
  <r>
    <n v="30"/>
    <x v="2"/>
    <x v="1"/>
    <s v="Travel_Frequently"/>
    <n v="1012"/>
    <x v="0"/>
    <n v="5"/>
    <s v="Master"/>
    <x v="0"/>
    <s v="Medium"/>
    <x v="0"/>
    <n v="75"/>
    <s v="Medium"/>
    <x v="1"/>
    <s v="Research Scientist"/>
    <s v="Very High"/>
    <s v="Divorced"/>
    <n v="3761"/>
    <n v="2373"/>
    <n v="9"/>
    <s v="No"/>
    <n v="12"/>
    <s v="Excellent"/>
    <s v="Medium"/>
    <n v="1"/>
    <n v="10"/>
    <n v="3"/>
    <s v="Good"/>
    <x v="8"/>
    <s v="0-5"/>
    <n v="4"/>
    <n v="0"/>
    <n v="3"/>
    <n v="624"/>
  </r>
  <r>
    <n v="53"/>
    <x v="1"/>
    <x v="1"/>
    <s v="Travel_Rarely"/>
    <n v="661"/>
    <x v="1"/>
    <n v="7"/>
    <s v="College"/>
    <x v="3"/>
    <s v="Low"/>
    <x v="1"/>
    <n v="78"/>
    <s v="Medium"/>
    <x v="2"/>
    <s v="Sales Executive"/>
    <s v="Very High"/>
    <s v="Married"/>
    <n v="10934"/>
    <n v="20715"/>
    <n v="7"/>
    <s v="Yes"/>
    <n v="18"/>
    <s v="Excellent"/>
    <s v="Very High"/>
    <n v="1"/>
    <n v="35"/>
    <n v="3"/>
    <s v="Better"/>
    <x v="8"/>
    <s v="0-5"/>
    <n v="2"/>
    <n v="0"/>
    <n v="4"/>
    <n v="625"/>
  </r>
  <r>
    <n v="45"/>
    <x v="0"/>
    <x v="1"/>
    <s v="Travel_Rarely"/>
    <n v="930"/>
    <x v="1"/>
    <n v="9"/>
    <s v="Bachelor"/>
    <x v="3"/>
    <s v="Very High"/>
    <x v="0"/>
    <n v="74"/>
    <s v="High"/>
    <x v="2"/>
    <s v="Sales Executive"/>
    <s v="Low"/>
    <s v="Divorced"/>
    <n v="10761"/>
    <n v="19239"/>
    <n v="4"/>
    <s v="Yes"/>
    <n v="12"/>
    <s v="Excellent"/>
    <s v="High"/>
    <n v="1"/>
    <n v="18"/>
    <n v="2"/>
    <s v="Better"/>
    <x v="8"/>
    <s v="0-5"/>
    <n v="4"/>
    <n v="0"/>
    <n v="2"/>
    <n v="626"/>
  </r>
  <r>
    <n v="32"/>
    <x v="2"/>
    <x v="1"/>
    <s v="Travel_Rarely"/>
    <n v="638"/>
    <x v="0"/>
    <n v="8"/>
    <s v="College"/>
    <x v="2"/>
    <s v="High"/>
    <x v="1"/>
    <n v="91"/>
    <s v="Very High"/>
    <x v="0"/>
    <s v="Research Scientist"/>
    <s v="High"/>
    <s v="Married"/>
    <n v="5175"/>
    <n v="22162"/>
    <n v="5"/>
    <s v="No"/>
    <n v="12"/>
    <s v="Excellent"/>
    <s v="High"/>
    <n v="1"/>
    <n v="9"/>
    <n v="3"/>
    <s v="Good"/>
    <x v="8"/>
    <s v="0-5"/>
    <n v="3"/>
    <n v="1"/>
    <n v="3"/>
    <n v="627"/>
  </r>
  <r>
    <n v="52"/>
    <x v="1"/>
    <x v="1"/>
    <s v="Travel_Frequently"/>
    <n v="890"/>
    <x v="0"/>
    <n v="25"/>
    <s v="Master"/>
    <x v="2"/>
    <s v="High"/>
    <x v="1"/>
    <n v="81"/>
    <s v="Medium"/>
    <x v="3"/>
    <s v="Manufacturing Director"/>
    <s v="Very High"/>
    <s v="Married"/>
    <n v="13826"/>
    <n v="19028"/>
    <n v="3"/>
    <s v="No"/>
    <n v="22"/>
    <s v="Outstanding"/>
    <s v="High"/>
    <n v="0"/>
    <n v="31"/>
    <n v="3"/>
    <s v="Better"/>
    <x v="7"/>
    <s v="5-10"/>
    <n v="8"/>
    <n v="0"/>
    <n v="0"/>
    <n v="628"/>
  </r>
  <r>
    <n v="37"/>
    <x v="0"/>
    <x v="1"/>
    <s v="Travel_Rarely"/>
    <n v="342"/>
    <x v="1"/>
    <n v="16"/>
    <s v="Master"/>
    <x v="3"/>
    <s v="Very High"/>
    <x v="0"/>
    <n v="66"/>
    <s v="Medium"/>
    <x v="0"/>
    <s v="Sales Executive"/>
    <s v="High"/>
    <s v="Divorced"/>
    <n v="6334"/>
    <n v="24558"/>
    <n v="4"/>
    <s v="No"/>
    <n v="19"/>
    <s v="Excellent"/>
    <s v="Very High"/>
    <n v="2"/>
    <n v="9"/>
    <n v="2"/>
    <s v="Better"/>
    <x v="6"/>
    <s v="0-5"/>
    <n v="0"/>
    <n v="0"/>
    <n v="0"/>
    <n v="629"/>
  </r>
  <r>
    <n v="28"/>
    <x v="2"/>
    <x v="1"/>
    <s v="Travel_Rarely"/>
    <n v="1169"/>
    <x v="2"/>
    <n v="8"/>
    <s v="College"/>
    <x v="2"/>
    <s v="Medium"/>
    <x v="0"/>
    <n v="63"/>
    <s v="Medium"/>
    <x v="1"/>
    <s v="Human Resources"/>
    <s v="Very High"/>
    <s v="Divorced"/>
    <n v="4936"/>
    <n v="23965"/>
    <n v="1"/>
    <s v="No"/>
    <n v="13"/>
    <s v="Excellent"/>
    <s v="Very High"/>
    <n v="1"/>
    <n v="6"/>
    <n v="6"/>
    <s v="Better"/>
    <x v="8"/>
    <s v="0-5"/>
    <n v="1"/>
    <n v="0"/>
    <n v="4"/>
    <n v="630"/>
  </r>
  <r>
    <n v="22"/>
    <x v="4"/>
    <x v="1"/>
    <s v="Travel_Rarely"/>
    <n v="1230"/>
    <x v="0"/>
    <n v="1"/>
    <s v="College"/>
    <x v="0"/>
    <s v="Very High"/>
    <x v="0"/>
    <n v="33"/>
    <s v="Medium"/>
    <x v="0"/>
    <s v="Manufacturing Director"/>
    <s v="Very High"/>
    <s v="Married"/>
    <n v="4775"/>
    <n v="19146"/>
    <n v="6"/>
    <s v="No"/>
    <n v="22"/>
    <s v="Outstanding"/>
    <s v="Low"/>
    <n v="2"/>
    <n v="4"/>
    <n v="2"/>
    <s v="Bad"/>
    <x v="4"/>
    <s v="0-5"/>
    <n v="2"/>
    <n v="2"/>
    <n v="2"/>
    <n v="631"/>
  </r>
  <r>
    <n v="44"/>
    <x v="0"/>
    <x v="1"/>
    <s v="Travel_Rarely"/>
    <n v="986"/>
    <x v="0"/>
    <n v="8"/>
    <s v="Master"/>
    <x v="0"/>
    <s v="Low"/>
    <x v="0"/>
    <n v="62"/>
    <s v="Very High"/>
    <x v="1"/>
    <s v="Laboratory Technician"/>
    <s v="Very High"/>
    <s v="Married"/>
    <n v="2818"/>
    <n v="5044"/>
    <n v="2"/>
    <s v="Yes"/>
    <n v="24"/>
    <s v="Outstanding"/>
    <s v="High"/>
    <n v="1"/>
    <n v="10"/>
    <n v="2"/>
    <s v="Good"/>
    <x v="11"/>
    <s v="0-5"/>
    <n v="2"/>
    <n v="0"/>
    <n v="2"/>
    <n v="632"/>
  </r>
  <r>
    <n v="42"/>
    <x v="0"/>
    <x v="1"/>
    <s v="Travel_Frequently"/>
    <n v="1271"/>
    <x v="0"/>
    <n v="2"/>
    <s v="Below College"/>
    <x v="2"/>
    <s v="Medium"/>
    <x v="0"/>
    <n v="35"/>
    <s v="High"/>
    <x v="1"/>
    <s v="Research Scientist"/>
    <s v="Very High"/>
    <s v="Single"/>
    <n v="2515"/>
    <n v="9068"/>
    <n v="5"/>
    <s v="Yes"/>
    <n v="14"/>
    <s v="Excellent"/>
    <s v="Very High"/>
    <n v="0"/>
    <n v="8"/>
    <n v="2"/>
    <s v="Better"/>
    <x v="4"/>
    <s v="0-5"/>
    <n v="1"/>
    <n v="2"/>
    <n v="2"/>
    <n v="633"/>
  </r>
  <r>
    <n v="36"/>
    <x v="0"/>
    <x v="1"/>
    <s v="Travel_Rarely"/>
    <n v="1278"/>
    <x v="2"/>
    <n v="8"/>
    <s v="Bachelor"/>
    <x v="0"/>
    <s v="Low"/>
    <x v="0"/>
    <n v="77"/>
    <s v="Medium"/>
    <x v="1"/>
    <s v="Human Resources"/>
    <s v="Low"/>
    <s v="Married"/>
    <n v="2342"/>
    <n v="8635"/>
    <n v="0"/>
    <s v="No"/>
    <n v="21"/>
    <s v="Outstanding"/>
    <s v="High"/>
    <n v="0"/>
    <n v="6"/>
    <n v="3"/>
    <s v="Better"/>
    <x v="8"/>
    <s v="0-5"/>
    <n v="4"/>
    <n v="0"/>
    <n v="3"/>
    <n v="634"/>
  </r>
  <r>
    <n v="25"/>
    <x v="4"/>
    <x v="1"/>
    <s v="Travel_Rarely"/>
    <n v="141"/>
    <x v="1"/>
    <n v="3"/>
    <s v="Below College"/>
    <x v="1"/>
    <s v="High"/>
    <x v="0"/>
    <n v="98"/>
    <s v="High"/>
    <x v="0"/>
    <s v="Sales Executive"/>
    <s v="Low"/>
    <s v="Married"/>
    <n v="4194"/>
    <n v="14363"/>
    <n v="1"/>
    <s v="Yes"/>
    <n v="18"/>
    <s v="Excellent"/>
    <s v="Very High"/>
    <n v="0"/>
    <n v="5"/>
    <n v="3"/>
    <s v="Better"/>
    <x v="8"/>
    <s v="0-5"/>
    <n v="3"/>
    <n v="0"/>
    <n v="3"/>
    <n v="635"/>
  </r>
  <r>
    <n v="35"/>
    <x v="2"/>
    <x v="1"/>
    <s v="Travel_Rarely"/>
    <n v="607"/>
    <x v="0"/>
    <n v="9"/>
    <s v="Bachelor"/>
    <x v="0"/>
    <s v="Very High"/>
    <x v="1"/>
    <n v="66"/>
    <s v="Medium"/>
    <x v="2"/>
    <s v="Manufacturing Director"/>
    <s v="High"/>
    <s v="Married"/>
    <n v="10685"/>
    <n v="23457"/>
    <n v="1"/>
    <s v="Yes"/>
    <n v="20"/>
    <s v="Outstanding"/>
    <s v="Medium"/>
    <n v="1"/>
    <n v="17"/>
    <n v="2"/>
    <s v="Better"/>
    <x v="18"/>
    <s v="10-40"/>
    <n v="14"/>
    <n v="5"/>
    <n v="15"/>
    <n v="636"/>
  </r>
  <r>
    <n v="35"/>
    <x v="2"/>
    <x v="0"/>
    <s v="Travel_Frequently"/>
    <n v="130"/>
    <x v="0"/>
    <n v="25"/>
    <s v="Master"/>
    <x v="0"/>
    <s v="Very High"/>
    <x v="1"/>
    <n v="96"/>
    <s v="High"/>
    <x v="1"/>
    <s v="Research Scientist"/>
    <s v="Medium"/>
    <s v="Divorced"/>
    <n v="2022"/>
    <n v="16612"/>
    <n v="1"/>
    <s v="Yes"/>
    <n v="19"/>
    <s v="Excellent"/>
    <s v="Low"/>
    <n v="1"/>
    <n v="10"/>
    <n v="3"/>
    <s v="Good"/>
    <x v="1"/>
    <s v="5-10"/>
    <n v="2"/>
    <n v="7"/>
    <n v="8"/>
    <n v="637"/>
  </r>
  <r>
    <n v="32"/>
    <x v="2"/>
    <x v="1"/>
    <s v="Non-Travel"/>
    <n v="300"/>
    <x v="0"/>
    <n v="1"/>
    <s v="Bachelor"/>
    <x v="0"/>
    <s v="Very High"/>
    <x v="0"/>
    <n v="61"/>
    <s v="High"/>
    <x v="1"/>
    <s v="Laboratory Technician"/>
    <s v="Very High"/>
    <s v="Divorced"/>
    <n v="2314"/>
    <n v="9148"/>
    <n v="0"/>
    <s v="No"/>
    <n v="12"/>
    <s v="Excellent"/>
    <s v="Medium"/>
    <n v="1"/>
    <n v="4"/>
    <n v="2"/>
    <s v="Better"/>
    <x v="11"/>
    <s v="0-5"/>
    <n v="0"/>
    <n v="0"/>
    <n v="2"/>
    <n v="638"/>
  </r>
  <r>
    <n v="25"/>
    <x v="4"/>
    <x v="1"/>
    <s v="Travel_Rarely"/>
    <n v="583"/>
    <x v="1"/>
    <n v="4"/>
    <s v="Below College"/>
    <x v="3"/>
    <s v="High"/>
    <x v="0"/>
    <n v="87"/>
    <s v="Medium"/>
    <x v="0"/>
    <s v="Sales Executive"/>
    <s v="Low"/>
    <s v="Married"/>
    <n v="4256"/>
    <n v="18154"/>
    <n v="1"/>
    <s v="No"/>
    <n v="12"/>
    <s v="Excellent"/>
    <s v="Low"/>
    <n v="0"/>
    <n v="5"/>
    <n v="1"/>
    <s v="Best"/>
    <x v="8"/>
    <s v="0-5"/>
    <n v="2"/>
    <n v="0"/>
    <n v="3"/>
    <n v="639"/>
  </r>
  <r>
    <n v="49"/>
    <x v="1"/>
    <x v="1"/>
    <s v="Travel_Rarely"/>
    <n v="1418"/>
    <x v="0"/>
    <n v="1"/>
    <s v="Bachelor"/>
    <x v="4"/>
    <s v="High"/>
    <x v="1"/>
    <n v="36"/>
    <s v="High"/>
    <x v="1"/>
    <s v="Research Scientist"/>
    <s v="Low"/>
    <s v="Married"/>
    <n v="3580"/>
    <n v="10554"/>
    <n v="2"/>
    <s v="No"/>
    <n v="16"/>
    <s v="Excellent"/>
    <s v="Medium"/>
    <n v="1"/>
    <n v="7"/>
    <n v="2"/>
    <s v="Better"/>
    <x v="9"/>
    <s v="0-5"/>
    <n v="2"/>
    <n v="0"/>
    <n v="2"/>
    <n v="640"/>
  </r>
  <r>
    <n v="24"/>
    <x v="4"/>
    <x v="1"/>
    <s v="Non-Travel"/>
    <n v="1269"/>
    <x v="0"/>
    <n v="4"/>
    <s v="Below College"/>
    <x v="0"/>
    <s v="Low"/>
    <x v="0"/>
    <n v="46"/>
    <s v="Medium"/>
    <x v="1"/>
    <s v="Laboratory Technician"/>
    <s v="Very High"/>
    <s v="Married"/>
    <n v="3162"/>
    <n v="10778"/>
    <n v="0"/>
    <s v="No"/>
    <n v="17"/>
    <s v="Excellent"/>
    <s v="Very High"/>
    <n v="0"/>
    <n v="6"/>
    <n v="2"/>
    <s v="Good"/>
    <x v="8"/>
    <s v="0-5"/>
    <n v="2"/>
    <n v="3"/>
    <n v="4"/>
    <n v="641"/>
  </r>
  <r>
    <n v="32"/>
    <x v="2"/>
    <x v="1"/>
    <s v="Travel_Frequently"/>
    <n v="379"/>
    <x v="1"/>
    <n v="5"/>
    <s v="College"/>
    <x v="0"/>
    <s v="Medium"/>
    <x v="0"/>
    <n v="48"/>
    <s v="High"/>
    <x v="0"/>
    <s v="Sales Executive"/>
    <s v="Medium"/>
    <s v="Married"/>
    <n v="6524"/>
    <n v="8891"/>
    <n v="1"/>
    <s v="No"/>
    <n v="14"/>
    <s v="Excellent"/>
    <s v="Very High"/>
    <n v="1"/>
    <n v="10"/>
    <n v="3"/>
    <s v="Better"/>
    <x v="1"/>
    <s v="5-10"/>
    <n v="8"/>
    <n v="5"/>
    <n v="3"/>
    <n v="642"/>
  </r>
  <r>
    <n v="38"/>
    <x v="0"/>
    <x v="1"/>
    <s v="Travel_Rarely"/>
    <n v="395"/>
    <x v="1"/>
    <n v="9"/>
    <s v="Bachelor"/>
    <x v="3"/>
    <s v="Medium"/>
    <x v="0"/>
    <n v="98"/>
    <s v="Medium"/>
    <x v="1"/>
    <s v="Sales Representative"/>
    <s v="Medium"/>
    <s v="Married"/>
    <n v="2899"/>
    <n v="12102"/>
    <n v="0"/>
    <s v="No"/>
    <n v="19"/>
    <s v="Excellent"/>
    <s v="Very High"/>
    <n v="1"/>
    <n v="3"/>
    <n v="3"/>
    <s v="Better"/>
    <x v="4"/>
    <s v="0-5"/>
    <n v="2"/>
    <n v="1"/>
    <n v="2"/>
    <n v="643"/>
  </r>
  <r>
    <n v="42"/>
    <x v="0"/>
    <x v="1"/>
    <s v="Travel_Rarely"/>
    <n v="1265"/>
    <x v="0"/>
    <n v="3"/>
    <s v="Bachelor"/>
    <x v="0"/>
    <s v="High"/>
    <x v="1"/>
    <n v="95"/>
    <s v="Very High"/>
    <x v="0"/>
    <s v="Laboratory Technician"/>
    <s v="Very High"/>
    <s v="Married"/>
    <n v="5231"/>
    <n v="23726"/>
    <n v="2"/>
    <s v="Yes"/>
    <n v="13"/>
    <s v="Excellent"/>
    <s v="Medium"/>
    <n v="1"/>
    <n v="17"/>
    <n v="1"/>
    <s v="Good"/>
    <x v="8"/>
    <s v="0-5"/>
    <n v="3"/>
    <n v="1"/>
    <n v="3"/>
    <n v="644"/>
  </r>
  <r>
    <n v="31"/>
    <x v="2"/>
    <x v="1"/>
    <s v="Travel_Rarely"/>
    <n v="1222"/>
    <x v="0"/>
    <n v="11"/>
    <s v="Master"/>
    <x v="0"/>
    <s v="Very High"/>
    <x v="0"/>
    <n v="48"/>
    <s v="High"/>
    <x v="1"/>
    <s v="Research Scientist"/>
    <s v="Very High"/>
    <s v="Married"/>
    <n v="2356"/>
    <n v="14871"/>
    <n v="3"/>
    <s v="Yes"/>
    <n v="19"/>
    <s v="Excellent"/>
    <s v="Medium"/>
    <n v="1"/>
    <n v="8"/>
    <n v="2"/>
    <s v="Better"/>
    <x v="0"/>
    <s v="5-10"/>
    <n v="4"/>
    <n v="0"/>
    <n v="2"/>
    <n v="645"/>
  </r>
  <r>
    <n v="29"/>
    <x v="2"/>
    <x v="0"/>
    <s v="Travel_Rarely"/>
    <n v="341"/>
    <x v="1"/>
    <n v="1"/>
    <s v="Bachelor"/>
    <x v="2"/>
    <s v="Medium"/>
    <x v="1"/>
    <n v="48"/>
    <s v="Medium"/>
    <x v="1"/>
    <s v="Sales Representative"/>
    <s v="High"/>
    <s v="Divorced"/>
    <n v="2800"/>
    <n v="23522"/>
    <n v="6"/>
    <s v="Yes"/>
    <n v="19"/>
    <s v="Excellent"/>
    <s v="High"/>
    <n v="3"/>
    <n v="5"/>
    <n v="3"/>
    <s v="Better"/>
    <x v="11"/>
    <s v="0-5"/>
    <n v="2"/>
    <n v="0"/>
    <n v="2"/>
    <n v="646"/>
  </r>
  <r>
    <n v="53"/>
    <x v="1"/>
    <x v="1"/>
    <s v="Travel_Rarely"/>
    <n v="868"/>
    <x v="1"/>
    <n v="8"/>
    <s v="Bachelor"/>
    <x v="3"/>
    <s v="Low"/>
    <x v="0"/>
    <n v="73"/>
    <s v="High"/>
    <x v="3"/>
    <s v="Sales Executive"/>
    <s v="Very High"/>
    <s v="Married"/>
    <n v="11836"/>
    <n v="22789"/>
    <n v="5"/>
    <s v="No"/>
    <n v="14"/>
    <s v="Excellent"/>
    <s v="High"/>
    <n v="1"/>
    <n v="28"/>
    <n v="3"/>
    <s v="Better"/>
    <x v="4"/>
    <s v="0-5"/>
    <n v="0"/>
    <n v="2"/>
    <n v="2"/>
    <n v="647"/>
  </r>
  <r>
    <n v="35"/>
    <x v="2"/>
    <x v="1"/>
    <s v="Travel_Rarely"/>
    <n v="672"/>
    <x v="0"/>
    <n v="25"/>
    <s v="Bachelor"/>
    <x v="4"/>
    <s v="Very High"/>
    <x v="0"/>
    <n v="78"/>
    <s v="Medium"/>
    <x v="2"/>
    <s v="Manufacturing Director"/>
    <s v="Medium"/>
    <s v="Married"/>
    <n v="10903"/>
    <n v="9129"/>
    <n v="3"/>
    <s v="No"/>
    <n v="16"/>
    <s v="Excellent"/>
    <s v="Low"/>
    <n v="0"/>
    <n v="16"/>
    <n v="2"/>
    <s v="Better"/>
    <x v="20"/>
    <s v="10-40"/>
    <n v="10"/>
    <n v="4"/>
    <n v="8"/>
    <n v="648"/>
  </r>
  <r>
    <n v="37"/>
    <x v="0"/>
    <x v="1"/>
    <s v="Travel_Frequently"/>
    <n v="1231"/>
    <x v="1"/>
    <n v="21"/>
    <s v="College"/>
    <x v="2"/>
    <s v="High"/>
    <x v="1"/>
    <n v="54"/>
    <s v="High"/>
    <x v="1"/>
    <s v="Sales Representative"/>
    <s v="Very High"/>
    <s v="Married"/>
    <n v="2973"/>
    <n v="21222"/>
    <n v="5"/>
    <s v="No"/>
    <n v="15"/>
    <s v="Excellent"/>
    <s v="Medium"/>
    <n v="1"/>
    <n v="10"/>
    <n v="3"/>
    <s v="Better"/>
    <x v="8"/>
    <s v="0-5"/>
    <n v="4"/>
    <n v="0"/>
    <n v="0"/>
    <n v="649"/>
  </r>
  <r>
    <n v="53"/>
    <x v="1"/>
    <x v="1"/>
    <s v="Travel_Rarely"/>
    <n v="102"/>
    <x v="0"/>
    <n v="23"/>
    <s v="Master"/>
    <x v="0"/>
    <s v="Very High"/>
    <x v="1"/>
    <n v="72"/>
    <s v="High"/>
    <x v="3"/>
    <s v="Research Director"/>
    <s v="Very High"/>
    <s v="Single"/>
    <n v="14275"/>
    <n v="20206"/>
    <n v="6"/>
    <s v="No"/>
    <n v="18"/>
    <s v="Excellent"/>
    <s v="High"/>
    <n v="0"/>
    <n v="33"/>
    <n v="0"/>
    <s v="Better"/>
    <x v="12"/>
    <s v="10-40"/>
    <n v="9"/>
    <n v="3"/>
    <n v="8"/>
    <n v="650"/>
  </r>
  <r>
    <n v="43"/>
    <x v="0"/>
    <x v="1"/>
    <s v="Travel_Frequently"/>
    <n v="422"/>
    <x v="0"/>
    <n v="1"/>
    <s v="Bachelor"/>
    <x v="0"/>
    <s v="Very High"/>
    <x v="1"/>
    <n v="33"/>
    <s v="High"/>
    <x v="0"/>
    <s v="Healthcare Representative"/>
    <s v="Very High"/>
    <s v="Married"/>
    <n v="5562"/>
    <n v="21782"/>
    <n v="4"/>
    <s v="No"/>
    <n v="13"/>
    <s v="Excellent"/>
    <s v="Medium"/>
    <n v="1"/>
    <n v="12"/>
    <n v="2"/>
    <s v="Good"/>
    <x v="8"/>
    <s v="0-5"/>
    <n v="2"/>
    <n v="2"/>
    <n v="2"/>
    <n v="651"/>
  </r>
  <r>
    <n v="47"/>
    <x v="1"/>
    <x v="1"/>
    <s v="Travel_Rarely"/>
    <n v="249"/>
    <x v="1"/>
    <n v="2"/>
    <s v="College"/>
    <x v="3"/>
    <s v="High"/>
    <x v="1"/>
    <n v="35"/>
    <s v="High"/>
    <x v="0"/>
    <s v="Sales Executive"/>
    <s v="Very High"/>
    <s v="Married"/>
    <n v="4537"/>
    <n v="17783"/>
    <n v="0"/>
    <s v="Yes"/>
    <n v="22"/>
    <s v="Outstanding"/>
    <s v="Low"/>
    <n v="1"/>
    <n v="8"/>
    <n v="2"/>
    <s v="Better"/>
    <x v="5"/>
    <s v="5-10"/>
    <n v="6"/>
    <n v="7"/>
    <n v="7"/>
    <n v="652"/>
  </r>
  <r>
    <n v="37"/>
    <x v="0"/>
    <x v="1"/>
    <s v="Non-Travel"/>
    <n v="1252"/>
    <x v="1"/>
    <n v="19"/>
    <s v="College"/>
    <x v="2"/>
    <s v="Low"/>
    <x v="0"/>
    <n v="32"/>
    <s v="High"/>
    <x v="2"/>
    <s v="Sales Executive"/>
    <s v="Medium"/>
    <s v="Single"/>
    <n v="7642"/>
    <n v="4814"/>
    <n v="1"/>
    <s v="Yes"/>
    <n v="13"/>
    <s v="Excellent"/>
    <s v="Very High"/>
    <n v="0"/>
    <n v="10"/>
    <n v="2"/>
    <s v="Better"/>
    <x v="1"/>
    <s v="5-10"/>
    <n v="0"/>
    <n v="0"/>
    <n v="9"/>
    <n v="653"/>
  </r>
  <r>
    <n v="50"/>
    <x v="1"/>
    <x v="1"/>
    <s v="Non-Travel"/>
    <n v="881"/>
    <x v="0"/>
    <n v="2"/>
    <s v="Master"/>
    <x v="0"/>
    <s v="Low"/>
    <x v="0"/>
    <n v="98"/>
    <s v="High"/>
    <x v="3"/>
    <s v="Manager"/>
    <s v="Low"/>
    <s v="Divorced"/>
    <n v="17924"/>
    <n v="4544"/>
    <n v="1"/>
    <s v="No"/>
    <n v="11"/>
    <s v="Excellent"/>
    <s v="Very High"/>
    <n v="1"/>
    <n v="31"/>
    <n v="3"/>
    <s v="Better"/>
    <x v="31"/>
    <s v="10-40"/>
    <n v="6"/>
    <n v="14"/>
    <n v="7"/>
    <n v="654"/>
  </r>
  <r>
    <n v="39"/>
    <x v="0"/>
    <x v="1"/>
    <s v="Travel_Rarely"/>
    <n v="1383"/>
    <x v="2"/>
    <n v="2"/>
    <s v="Bachelor"/>
    <x v="0"/>
    <s v="Very High"/>
    <x v="1"/>
    <n v="42"/>
    <s v="Medium"/>
    <x v="0"/>
    <s v="Human Resources"/>
    <s v="Very High"/>
    <s v="Married"/>
    <n v="5204"/>
    <n v="7790"/>
    <n v="8"/>
    <s v="No"/>
    <n v="11"/>
    <s v="Excellent"/>
    <s v="High"/>
    <n v="2"/>
    <n v="13"/>
    <n v="2"/>
    <s v="Better"/>
    <x v="8"/>
    <s v="0-5"/>
    <n v="4"/>
    <n v="0"/>
    <n v="4"/>
    <n v="655"/>
  </r>
  <r>
    <n v="33"/>
    <x v="2"/>
    <x v="1"/>
    <s v="Travel_Rarely"/>
    <n v="1075"/>
    <x v="2"/>
    <n v="3"/>
    <s v="College"/>
    <x v="5"/>
    <s v="Very High"/>
    <x v="0"/>
    <n v="57"/>
    <s v="High"/>
    <x v="1"/>
    <s v="Human Resources"/>
    <s v="Medium"/>
    <s v="Divorced"/>
    <n v="2277"/>
    <n v="22650"/>
    <n v="3"/>
    <s v="Yes"/>
    <n v="11"/>
    <s v="Excellent"/>
    <s v="High"/>
    <n v="1"/>
    <n v="7"/>
    <n v="4"/>
    <s v="Best"/>
    <x v="9"/>
    <s v="0-5"/>
    <n v="3"/>
    <n v="0"/>
    <n v="3"/>
    <n v="656"/>
  </r>
  <r>
    <n v="32"/>
    <x v="2"/>
    <x v="0"/>
    <s v="Travel_Rarely"/>
    <n v="374"/>
    <x v="0"/>
    <n v="25"/>
    <s v="Master"/>
    <x v="0"/>
    <s v="Low"/>
    <x v="0"/>
    <n v="87"/>
    <s v="High"/>
    <x v="1"/>
    <s v="Laboratory Technician"/>
    <s v="Very High"/>
    <s v="Single"/>
    <n v="2795"/>
    <n v="18016"/>
    <n v="1"/>
    <s v="Yes"/>
    <n v="24"/>
    <s v="Outstanding"/>
    <s v="High"/>
    <n v="0"/>
    <n v="1"/>
    <n v="2"/>
    <s v="Bad"/>
    <x v="6"/>
    <s v="0-5"/>
    <n v="0"/>
    <n v="0"/>
    <n v="1"/>
    <n v="657"/>
  </r>
  <r>
    <n v="29"/>
    <x v="2"/>
    <x v="1"/>
    <s v="Travel_Rarely"/>
    <n v="1086"/>
    <x v="0"/>
    <n v="7"/>
    <s v="Below College"/>
    <x v="2"/>
    <s v="Low"/>
    <x v="1"/>
    <n v="62"/>
    <s v="Medium"/>
    <x v="1"/>
    <s v="Laboratory Technician"/>
    <s v="Very High"/>
    <s v="Divorced"/>
    <n v="2532"/>
    <n v="6054"/>
    <n v="6"/>
    <s v="No"/>
    <n v="14"/>
    <s v="Excellent"/>
    <s v="High"/>
    <n v="3"/>
    <n v="8"/>
    <n v="5"/>
    <s v="Better"/>
    <x v="9"/>
    <s v="0-5"/>
    <n v="3"/>
    <n v="0"/>
    <n v="3"/>
    <n v="658"/>
  </r>
  <r>
    <n v="44"/>
    <x v="0"/>
    <x v="1"/>
    <s v="Travel_Rarely"/>
    <n v="661"/>
    <x v="0"/>
    <n v="9"/>
    <s v="College"/>
    <x v="0"/>
    <s v="Medium"/>
    <x v="0"/>
    <n v="61"/>
    <s v="High"/>
    <x v="1"/>
    <s v="Research Scientist"/>
    <s v="Low"/>
    <s v="Married"/>
    <n v="2559"/>
    <n v="7508"/>
    <n v="1"/>
    <s v="Yes"/>
    <n v="13"/>
    <s v="Excellent"/>
    <s v="Very High"/>
    <n v="0"/>
    <n v="8"/>
    <n v="0"/>
    <s v="Better"/>
    <x v="3"/>
    <s v="5-10"/>
    <n v="7"/>
    <n v="7"/>
    <n v="1"/>
    <n v="659"/>
  </r>
  <r>
    <n v="28"/>
    <x v="2"/>
    <x v="1"/>
    <s v="Travel_Rarely"/>
    <n v="821"/>
    <x v="1"/>
    <n v="5"/>
    <s v="Master"/>
    <x v="2"/>
    <s v="Low"/>
    <x v="0"/>
    <n v="98"/>
    <s v="High"/>
    <x v="0"/>
    <s v="Sales Executive"/>
    <s v="Very High"/>
    <s v="Single"/>
    <n v="4908"/>
    <n v="24252"/>
    <n v="1"/>
    <s v="No"/>
    <n v="14"/>
    <s v="Excellent"/>
    <s v="Medium"/>
    <n v="0"/>
    <n v="4"/>
    <n v="3"/>
    <s v="Better"/>
    <x v="9"/>
    <s v="0-5"/>
    <n v="2"/>
    <n v="0"/>
    <n v="2"/>
    <n v="660"/>
  </r>
  <r>
    <n v="58"/>
    <x v="3"/>
    <x v="0"/>
    <s v="Travel_Frequently"/>
    <n v="781"/>
    <x v="0"/>
    <n v="2"/>
    <s v="Below College"/>
    <x v="0"/>
    <s v="Very High"/>
    <x v="0"/>
    <n v="57"/>
    <s v="Medium"/>
    <x v="1"/>
    <s v="Laboratory Technician"/>
    <s v="Very High"/>
    <s v="Divorced"/>
    <n v="2380"/>
    <n v="13384"/>
    <n v="9"/>
    <s v="Yes"/>
    <n v="14"/>
    <s v="Excellent"/>
    <s v="Very High"/>
    <n v="1"/>
    <n v="3"/>
    <n v="3"/>
    <s v="Good"/>
    <x v="6"/>
    <s v="0-5"/>
    <n v="0"/>
    <n v="0"/>
    <n v="0"/>
    <n v="661"/>
  </r>
  <r>
    <n v="43"/>
    <x v="0"/>
    <x v="1"/>
    <s v="Travel_Rarely"/>
    <n v="177"/>
    <x v="0"/>
    <n v="8"/>
    <s v="Bachelor"/>
    <x v="0"/>
    <s v="Low"/>
    <x v="1"/>
    <n v="55"/>
    <s v="High"/>
    <x v="0"/>
    <s v="Manufacturing Director"/>
    <s v="Medium"/>
    <s v="Divorced"/>
    <n v="4765"/>
    <n v="23814"/>
    <n v="4"/>
    <s v="No"/>
    <n v="21"/>
    <s v="Outstanding"/>
    <s v="High"/>
    <n v="1"/>
    <n v="4"/>
    <n v="2"/>
    <s v="Best"/>
    <x v="6"/>
    <s v="0-5"/>
    <n v="0"/>
    <n v="0"/>
    <n v="0"/>
    <n v="662"/>
  </r>
  <r>
    <n v="20"/>
    <x v="4"/>
    <x v="0"/>
    <s v="Travel_Rarely"/>
    <n v="500"/>
    <x v="1"/>
    <n v="2"/>
    <s v="Bachelor"/>
    <x v="2"/>
    <s v="High"/>
    <x v="1"/>
    <n v="49"/>
    <s v="Medium"/>
    <x v="1"/>
    <s v="Sales Representative"/>
    <s v="High"/>
    <s v="Single"/>
    <n v="2044"/>
    <n v="22052"/>
    <n v="1"/>
    <s v="No"/>
    <n v="13"/>
    <s v="Excellent"/>
    <s v="Very High"/>
    <n v="0"/>
    <n v="2"/>
    <n v="3"/>
    <s v="Good"/>
    <x v="4"/>
    <s v="0-5"/>
    <n v="2"/>
    <n v="0"/>
    <n v="2"/>
    <n v="663"/>
  </r>
  <r>
    <n v="21"/>
    <x v="4"/>
    <x v="0"/>
    <s v="Travel_Rarely"/>
    <n v="1427"/>
    <x v="0"/>
    <n v="18"/>
    <s v="Below College"/>
    <x v="1"/>
    <s v="Very High"/>
    <x v="1"/>
    <n v="65"/>
    <s v="High"/>
    <x v="1"/>
    <s v="Research Scientist"/>
    <s v="Very High"/>
    <s v="Single"/>
    <n v="2693"/>
    <n v="8870"/>
    <n v="1"/>
    <s v="No"/>
    <n v="19"/>
    <s v="Excellent"/>
    <s v="Low"/>
    <n v="0"/>
    <n v="1"/>
    <n v="3"/>
    <s v="Good"/>
    <x v="6"/>
    <s v="0-5"/>
    <n v="0"/>
    <n v="0"/>
    <n v="0"/>
    <n v="664"/>
  </r>
  <r>
    <n v="36"/>
    <x v="0"/>
    <x v="1"/>
    <s v="Travel_Rarely"/>
    <n v="1425"/>
    <x v="0"/>
    <n v="14"/>
    <s v="Below College"/>
    <x v="0"/>
    <s v="High"/>
    <x v="0"/>
    <n v="68"/>
    <s v="High"/>
    <x v="0"/>
    <s v="Healthcare Representative"/>
    <s v="Very High"/>
    <s v="Married"/>
    <n v="6586"/>
    <n v="4821"/>
    <n v="0"/>
    <s v="Yes"/>
    <n v="17"/>
    <s v="Excellent"/>
    <s v="Low"/>
    <n v="1"/>
    <n v="17"/>
    <n v="2"/>
    <s v="Good"/>
    <x v="22"/>
    <s v="10-40"/>
    <n v="8"/>
    <n v="4"/>
    <n v="11"/>
    <n v="665"/>
  </r>
  <r>
    <n v="47"/>
    <x v="1"/>
    <x v="1"/>
    <s v="Travel_Rarely"/>
    <n v="1454"/>
    <x v="1"/>
    <n v="2"/>
    <s v="Master"/>
    <x v="0"/>
    <s v="Very High"/>
    <x v="1"/>
    <n v="65"/>
    <s v="Medium"/>
    <x v="1"/>
    <s v="Sales Representative"/>
    <s v="Very High"/>
    <s v="Single"/>
    <n v="3294"/>
    <n v="13137"/>
    <n v="1"/>
    <s v="Yes"/>
    <n v="18"/>
    <s v="Excellent"/>
    <s v="Low"/>
    <n v="0"/>
    <n v="3"/>
    <n v="3"/>
    <s v="Good"/>
    <x v="11"/>
    <s v="0-5"/>
    <n v="2"/>
    <n v="1"/>
    <n v="2"/>
    <n v="666"/>
  </r>
  <r>
    <n v="22"/>
    <x v="4"/>
    <x v="0"/>
    <s v="Travel_Rarely"/>
    <n v="617"/>
    <x v="0"/>
    <n v="3"/>
    <s v="Below College"/>
    <x v="0"/>
    <s v="Medium"/>
    <x v="1"/>
    <n v="34"/>
    <s v="High"/>
    <x v="0"/>
    <s v="Manufacturing Director"/>
    <s v="High"/>
    <s v="Married"/>
    <n v="4171"/>
    <n v="10022"/>
    <n v="0"/>
    <s v="Yes"/>
    <n v="19"/>
    <s v="Excellent"/>
    <s v="Low"/>
    <n v="1"/>
    <n v="4"/>
    <n v="3"/>
    <s v="Best"/>
    <x v="11"/>
    <s v="0-5"/>
    <n v="2"/>
    <n v="0"/>
    <n v="2"/>
    <n v="667"/>
  </r>
  <r>
    <n v="41"/>
    <x v="0"/>
    <x v="0"/>
    <s v="Travel_Rarely"/>
    <n v="1085"/>
    <x v="0"/>
    <n v="2"/>
    <s v="Master"/>
    <x v="0"/>
    <s v="Medium"/>
    <x v="1"/>
    <n v="57"/>
    <s v="Low"/>
    <x v="1"/>
    <s v="Laboratory Technician"/>
    <s v="Very High"/>
    <s v="Divorced"/>
    <n v="2778"/>
    <n v="17725"/>
    <n v="4"/>
    <s v="Yes"/>
    <n v="13"/>
    <s v="Excellent"/>
    <s v="High"/>
    <n v="1"/>
    <n v="10"/>
    <n v="1"/>
    <s v="Good"/>
    <x v="5"/>
    <s v="5-10"/>
    <n v="7"/>
    <n v="1"/>
    <n v="0"/>
    <n v="668"/>
  </r>
  <r>
    <n v="28"/>
    <x v="2"/>
    <x v="1"/>
    <s v="Travel_Rarely"/>
    <n v="995"/>
    <x v="0"/>
    <n v="9"/>
    <s v="Bachelor"/>
    <x v="2"/>
    <s v="High"/>
    <x v="1"/>
    <n v="77"/>
    <s v="High"/>
    <x v="1"/>
    <s v="Research Scientist"/>
    <s v="High"/>
    <s v="Divorced"/>
    <n v="2377"/>
    <n v="9834"/>
    <n v="5"/>
    <s v="No"/>
    <n v="18"/>
    <s v="Excellent"/>
    <s v="Medium"/>
    <n v="1"/>
    <n v="6"/>
    <n v="2"/>
    <s v="Better"/>
    <x v="4"/>
    <s v="0-5"/>
    <n v="2"/>
    <n v="2"/>
    <n v="2"/>
    <n v="669"/>
  </r>
  <r>
    <n v="39"/>
    <x v="0"/>
    <x v="0"/>
    <s v="Travel_Rarely"/>
    <n v="1122"/>
    <x v="0"/>
    <n v="6"/>
    <s v="Bachelor"/>
    <x v="2"/>
    <s v="Very High"/>
    <x v="0"/>
    <n v="70"/>
    <s v="High"/>
    <x v="1"/>
    <s v="Laboratory Technician"/>
    <s v="Low"/>
    <s v="Married"/>
    <n v="2404"/>
    <n v="4303"/>
    <n v="7"/>
    <s v="Yes"/>
    <n v="21"/>
    <s v="Outstanding"/>
    <s v="Very High"/>
    <n v="0"/>
    <n v="8"/>
    <n v="2"/>
    <s v="Bad"/>
    <x v="4"/>
    <s v="0-5"/>
    <n v="2"/>
    <n v="2"/>
    <n v="2"/>
    <n v="670"/>
  </r>
  <r>
    <n v="27"/>
    <x v="2"/>
    <x v="1"/>
    <s v="Travel_Rarely"/>
    <n v="618"/>
    <x v="0"/>
    <n v="4"/>
    <s v="Bachelor"/>
    <x v="0"/>
    <s v="Medium"/>
    <x v="1"/>
    <n v="76"/>
    <s v="High"/>
    <x v="1"/>
    <s v="Research Scientist"/>
    <s v="High"/>
    <s v="Single"/>
    <n v="2318"/>
    <n v="17808"/>
    <n v="1"/>
    <s v="No"/>
    <n v="19"/>
    <s v="Excellent"/>
    <s v="High"/>
    <n v="0"/>
    <n v="1"/>
    <n v="2"/>
    <s v="Better"/>
    <x v="6"/>
    <s v="0-5"/>
    <n v="1"/>
    <n v="0"/>
    <n v="0"/>
    <n v="671"/>
  </r>
  <r>
    <n v="34"/>
    <x v="2"/>
    <x v="1"/>
    <s v="Travel_Rarely"/>
    <n v="546"/>
    <x v="0"/>
    <n v="10"/>
    <s v="Bachelor"/>
    <x v="0"/>
    <s v="Medium"/>
    <x v="0"/>
    <n v="83"/>
    <s v="High"/>
    <x v="1"/>
    <s v="Laboratory Technician"/>
    <s v="Medium"/>
    <s v="Divorced"/>
    <n v="2008"/>
    <n v="6896"/>
    <n v="1"/>
    <s v="No"/>
    <n v="14"/>
    <s v="Excellent"/>
    <s v="Medium"/>
    <n v="2"/>
    <n v="1"/>
    <n v="3"/>
    <s v="Better"/>
    <x v="6"/>
    <s v="0-5"/>
    <n v="0"/>
    <n v="1"/>
    <n v="0"/>
    <n v="672"/>
  </r>
  <r>
    <n v="42"/>
    <x v="0"/>
    <x v="1"/>
    <s v="Travel_Rarely"/>
    <n v="462"/>
    <x v="1"/>
    <n v="14"/>
    <s v="College"/>
    <x v="2"/>
    <s v="High"/>
    <x v="1"/>
    <n v="68"/>
    <s v="Medium"/>
    <x v="0"/>
    <s v="Sales Executive"/>
    <s v="High"/>
    <s v="Single"/>
    <n v="6244"/>
    <n v="7824"/>
    <n v="7"/>
    <s v="No"/>
    <n v="17"/>
    <s v="Excellent"/>
    <s v="Low"/>
    <n v="0"/>
    <n v="10"/>
    <n v="6"/>
    <s v="Better"/>
    <x v="8"/>
    <s v="0-5"/>
    <n v="4"/>
    <n v="0"/>
    <n v="3"/>
    <n v="673"/>
  </r>
  <r>
    <n v="33"/>
    <x v="2"/>
    <x v="1"/>
    <s v="Travel_Rarely"/>
    <n v="1198"/>
    <x v="0"/>
    <n v="1"/>
    <s v="Master"/>
    <x v="1"/>
    <s v="High"/>
    <x v="0"/>
    <n v="100"/>
    <s v="Medium"/>
    <x v="1"/>
    <s v="Research Scientist"/>
    <s v="Low"/>
    <s v="Single"/>
    <n v="2799"/>
    <n v="3339"/>
    <n v="3"/>
    <s v="Yes"/>
    <n v="11"/>
    <s v="Excellent"/>
    <s v="Medium"/>
    <n v="0"/>
    <n v="6"/>
    <n v="1"/>
    <s v="Better"/>
    <x v="11"/>
    <s v="0-5"/>
    <n v="2"/>
    <n v="0"/>
    <n v="2"/>
    <n v="674"/>
  </r>
  <r>
    <n v="58"/>
    <x v="3"/>
    <x v="1"/>
    <s v="Travel_Rarely"/>
    <n v="1272"/>
    <x v="0"/>
    <n v="5"/>
    <s v="Bachelor"/>
    <x v="4"/>
    <s v="High"/>
    <x v="1"/>
    <n v="37"/>
    <s v="Medium"/>
    <x v="2"/>
    <s v="Healthcare Representative"/>
    <s v="Medium"/>
    <s v="Divorced"/>
    <n v="10552"/>
    <n v="9255"/>
    <n v="2"/>
    <s v="Yes"/>
    <n v="13"/>
    <s v="Excellent"/>
    <s v="Very High"/>
    <n v="1"/>
    <n v="24"/>
    <n v="3"/>
    <s v="Better"/>
    <x v="0"/>
    <s v="5-10"/>
    <n v="0"/>
    <n v="0"/>
    <n v="4"/>
    <n v="675"/>
  </r>
  <r>
    <n v="31"/>
    <x v="2"/>
    <x v="1"/>
    <s v="Travel_Rarely"/>
    <n v="154"/>
    <x v="1"/>
    <n v="7"/>
    <s v="Master"/>
    <x v="0"/>
    <s v="Medium"/>
    <x v="0"/>
    <n v="41"/>
    <s v="Medium"/>
    <x v="1"/>
    <s v="Sales Representative"/>
    <s v="High"/>
    <s v="Married"/>
    <n v="2329"/>
    <n v="11737"/>
    <n v="3"/>
    <s v="No"/>
    <n v="15"/>
    <s v="Excellent"/>
    <s v="Medium"/>
    <n v="0"/>
    <n v="13"/>
    <n v="2"/>
    <s v="Best"/>
    <x v="5"/>
    <s v="5-10"/>
    <n v="7"/>
    <n v="5"/>
    <n v="2"/>
    <n v="676"/>
  </r>
  <r>
    <n v="35"/>
    <x v="2"/>
    <x v="1"/>
    <s v="Travel_Rarely"/>
    <n v="1137"/>
    <x v="0"/>
    <n v="21"/>
    <s v="Below College"/>
    <x v="0"/>
    <s v="Very High"/>
    <x v="1"/>
    <n v="51"/>
    <s v="High"/>
    <x v="0"/>
    <s v="Healthcare Representative"/>
    <s v="Very High"/>
    <s v="Married"/>
    <n v="4014"/>
    <n v="19170"/>
    <n v="1"/>
    <s v="Yes"/>
    <n v="25"/>
    <s v="Outstanding"/>
    <s v="Very High"/>
    <n v="1"/>
    <n v="10"/>
    <n v="2"/>
    <s v="Bad"/>
    <x v="1"/>
    <s v="5-10"/>
    <n v="6"/>
    <n v="0"/>
    <n v="7"/>
    <n v="677"/>
  </r>
  <r>
    <n v="49"/>
    <x v="1"/>
    <x v="1"/>
    <s v="Travel_Rarely"/>
    <n v="527"/>
    <x v="0"/>
    <n v="8"/>
    <s v="College"/>
    <x v="1"/>
    <s v="Low"/>
    <x v="1"/>
    <n v="51"/>
    <s v="High"/>
    <x v="2"/>
    <s v="Laboratory Technician"/>
    <s v="Medium"/>
    <s v="Married"/>
    <n v="7403"/>
    <n v="22477"/>
    <n v="4"/>
    <s v="No"/>
    <n v="11"/>
    <s v="Excellent"/>
    <s v="High"/>
    <n v="1"/>
    <n v="29"/>
    <n v="3"/>
    <s v="Good"/>
    <x v="34"/>
    <s v="10-40"/>
    <n v="9"/>
    <n v="1"/>
    <n v="7"/>
    <n v="678"/>
  </r>
  <r>
    <n v="48"/>
    <x v="1"/>
    <x v="1"/>
    <s v="Travel_Rarely"/>
    <n v="1469"/>
    <x v="0"/>
    <n v="20"/>
    <s v="Master"/>
    <x v="2"/>
    <s v="Very High"/>
    <x v="0"/>
    <n v="51"/>
    <s v="High"/>
    <x v="1"/>
    <s v="Research Scientist"/>
    <s v="High"/>
    <s v="Married"/>
    <n v="2259"/>
    <n v="5543"/>
    <n v="4"/>
    <s v="No"/>
    <n v="17"/>
    <s v="Excellent"/>
    <s v="Low"/>
    <n v="2"/>
    <n v="13"/>
    <n v="2"/>
    <s v="Good"/>
    <x v="2"/>
    <s v="0-5"/>
    <n v="0"/>
    <n v="0"/>
    <n v="0"/>
    <n v="679"/>
  </r>
  <r>
    <n v="31"/>
    <x v="2"/>
    <x v="1"/>
    <s v="Non-Travel"/>
    <n v="1188"/>
    <x v="1"/>
    <n v="20"/>
    <s v="College"/>
    <x v="3"/>
    <s v="Very High"/>
    <x v="1"/>
    <n v="45"/>
    <s v="High"/>
    <x v="0"/>
    <s v="Sales Executive"/>
    <s v="High"/>
    <s v="Married"/>
    <n v="6932"/>
    <n v="24406"/>
    <n v="1"/>
    <s v="No"/>
    <n v="13"/>
    <s v="Excellent"/>
    <s v="Very High"/>
    <n v="1"/>
    <n v="9"/>
    <n v="2"/>
    <s v="Good"/>
    <x v="7"/>
    <s v="5-10"/>
    <n v="8"/>
    <n v="0"/>
    <n v="0"/>
    <n v="680"/>
  </r>
  <r>
    <n v="36"/>
    <x v="0"/>
    <x v="1"/>
    <s v="Travel_Rarely"/>
    <n v="188"/>
    <x v="0"/>
    <n v="7"/>
    <s v="Master"/>
    <x v="1"/>
    <s v="Medium"/>
    <x v="0"/>
    <n v="65"/>
    <s v="High"/>
    <x v="1"/>
    <s v="Research Scientist"/>
    <s v="Very High"/>
    <s v="Single"/>
    <n v="4678"/>
    <n v="23293"/>
    <n v="2"/>
    <s v="No"/>
    <n v="18"/>
    <s v="Excellent"/>
    <s v="High"/>
    <n v="0"/>
    <n v="8"/>
    <n v="6"/>
    <s v="Better"/>
    <x v="0"/>
    <s v="5-10"/>
    <n v="2"/>
    <n v="0"/>
    <n v="1"/>
    <n v="681"/>
  </r>
  <r>
    <n v="38"/>
    <x v="0"/>
    <x v="1"/>
    <s v="Travel_Rarely"/>
    <n v="1333"/>
    <x v="0"/>
    <n v="1"/>
    <s v="Bachelor"/>
    <x v="4"/>
    <s v="Very High"/>
    <x v="1"/>
    <n v="80"/>
    <s v="High"/>
    <x v="2"/>
    <s v="Research Director"/>
    <s v="Low"/>
    <s v="Married"/>
    <n v="13582"/>
    <n v="16292"/>
    <n v="1"/>
    <s v="No"/>
    <n v="13"/>
    <s v="Excellent"/>
    <s v="Medium"/>
    <n v="1"/>
    <n v="15"/>
    <n v="3"/>
    <s v="Better"/>
    <x v="15"/>
    <s v="10-40"/>
    <n v="12"/>
    <n v="5"/>
    <n v="11"/>
    <n v="682"/>
  </r>
  <r>
    <n v="32"/>
    <x v="2"/>
    <x v="1"/>
    <s v="Non-Travel"/>
    <n v="1184"/>
    <x v="0"/>
    <n v="1"/>
    <s v="Bachelor"/>
    <x v="0"/>
    <s v="High"/>
    <x v="1"/>
    <n v="70"/>
    <s v="Medium"/>
    <x v="1"/>
    <s v="Laboratory Technician"/>
    <s v="Medium"/>
    <s v="Married"/>
    <n v="2332"/>
    <n v="3974"/>
    <n v="6"/>
    <s v="No"/>
    <n v="20"/>
    <s v="Outstanding"/>
    <s v="High"/>
    <n v="0"/>
    <n v="5"/>
    <n v="3"/>
    <s v="Better"/>
    <x v="11"/>
    <s v="0-5"/>
    <n v="0"/>
    <n v="0"/>
    <n v="2"/>
    <n v="683"/>
  </r>
  <r>
    <n v="25"/>
    <x v="4"/>
    <x v="0"/>
    <s v="Travel_Rarely"/>
    <n v="867"/>
    <x v="1"/>
    <n v="19"/>
    <s v="College"/>
    <x v="3"/>
    <s v="High"/>
    <x v="0"/>
    <n v="36"/>
    <s v="Medium"/>
    <x v="1"/>
    <s v="Sales Representative"/>
    <s v="Medium"/>
    <s v="Married"/>
    <n v="2413"/>
    <n v="18798"/>
    <n v="1"/>
    <s v="Yes"/>
    <n v="18"/>
    <s v="Excellent"/>
    <s v="High"/>
    <n v="3"/>
    <n v="1"/>
    <n v="2"/>
    <s v="Better"/>
    <x v="6"/>
    <s v="0-5"/>
    <n v="0"/>
    <n v="0"/>
    <n v="0"/>
    <n v="684"/>
  </r>
  <r>
    <n v="40"/>
    <x v="0"/>
    <x v="1"/>
    <s v="Travel_Rarely"/>
    <n v="658"/>
    <x v="1"/>
    <n v="10"/>
    <s v="Master"/>
    <x v="3"/>
    <s v="Low"/>
    <x v="0"/>
    <n v="67"/>
    <s v="Medium"/>
    <x v="2"/>
    <s v="Sales Executive"/>
    <s v="Medium"/>
    <s v="Divorced"/>
    <n v="9705"/>
    <n v="20652"/>
    <n v="2"/>
    <s v="No"/>
    <n v="12"/>
    <s v="Excellent"/>
    <s v="Medium"/>
    <n v="1"/>
    <n v="11"/>
    <n v="2"/>
    <s v="Good"/>
    <x v="6"/>
    <s v="0-5"/>
    <n v="0"/>
    <n v="0"/>
    <n v="0"/>
    <n v="685"/>
  </r>
  <r>
    <n v="26"/>
    <x v="2"/>
    <x v="1"/>
    <s v="Travel_Frequently"/>
    <n v="1283"/>
    <x v="1"/>
    <n v="1"/>
    <s v="Bachelor"/>
    <x v="2"/>
    <s v="High"/>
    <x v="0"/>
    <n v="52"/>
    <s v="Medium"/>
    <x v="0"/>
    <s v="Sales Executive"/>
    <s v="Low"/>
    <s v="Single"/>
    <n v="4294"/>
    <n v="11148"/>
    <n v="1"/>
    <s v="No"/>
    <n v="12"/>
    <s v="Excellent"/>
    <s v="Medium"/>
    <n v="0"/>
    <n v="7"/>
    <n v="2"/>
    <s v="Better"/>
    <x v="5"/>
    <s v="5-10"/>
    <n v="7"/>
    <n v="0"/>
    <n v="7"/>
    <n v="686"/>
  </r>
  <r>
    <n v="41"/>
    <x v="0"/>
    <x v="1"/>
    <s v="Travel_Rarely"/>
    <n v="263"/>
    <x v="0"/>
    <n v="6"/>
    <s v="Bachelor"/>
    <x v="2"/>
    <s v="Very High"/>
    <x v="0"/>
    <n v="59"/>
    <s v="High"/>
    <x v="1"/>
    <s v="Laboratory Technician"/>
    <s v="Low"/>
    <s v="Single"/>
    <n v="4721"/>
    <n v="3119"/>
    <n v="2"/>
    <s v="Yes"/>
    <n v="13"/>
    <s v="Excellent"/>
    <s v="High"/>
    <n v="0"/>
    <n v="20"/>
    <n v="3"/>
    <s v="Better"/>
    <x v="29"/>
    <s v="10-40"/>
    <n v="13"/>
    <n v="2"/>
    <n v="17"/>
    <n v="687"/>
  </r>
  <r>
    <n v="36"/>
    <x v="0"/>
    <x v="1"/>
    <s v="Travel_Rarely"/>
    <n v="938"/>
    <x v="0"/>
    <n v="2"/>
    <s v="Master"/>
    <x v="2"/>
    <s v="High"/>
    <x v="0"/>
    <n v="79"/>
    <s v="High"/>
    <x v="1"/>
    <s v="Laboratory Technician"/>
    <s v="High"/>
    <s v="Single"/>
    <n v="2519"/>
    <n v="12287"/>
    <n v="4"/>
    <s v="No"/>
    <n v="21"/>
    <s v="Outstanding"/>
    <s v="High"/>
    <n v="0"/>
    <n v="16"/>
    <n v="6"/>
    <s v="Better"/>
    <x v="19"/>
    <s v="10-40"/>
    <n v="8"/>
    <n v="3"/>
    <n v="9"/>
    <n v="688"/>
  </r>
  <r>
    <n v="19"/>
    <x v="4"/>
    <x v="0"/>
    <s v="Travel_Rarely"/>
    <n v="419"/>
    <x v="1"/>
    <n v="21"/>
    <s v="Bachelor"/>
    <x v="1"/>
    <s v="Very High"/>
    <x v="0"/>
    <n v="37"/>
    <s v="Medium"/>
    <x v="1"/>
    <s v="Sales Representative"/>
    <s v="Medium"/>
    <s v="Single"/>
    <n v="2121"/>
    <n v="9947"/>
    <n v="1"/>
    <s v="Yes"/>
    <n v="13"/>
    <s v="Excellent"/>
    <s v="Medium"/>
    <n v="0"/>
    <n v="1"/>
    <n v="3"/>
    <s v="Best"/>
    <x v="6"/>
    <s v="0-5"/>
    <n v="0"/>
    <n v="0"/>
    <n v="0"/>
    <n v="689"/>
  </r>
  <r>
    <n v="20"/>
    <x v="4"/>
    <x v="0"/>
    <s v="Travel_Rarely"/>
    <n v="129"/>
    <x v="0"/>
    <n v="4"/>
    <s v="Bachelor"/>
    <x v="4"/>
    <s v="Low"/>
    <x v="0"/>
    <n v="84"/>
    <s v="High"/>
    <x v="1"/>
    <s v="Laboratory Technician"/>
    <s v="Low"/>
    <s v="Single"/>
    <n v="2973"/>
    <n v="13008"/>
    <n v="1"/>
    <s v="No"/>
    <n v="19"/>
    <s v="Excellent"/>
    <s v="Medium"/>
    <n v="0"/>
    <n v="1"/>
    <n v="2"/>
    <s v="Better"/>
    <x v="6"/>
    <s v="0-5"/>
    <n v="0"/>
    <n v="0"/>
    <n v="0"/>
    <n v="690"/>
  </r>
  <r>
    <n v="31"/>
    <x v="2"/>
    <x v="1"/>
    <s v="Travel_Rarely"/>
    <n v="616"/>
    <x v="0"/>
    <n v="12"/>
    <s v="Bachelor"/>
    <x v="2"/>
    <s v="Very High"/>
    <x v="1"/>
    <n v="41"/>
    <s v="High"/>
    <x v="0"/>
    <s v="Healthcare Representative"/>
    <s v="Very High"/>
    <s v="Married"/>
    <n v="5855"/>
    <n v="17369"/>
    <n v="0"/>
    <s v="Yes"/>
    <n v="11"/>
    <s v="Excellent"/>
    <s v="High"/>
    <n v="2"/>
    <n v="10"/>
    <n v="2"/>
    <s v="Bad"/>
    <x v="7"/>
    <s v="5-10"/>
    <n v="7"/>
    <n v="8"/>
    <n v="5"/>
    <n v="691"/>
  </r>
  <r>
    <n v="40"/>
    <x v="0"/>
    <x v="1"/>
    <s v="Travel_Frequently"/>
    <n v="1469"/>
    <x v="0"/>
    <n v="9"/>
    <s v="Master"/>
    <x v="2"/>
    <s v="Very High"/>
    <x v="0"/>
    <n v="35"/>
    <s v="High"/>
    <x v="1"/>
    <s v="Research Scientist"/>
    <s v="Medium"/>
    <s v="Divorced"/>
    <n v="3617"/>
    <n v="25063"/>
    <n v="8"/>
    <s v="Yes"/>
    <n v="14"/>
    <s v="Excellent"/>
    <s v="Very High"/>
    <n v="1"/>
    <n v="3"/>
    <n v="2"/>
    <s v="Better"/>
    <x v="6"/>
    <s v="0-5"/>
    <n v="1"/>
    <n v="0"/>
    <n v="0"/>
    <n v="692"/>
  </r>
  <r>
    <n v="32"/>
    <x v="2"/>
    <x v="1"/>
    <s v="Travel_Rarely"/>
    <n v="498"/>
    <x v="0"/>
    <n v="3"/>
    <s v="Master"/>
    <x v="2"/>
    <s v="High"/>
    <x v="1"/>
    <n v="93"/>
    <s v="High"/>
    <x v="0"/>
    <s v="Manufacturing Director"/>
    <s v="Low"/>
    <s v="Married"/>
    <n v="6725"/>
    <n v="13554"/>
    <n v="1"/>
    <s v="No"/>
    <n v="12"/>
    <s v="Excellent"/>
    <s v="High"/>
    <n v="1"/>
    <n v="8"/>
    <n v="2"/>
    <s v="Best"/>
    <x v="3"/>
    <s v="5-10"/>
    <n v="7"/>
    <n v="6"/>
    <n v="3"/>
    <n v="693"/>
  </r>
  <r>
    <n v="36"/>
    <x v="0"/>
    <x v="0"/>
    <s v="Travel_Rarely"/>
    <n v="530"/>
    <x v="1"/>
    <n v="3"/>
    <s v="Below College"/>
    <x v="0"/>
    <s v="High"/>
    <x v="0"/>
    <n v="51"/>
    <s v="Medium"/>
    <x v="2"/>
    <s v="Sales Executive"/>
    <s v="Very High"/>
    <s v="Married"/>
    <n v="10325"/>
    <n v="5518"/>
    <n v="1"/>
    <s v="Yes"/>
    <n v="11"/>
    <s v="Excellent"/>
    <s v="Low"/>
    <n v="1"/>
    <n v="16"/>
    <n v="6"/>
    <s v="Better"/>
    <x v="22"/>
    <s v="10-40"/>
    <n v="7"/>
    <n v="3"/>
    <n v="7"/>
    <n v="694"/>
  </r>
  <r>
    <n v="33"/>
    <x v="2"/>
    <x v="1"/>
    <s v="Travel_Rarely"/>
    <n v="1069"/>
    <x v="0"/>
    <n v="1"/>
    <s v="Bachelor"/>
    <x v="0"/>
    <s v="Medium"/>
    <x v="1"/>
    <n v="42"/>
    <s v="Medium"/>
    <x v="0"/>
    <s v="Healthcare Representative"/>
    <s v="Very High"/>
    <s v="Single"/>
    <n v="6949"/>
    <n v="12291"/>
    <n v="0"/>
    <s v="No"/>
    <n v="14"/>
    <s v="Excellent"/>
    <s v="Low"/>
    <n v="0"/>
    <n v="6"/>
    <n v="3"/>
    <s v="Better"/>
    <x v="8"/>
    <s v="0-5"/>
    <n v="0"/>
    <n v="1"/>
    <n v="4"/>
    <n v="695"/>
  </r>
  <r>
    <n v="37"/>
    <x v="0"/>
    <x v="0"/>
    <s v="Travel_Rarely"/>
    <n v="625"/>
    <x v="1"/>
    <n v="1"/>
    <s v="Master"/>
    <x v="0"/>
    <s v="Low"/>
    <x v="0"/>
    <n v="46"/>
    <s v="Medium"/>
    <x v="2"/>
    <s v="Sales Executive"/>
    <s v="High"/>
    <s v="Married"/>
    <n v="10609"/>
    <n v="14922"/>
    <n v="5"/>
    <s v="No"/>
    <n v="11"/>
    <s v="Excellent"/>
    <s v="High"/>
    <n v="0"/>
    <n v="17"/>
    <n v="2"/>
    <s v="Bad"/>
    <x v="13"/>
    <s v="10-40"/>
    <n v="1"/>
    <n v="11"/>
    <n v="7"/>
    <n v="696"/>
  </r>
  <r>
    <n v="45"/>
    <x v="0"/>
    <x v="1"/>
    <s v="Non-Travel"/>
    <n v="805"/>
    <x v="0"/>
    <n v="4"/>
    <s v="College"/>
    <x v="0"/>
    <s v="High"/>
    <x v="0"/>
    <n v="57"/>
    <s v="High"/>
    <x v="0"/>
    <s v="Laboratory Technician"/>
    <s v="Medium"/>
    <s v="Married"/>
    <n v="4447"/>
    <n v="23163"/>
    <n v="1"/>
    <s v="No"/>
    <n v="12"/>
    <s v="Excellent"/>
    <s v="Medium"/>
    <n v="0"/>
    <n v="9"/>
    <n v="5"/>
    <s v="Good"/>
    <x v="7"/>
    <s v="5-10"/>
    <n v="7"/>
    <n v="0"/>
    <n v="8"/>
    <n v="697"/>
  </r>
  <r>
    <n v="29"/>
    <x v="2"/>
    <x v="1"/>
    <s v="Travel_Frequently"/>
    <n v="1404"/>
    <x v="1"/>
    <n v="20"/>
    <s v="Bachelor"/>
    <x v="4"/>
    <s v="High"/>
    <x v="1"/>
    <n v="84"/>
    <s v="High"/>
    <x v="1"/>
    <s v="Sales Representative"/>
    <s v="Very High"/>
    <s v="Married"/>
    <n v="2157"/>
    <n v="18203"/>
    <n v="1"/>
    <s v="No"/>
    <n v="15"/>
    <s v="Excellent"/>
    <s v="Medium"/>
    <n v="1"/>
    <n v="3"/>
    <n v="5"/>
    <s v="Better"/>
    <x v="11"/>
    <s v="0-5"/>
    <n v="1"/>
    <n v="0"/>
    <n v="2"/>
    <n v="698"/>
  </r>
  <r>
    <n v="35"/>
    <x v="2"/>
    <x v="1"/>
    <s v="Travel_Rarely"/>
    <n v="1219"/>
    <x v="1"/>
    <n v="18"/>
    <s v="Bachelor"/>
    <x v="2"/>
    <s v="High"/>
    <x v="1"/>
    <n v="86"/>
    <s v="High"/>
    <x v="0"/>
    <s v="Sales Executive"/>
    <s v="High"/>
    <s v="Married"/>
    <n v="4601"/>
    <n v="6179"/>
    <n v="1"/>
    <s v="No"/>
    <n v="16"/>
    <s v="Excellent"/>
    <s v="Medium"/>
    <n v="0"/>
    <n v="5"/>
    <n v="3"/>
    <s v="Better"/>
    <x v="8"/>
    <s v="0-5"/>
    <n v="2"/>
    <n v="1"/>
    <n v="0"/>
    <n v="699"/>
  </r>
  <r>
    <n v="52"/>
    <x v="1"/>
    <x v="1"/>
    <s v="Travel_Rarely"/>
    <n v="1053"/>
    <x v="0"/>
    <n v="1"/>
    <s v="College"/>
    <x v="0"/>
    <s v="Very High"/>
    <x v="0"/>
    <n v="70"/>
    <s v="High"/>
    <x v="3"/>
    <s v="Manager"/>
    <s v="Very High"/>
    <s v="Married"/>
    <n v="17099"/>
    <n v="13829"/>
    <n v="2"/>
    <s v="No"/>
    <n v="15"/>
    <s v="Excellent"/>
    <s v="Medium"/>
    <n v="1"/>
    <n v="26"/>
    <n v="2"/>
    <s v="Good"/>
    <x v="7"/>
    <s v="5-10"/>
    <n v="8"/>
    <n v="7"/>
    <n v="8"/>
    <n v="700"/>
  </r>
  <r>
    <n v="58"/>
    <x v="3"/>
    <x v="0"/>
    <s v="Travel_Rarely"/>
    <n v="289"/>
    <x v="0"/>
    <n v="2"/>
    <s v="Bachelor"/>
    <x v="4"/>
    <s v="Very High"/>
    <x v="0"/>
    <n v="51"/>
    <s v="High"/>
    <x v="1"/>
    <s v="Research Scientist"/>
    <s v="High"/>
    <s v="Single"/>
    <n v="2479"/>
    <n v="26227"/>
    <n v="4"/>
    <s v="No"/>
    <n v="24"/>
    <s v="Outstanding"/>
    <s v="Low"/>
    <n v="0"/>
    <n v="7"/>
    <n v="4"/>
    <s v="Better"/>
    <x v="6"/>
    <s v="0-5"/>
    <n v="0"/>
    <n v="0"/>
    <n v="0"/>
    <n v="701"/>
  </r>
  <r>
    <n v="53"/>
    <x v="1"/>
    <x v="1"/>
    <s v="Travel_Rarely"/>
    <n v="1376"/>
    <x v="1"/>
    <n v="2"/>
    <s v="College"/>
    <x v="2"/>
    <s v="High"/>
    <x v="0"/>
    <n v="45"/>
    <s v="High"/>
    <x v="3"/>
    <s v="Manager"/>
    <s v="High"/>
    <s v="Divorced"/>
    <n v="14852"/>
    <n v="13938"/>
    <n v="6"/>
    <s v="No"/>
    <n v="13"/>
    <s v="Excellent"/>
    <s v="High"/>
    <n v="1"/>
    <n v="22"/>
    <n v="3"/>
    <s v="Best"/>
    <x v="18"/>
    <s v="10-40"/>
    <n v="13"/>
    <n v="15"/>
    <n v="2"/>
    <n v="702"/>
  </r>
  <r>
    <n v="30"/>
    <x v="2"/>
    <x v="1"/>
    <s v="Travel_Rarely"/>
    <n v="231"/>
    <x v="1"/>
    <n v="8"/>
    <s v="College"/>
    <x v="1"/>
    <s v="High"/>
    <x v="0"/>
    <n v="62"/>
    <s v="High"/>
    <x v="2"/>
    <s v="Sales Executive"/>
    <s v="High"/>
    <s v="Divorced"/>
    <n v="7264"/>
    <n v="9977"/>
    <n v="5"/>
    <s v="No"/>
    <n v="11"/>
    <s v="Excellent"/>
    <s v="Low"/>
    <n v="1"/>
    <n v="10"/>
    <n v="2"/>
    <s v="Best"/>
    <x v="3"/>
    <s v="5-10"/>
    <n v="4"/>
    <n v="7"/>
    <n v="7"/>
    <n v="703"/>
  </r>
  <r>
    <n v="38"/>
    <x v="0"/>
    <x v="1"/>
    <s v="Non-Travel"/>
    <n v="152"/>
    <x v="1"/>
    <n v="10"/>
    <s v="Bachelor"/>
    <x v="4"/>
    <s v="High"/>
    <x v="1"/>
    <n v="85"/>
    <s v="High"/>
    <x v="0"/>
    <s v="Sales Executive"/>
    <s v="Very High"/>
    <s v="Single"/>
    <n v="5666"/>
    <n v="19899"/>
    <n v="1"/>
    <s v="Yes"/>
    <n v="13"/>
    <s v="Excellent"/>
    <s v="Medium"/>
    <n v="0"/>
    <n v="6"/>
    <n v="1"/>
    <s v="Better"/>
    <x v="8"/>
    <s v="0-5"/>
    <n v="3"/>
    <n v="1"/>
    <n v="3"/>
    <n v="704"/>
  </r>
  <r>
    <n v="35"/>
    <x v="2"/>
    <x v="1"/>
    <s v="Travel_Rarely"/>
    <n v="882"/>
    <x v="1"/>
    <n v="3"/>
    <s v="Master"/>
    <x v="0"/>
    <s v="Very High"/>
    <x v="0"/>
    <n v="92"/>
    <s v="High"/>
    <x v="2"/>
    <s v="Sales Executive"/>
    <s v="Very High"/>
    <s v="Divorced"/>
    <n v="7823"/>
    <n v="6812"/>
    <n v="6"/>
    <s v="No"/>
    <n v="13"/>
    <s v="Excellent"/>
    <s v="Medium"/>
    <n v="1"/>
    <n v="12"/>
    <n v="2"/>
    <s v="Better"/>
    <x v="1"/>
    <s v="5-10"/>
    <n v="9"/>
    <n v="0"/>
    <n v="8"/>
    <n v="705"/>
  </r>
  <r>
    <n v="39"/>
    <x v="0"/>
    <x v="1"/>
    <s v="Travel_Rarely"/>
    <n v="903"/>
    <x v="1"/>
    <n v="2"/>
    <s v="Doctor"/>
    <x v="0"/>
    <s v="Low"/>
    <x v="0"/>
    <n v="41"/>
    <s v="Very High"/>
    <x v="2"/>
    <s v="Sales Executive"/>
    <s v="High"/>
    <s v="Single"/>
    <n v="7880"/>
    <n v="2560"/>
    <n v="0"/>
    <s v="No"/>
    <n v="18"/>
    <s v="Excellent"/>
    <s v="Very High"/>
    <n v="0"/>
    <n v="9"/>
    <n v="3"/>
    <s v="Better"/>
    <x v="3"/>
    <s v="5-10"/>
    <n v="7"/>
    <n v="0"/>
    <n v="7"/>
    <n v="706"/>
  </r>
  <r>
    <n v="40"/>
    <x v="0"/>
    <x v="0"/>
    <s v="Non-Travel"/>
    <n v="1479"/>
    <x v="1"/>
    <n v="24"/>
    <s v="Bachelor"/>
    <x v="0"/>
    <s v="Medium"/>
    <x v="1"/>
    <n v="100"/>
    <s v="Very High"/>
    <x v="3"/>
    <s v="Sales Executive"/>
    <s v="Medium"/>
    <s v="Single"/>
    <n v="13194"/>
    <n v="17071"/>
    <n v="4"/>
    <s v="Yes"/>
    <n v="16"/>
    <s v="Excellent"/>
    <s v="Very High"/>
    <n v="0"/>
    <n v="22"/>
    <n v="2"/>
    <s v="Good"/>
    <x v="6"/>
    <s v="0-5"/>
    <n v="0"/>
    <n v="0"/>
    <n v="0"/>
    <n v="707"/>
  </r>
  <r>
    <n v="47"/>
    <x v="1"/>
    <x v="1"/>
    <s v="Travel_Frequently"/>
    <n v="1379"/>
    <x v="0"/>
    <n v="16"/>
    <s v="Master"/>
    <x v="2"/>
    <s v="High"/>
    <x v="0"/>
    <n v="64"/>
    <s v="Very High"/>
    <x v="0"/>
    <s v="Manufacturing Director"/>
    <s v="High"/>
    <s v="Divorced"/>
    <n v="5067"/>
    <n v="6759"/>
    <n v="1"/>
    <s v="Yes"/>
    <n v="19"/>
    <s v="Excellent"/>
    <s v="High"/>
    <n v="0"/>
    <n v="20"/>
    <n v="3"/>
    <s v="Best"/>
    <x v="27"/>
    <s v="10-40"/>
    <n v="10"/>
    <n v="2"/>
    <n v="7"/>
    <n v="708"/>
  </r>
  <r>
    <n v="36"/>
    <x v="0"/>
    <x v="1"/>
    <s v="Non-Travel"/>
    <n v="1229"/>
    <x v="1"/>
    <n v="8"/>
    <s v="Master"/>
    <x v="4"/>
    <s v="Low"/>
    <x v="0"/>
    <n v="84"/>
    <s v="High"/>
    <x v="0"/>
    <s v="Sales Executive"/>
    <s v="Very High"/>
    <s v="Divorced"/>
    <n v="5079"/>
    <n v="25952"/>
    <n v="4"/>
    <s v="No"/>
    <n v="13"/>
    <s v="Excellent"/>
    <s v="Very High"/>
    <n v="2"/>
    <n v="12"/>
    <n v="3"/>
    <s v="Better"/>
    <x v="5"/>
    <s v="5-10"/>
    <n v="7"/>
    <n v="0"/>
    <n v="7"/>
    <n v="709"/>
  </r>
  <r>
    <n v="31"/>
    <x v="2"/>
    <x v="0"/>
    <s v="Non-Travel"/>
    <n v="335"/>
    <x v="0"/>
    <n v="9"/>
    <s v="College"/>
    <x v="2"/>
    <s v="High"/>
    <x v="0"/>
    <n v="46"/>
    <s v="Medium"/>
    <x v="1"/>
    <s v="Research Scientist"/>
    <s v="Low"/>
    <s v="Single"/>
    <n v="2321"/>
    <n v="10322"/>
    <n v="0"/>
    <s v="Yes"/>
    <n v="22"/>
    <s v="Outstanding"/>
    <s v="Low"/>
    <n v="0"/>
    <n v="4"/>
    <n v="0"/>
    <s v="Better"/>
    <x v="11"/>
    <s v="0-5"/>
    <n v="2"/>
    <n v="1"/>
    <n v="2"/>
    <n v="710"/>
  </r>
  <r>
    <n v="33"/>
    <x v="2"/>
    <x v="1"/>
    <s v="Non-Travel"/>
    <n v="722"/>
    <x v="1"/>
    <n v="17"/>
    <s v="Bachelor"/>
    <x v="0"/>
    <s v="Very High"/>
    <x v="0"/>
    <n v="38"/>
    <s v="High"/>
    <x v="3"/>
    <s v="Manager"/>
    <s v="High"/>
    <s v="Single"/>
    <n v="17444"/>
    <n v="20489"/>
    <n v="1"/>
    <s v="No"/>
    <n v="11"/>
    <s v="Excellent"/>
    <s v="Very High"/>
    <n v="0"/>
    <n v="10"/>
    <n v="2"/>
    <s v="Better"/>
    <x v="1"/>
    <s v="5-10"/>
    <n v="8"/>
    <n v="6"/>
    <n v="0"/>
    <n v="711"/>
  </r>
  <r>
    <n v="29"/>
    <x v="2"/>
    <x v="0"/>
    <s v="Travel_Rarely"/>
    <n v="906"/>
    <x v="0"/>
    <n v="10"/>
    <s v="Bachelor"/>
    <x v="0"/>
    <s v="Very High"/>
    <x v="1"/>
    <n v="92"/>
    <s v="Medium"/>
    <x v="1"/>
    <s v="Research Scientist"/>
    <s v="Low"/>
    <s v="Single"/>
    <n v="2404"/>
    <n v="11479"/>
    <n v="6"/>
    <s v="Yes"/>
    <n v="20"/>
    <s v="Outstanding"/>
    <s v="High"/>
    <n v="0"/>
    <n v="3"/>
    <n v="5"/>
    <s v="Better"/>
    <x v="2"/>
    <s v="0-5"/>
    <n v="0"/>
    <n v="0"/>
    <n v="0"/>
    <n v="712"/>
  </r>
  <r>
    <n v="33"/>
    <x v="2"/>
    <x v="1"/>
    <s v="Travel_Rarely"/>
    <n v="461"/>
    <x v="0"/>
    <n v="13"/>
    <s v="Below College"/>
    <x v="0"/>
    <s v="Medium"/>
    <x v="1"/>
    <n v="53"/>
    <s v="High"/>
    <x v="1"/>
    <s v="Research Scientist"/>
    <s v="Very High"/>
    <s v="Single"/>
    <n v="3452"/>
    <n v="17241"/>
    <n v="3"/>
    <s v="No"/>
    <n v="18"/>
    <s v="Excellent"/>
    <s v="Low"/>
    <n v="0"/>
    <n v="5"/>
    <n v="4"/>
    <s v="Better"/>
    <x v="11"/>
    <s v="0-5"/>
    <n v="2"/>
    <n v="0"/>
    <n v="2"/>
    <n v="713"/>
  </r>
  <r>
    <n v="45"/>
    <x v="0"/>
    <x v="1"/>
    <s v="Travel_Rarely"/>
    <n v="974"/>
    <x v="0"/>
    <n v="1"/>
    <s v="Master"/>
    <x v="2"/>
    <s v="Very High"/>
    <x v="1"/>
    <n v="91"/>
    <s v="High"/>
    <x v="1"/>
    <s v="Laboratory Technician"/>
    <s v="Very High"/>
    <s v="Divorced"/>
    <n v="2270"/>
    <n v="11005"/>
    <n v="3"/>
    <s v="No"/>
    <n v="14"/>
    <s v="Excellent"/>
    <s v="Very High"/>
    <n v="2"/>
    <n v="8"/>
    <n v="2"/>
    <s v="Better"/>
    <x v="8"/>
    <s v="0-5"/>
    <n v="3"/>
    <n v="0"/>
    <n v="2"/>
    <n v="714"/>
  </r>
  <r>
    <n v="50"/>
    <x v="1"/>
    <x v="1"/>
    <s v="Travel_Rarely"/>
    <n v="1126"/>
    <x v="0"/>
    <n v="1"/>
    <s v="College"/>
    <x v="2"/>
    <s v="Very High"/>
    <x v="0"/>
    <n v="66"/>
    <s v="High"/>
    <x v="3"/>
    <s v="Research Director"/>
    <s v="Very High"/>
    <s v="Divorced"/>
    <n v="17399"/>
    <n v="6615"/>
    <n v="9"/>
    <s v="No"/>
    <n v="22"/>
    <s v="Outstanding"/>
    <s v="High"/>
    <n v="1"/>
    <n v="32"/>
    <n v="1"/>
    <s v="Good"/>
    <x v="8"/>
    <s v="0-5"/>
    <n v="4"/>
    <n v="1"/>
    <n v="3"/>
    <n v="715"/>
  </r>
  <r>
    <n v="33"/>
    <x v="2"/>
    <x v="1"/>
    <s v="Travel_Frequently"/>
    <n v="827"/>
    <x v="0"/>
    <n v="1"/>
    <s v="Master"/>
    <x v="1"/>
    <s v="High"/>
    <x v="1"/>
    <n v="84"/>
    <s v="Very High"/>
    <x v="0"/>
    <s v="Healthcare Representative"/>
    <s v="Medium"/>
    <s v="Married"/>
    <n v="5488"/>
    <n v="20161"/>
    <n v="1"/>
    <s v="Yes"/>
    <n v="13"/>
    <s v="Excellent"/>
    <s v="Low"/>
    <n v="1"/>
    <n v="6"/>
    <n v="2"/>
    <s v="Better"/>
    <x v="0"/>
    <s v="5-10"/>
    <n v="5"/>
    <n v="1"/>
    <n v="2"/>
    <n v="716"/>
  </r>
  <r>
    <n v="41"/>
    <x v="0"/>
    <x v="1"/>
    <s v="Travel_Frequently"/>
    <n v="840"/>
    <x v="0"/>
    <n v="9"/>
    <s v="Bachelor"/>
    <x v="2"/>
    <s v="Low"/>
    <x v="0"/>
    <n v="64"/>
    <s v="High"/>
    <x v="4"/>
    <s v="Research Director"/>
    <s v="High"/>
    <s v="Divorced"/>
    <n v="19419"/>
    <n v="3735"/>
    <n v="2"/>
    <s v="No"/>
    <n v="17"/>
    <s v="Excellent"/>
    <s v="Medium"/>
    <n v="1"/>
    <n v="21"/>
    <n v="2"/>
    <s v="Best"/>
    <x v="29"/>
    <s v="10-40"/>
    <n v="16"/>
    <n v="0"/>
    <n v="11"/>
    <n v="717"/>
  </r>
  <r>
    <n v="27"/>
    <x v="2"/>
    <x v="1"/>
    <s v="Travel_Rarely"/>
    <n v="1134"/>
    <x v="0"/>
    <n v="16"/>
    <s v="Master"/>
    <x v="4"/>
    <s v="High"/>
    <x v="1"/>
    <n v="37"/>
    <s v="High"/>
    <x v="1"/>
    <s v="Laboratory Technician"/>
    <s v="Medium"/>
    <s v="Married"/>
    <n v="2811"/>
    <n v="12086"/>
    <n v="9"/>
    <s v="No"/>
    <n v="14"/>
    <s v="Excellent"/>
    <s v="Medium"/>
    <n v="1"/>
    <n v="4"/>
    <n v="2"/>
    <s v="Better"/>
    <x v="4"/>
    <s v="0-5"/>
    <n v="2"/>
    <n v="2"/>
    <n v="2"/>
    <n v="718"/>
  </r>
  <r>
    <n v="45"/>
    <x v="0"/>
    <x v="1"/>
    <s v="Non-Travel"/>
    <n v="248"/>
    <x v="0"/>
    <n v="23"/>
    <s v="College"/>
    <x v="0"/>
    <s v="Very High"/>
    <x v="0"/>
    <n v="42"/>
    <s v="High"/>
    <x v="0"/>
    <s v="Laboratory Technician"/>
    <s v="Low"/>
    <s v="Married"/>
    <n v="3633"/>
    <n v="14039"/>
    <n v="1"/>
    <s v="Yes"/>
    <n v="15"/>
    <s v="Excellent"/>
    <s v="High"/>
    <n v="1"/>
    <n v="9"/>
    <n v="2"/>
    <s v="Better"/>
    <x v="7"/>
    <s v="5-10"/>
    <n v="8"/>
    <n v="0"/>
    <n v="8"/>
    <n v="719"/>
  </r>
  <r>
    <n v="47"/>
    <x v="1"/>
    <x v="1"/>
    <s v="Travel_Rarely"/>
    <n v="955"/>
    <x v="1"/>
    <n v="4"/>
    <s v="College"/>
    <x v="0"/>
    <s v="Very High"/>
    <x v="1"/>
    <n v="83"/>
    <s v="High"/>
    <x v="0"/>
    <s v="Sales Executive"/>
    <s v="Very High"/>
    <s v="Single"/>
    <n v="4163"/>
    <n v="8571"/>
    <n v="1"/>
    <s v="Yes"/>
    <n v="17"/>
    <s v="Excellent"/>
    <s v="High"/>
    <n v="0"/>
    <n v="9"/>
    <n v="0"/>
    <s v="Better"/>
    <x v="7"/>
    <s v="5-10"/>
    <n v="0"/>
    <n v="0"/>
    <n v="7"/>
    <n v="720"/>
  </r>
  <r>
    <n v="30"/>
    <x v="2"/>
    <x v="0"/>
    <s v="Travel_Rarely"/>
    <n v="138"/>
    <x v="0"/>
    <n v="22"/>
    <s v="Bachelor"/>
    <x v="0"/>
    <s v="Low"/>
    <x v="1"/>
    <n v="48"/>
    <s v="High"/>
    <x v="1"/>
    <s v="Research Scientist"/>
    <s v="High"/>
    <s v="Married"/>
    <n v="2132"/>
    <n v="11539"/>
    <n v="4"/>
    <s v="Yes"/>
    <n v="11"/>
    <s v="Excellent"/>
    <s v="Medium"/>
    <n v="0"/>
    <n v="7"/>
    <n v="2"/>
    <s v="Better"/>
    <x v="8"/>
    <s v="0-5"/>
    <n v="2"/>
    <n v="0"/>
    <n v="1"/>
    <n v="721"/>
  </r>
  <r>
    <n v="50"/>
    <x v="1"/>
    <x v="1"/>
    <s v="Travel_Rarely"/>
    <n v="939"/>
    <x v="0"/>
    <n v="24"/>
    <s v="Bachelor"/>
    <x v="0"/>
    <s v="Very High"/>
    <x v="0"/>
    <n v="95"/>
    <s v="High"/>
    <x v="3"/>
    <s v="Manufacturing Director"/>
    <s v="High"/>
    <s v="Married"/>
    <n v="13973"/>
    <n v="4161"/>
    <n v="3"/>
    <s v="Yes"/>
    <n v="18"/>
    <s v="Excellent"/>
    <s v="Very High"/>
    <n v="1"/>
    <n v="22"/>
    <n v="2"/>
    <s v="Better"/>
    <x v="12"/>
    <s v="10-40"/>
    <n v="11"/>
    <n v="1"/>
    <n v="5"/>
    <n v="722"/>
  </r>
  <r>
    <n v="38"/>
    <x v="0"/>
    <x v="1"/>
    <s v="Travel_Frequently"/>
    <n v="1391"/>
    <x v="0"/>
    <n v="10"/>
    <s v="Below College"/>
    <x v="2"/>
    <s v="High"/>
    <x v="0"/>
    <n v="66"/>
    <s v="High"/>
    <x v="1"/>
    <s v="Research Scientist"/>
    <s v="High"/>
    <s v="Married"/>
    <n v="2684"/>
    <n v="12127"/>
    <n v="0"/>
    <s v="No"/>
    <n v="17"/>
    <s v="Excellent"/>
    <s v="Medium"/>
    <n v="1"/>
    <n v="3"/>
    <n v="0"/>
    <s v="Good"/>
    <x v="4"/>
    <s v="0-5"/>
    <n v="1"/>
    <n v="0"/>
    <n v="2"/>
    <n v="723"/>
  </r>
  <r>
    <n v="46"/>
    <x v="1"/>
    <x v="1"/>
    <s v="Travel_Rarely"/>
    <n v="566"/>
    <x v="0"/>
    <n v="7"/>
    <s v="College"/>
    <x v="2"/>
    <s v="Very High"/>
    <x v="0"/>
    <n v="75"/>
    <s v="High"/>
    <x v="2"/>
    <s v="Manufacturing Director"/>
    <s v="High"/>
    <s v="Divorced"/>
    <n v="10845"/>
    <n v="24208"/>
    <n v="6"/>
    <s v="No"/>
    <n v="13"/>
    <s v="Excellent"/>
    <s v="Medium"/>
    <n v="1"/>
    <n v="13"/>
    <n v="3"/>
    <s v="Better"/>
    <x v="3"/>
    <s v="5-10"/>
    <n v="7"/>
    <n v="0"/>
    <n v="7"/>
    <n v="724"/>
  </r>
  <r>
    <n v="24"/>
    <x v="4"/>
    <x v="1"/>
    <s v="Travel_Rarely"/>
    <n v="1206"/>
    <x v="0"/>
    <n v="17"/>
    <s v="Below College"/>
    <x v="2"/>
    <s v="Very High"/>
    <x v="1"/>
    <n v="41"/>
    <s v="Medium"/>
    <x v="0"/>
    <s v="Manufacturing Director"/>
    <s v="High"/>
    <s v="Divorced"/>
    <n v="4377"/>
    <n v="24117"/>
    <n v="1"/>
    <s v="No"/>
    <n v="15"/>
    <s v="Excellent"/>
    <s v="Medium"/>
    <n v="2"/>
    <n v="5"/>
    <n v="6"/>
    <s v="Better"/>
    <x v="9"/>
    <s v="0-5"/>
    <n v="2"/>
    <n v="3"/>
    <n v="2"/>
    <n v="725"/>
  </r>
  <r>
    <n v="35"/>
    <x v="2"/>
    <x v="0"/>
    <s v="Travel_Rarely"/>
    <n v="622"/>
    <x v="0"/>
    <n v="14"/>
    <s v="Master"/>
    <x v="1"/>
    <s v="High"/>
    <x v="0"/>
    <n v="39"/>
    <s v="Medium"/>
    <x v="1"/>
    <s v="Laboratory Technician"/>
    <s v="Medium"/>
    <s v="Divorced"/>
    <n v="3743"/>
    <n v="10074"/>
    <n v="1"/>
    <s v="Yes"/>
    <n v="24"/>
    <s v="Outstanding"/>
    <s v="Very High"/>
    <n v="1"/>
    <n v="5"/>
    <n v="2"/>
    <s v="Bad"/>
    <x v="9"/>
    <s v="0-5"/>
    <n v="2"/>
    <n v="0"/>
    <n v="2"/>
    <n v="726"/>
  </r>
  <r>
    <n v="31"/>
    <x v="2"/>
    <x v="1"/>
    <s v="Travel_Frequently"/>
    <n v="853"/>
    <x v="0"/>
    <n v="1"/>
    <s v="Below College"/>
    <x v="0"/>
    <s v="High"/>
    <x v="1"/>
    <n v="96"/>
    <s v="High"/>
    <x v="0"/>
    <s v="Manufacturing Director"/>
    <s v="Low"/>
    <s v="Married"/>
    <n v="4148"/>
    <n v="11275"/>
    <n v="1"/>
    <s v="No"/>
    <n v="12"/>
    <s v="Excellent"/>
    <s v="High"/>
    <n v="1"/>
    <n v="4"/>
    <n v="1"/>
    <s v="Better"/>
    <x v="9"/>
    <s v="0-5"/>
    <n v="3"/>
    <n v="0"/>
    <n v="3"/>
    <n v="727"/>
  </r>
  <r>
    <n v="18"/>
    <x v="4"/>
    <x v="1"/>
    <s v="Non-Travel"/>
    <n v="287"/>
    <x v="0"/>
    <n v="5"/>
    <s v="College"/>
    <x v="0"/>
    <s v="Medium"/>
    <x v="0"/>
    <n v="73"/>
    <s v="High"/>
    <x v="1"/>
    <s v="Research Scientist"/>
    <s v="Very High"/>
    <s v="Single"/>
    <n v="1051"/>
    <n v="13493"/>
    <n v="1"/>
    <s v="No"/>
    <n v="15"/>
    <s v="Excellent"/>
    <s v="Very High"/>
    <n v="0"/>
    <n v="0"/>
    <n v="2"/>
    <s v="Better"/>
    <x v="2"/>
    <s v="0-5"/>
    <n v="0"/>
    <n v="0"/>
    <n v="0"/>
    <n v="728"/>
  </r>
  <r>
    <n v="54"/>
    <x v="1"/>
    <x v="1"/>
    <s v="Travel_Rarely"/>
    <n v="1441"/>
    <x v="0"/>
    <n v="17"/>
    <s v="Bachelor"/>
    <x v="4"/>
    <s v="High"/>
    <x v="1"/>
    <n v="56"/>
    <s v="High"/>
    <x v="2"/>
    <s v="Manufacturing Director"/>
    <s v="High"/>
    <s v="Married"/>
    <n v="10739"/>
    <n v="13943"/>
    <n v="8"/>
    <s v="No"/>
    <n v="11"/>
    <s v="Excellent"/>
    <s v="High"/>
    <n v="1"/>
    <n v="22"/>
    <n v="2"/>
    <s v="Better"/>
    <x v="1"/>
    <s v="5-10"/>
    <n v="7"/>
    <n v="0"/>
    <n v="8"/>
    <n v="729"/>
  </r>
  <r>
    <n v="35"/>
    <x v="2"/>
    <x v="1"/>
    <s v="Travel_Rarely"/>
    <n v="583"/>
    <x v="0"/>
    <n v="25"/>
    <s v="Master"/>
    <x v="2"/>
    <s v="High"/>
    <x v="1"/>
    <n v="57"/>
    <s v="High"/>
    <x v="2"/>
    <s v="Healthcare Representative"/>
    <s v="High"/>
    <s v="Divorced"/>
    <n v="10388"/>
    <n v="6975"/>
    <n v="1"/>
    <s v="Yes"/>
    <n v="11"/>
    <s v="Excellent"/>
    <s v="High"/>
    <n v="1"/>
    <n v="16"/>
    <n v="3"/>
    <s v="Good"/>
    <x v="22"/>
    <s v="10-40"/>
    <n v="10"/>
    <n v="10"/>
    <n v="1"/>
    <n v="730"/>
  </r>
  <r>
    <n v="30"/>
    <x v="2"/>
    <x v="1"/>
    <s v="Travel_Rarely"/>
    <n v="153"/>
    <x v="0"/>
    <n v="8"/>
    <s v="College"/>
    <x v="0"/>
    <s v="Medium"/>
    <x v="1"/>
    <n v="73"/>
    <s v="Very High"/>
    <x v="2"/>
    <s v="Research Director"/>
    <s v="Low"/>
    <s v="Married"/>
    <n v="11416"/>
    <n v="17802"/>
    <n v="0"/>
    <s v="Yes"/>
    <n v="12"/>
    <s v="Excellent"/>
    <s v="High"/>
    <n v="3"/>
    <n v="9"/>
    <n v="4"/>
    <s v="Good"/>
    <x v="3"/>
    <s v="5-10"/>
    <n v="7"/>
    <n v="1"/>
    <n v="7"/>
    <n v="731"/>
  </r>
  <r>
    <n v="20"/>
    <x v="4"/>
    <x v="0"/>
    <s v="Travel_Rarely"/>
    <n v="1097"/>
    <x v="0"/>
    <n v="11"/>
    <s v="Bachelor"/>
    <x v="2"/>
    <s v="Very High"/>
    <x v="1"/>
    <n v="98"/>
    <s v="Medium"/>
    <x v="1"/>
    <s v="Research Scientist"/>
    <s v="Low"/>
    <s v="Single"/>
    <n v="2600"/>
    <n v="18275"/>
    <n v="1"/>
    <s v="Yes"/>
    <n v="15"/>
    <s v="Excellent"/>
    <s v="Low"/>
    <n v="0"/>
    <n v="1"/>
    <n v="2"/>
    <s v="Better"/>
    <x v="6"/>
    <s v="0-5"/>
    <n v="0"/>
    <n v="0"/>
    <n v="0"/>
    <n v="732"/>
  </r>
  <r>
    <n v="30"/>
    <x v="2"/>
    <x v="0"/>
    <s v="Travel_Frequently"/>
    <n v="109"/>
    <x v="0"/>
    <n v="5"/>
    <s v="Bachelor"/>
    <x v="2"/>
    <s v="Medium"/>
    <x v="1"/>
    <n v="60"/>
    <s v="High"/>
    <x v="1"/>
    <s v="Laboratory Technician"/>
    <s v="Medium"/>
    <s v="Single"/>
    <n v="2422"/>
    <n v="25725"/>
    <n v="0"/>
    <s v="No"/>
    <n v="17"/>
    <s v="Excellent"/>
    <s v="Low"/>
    <n v="0"/>
    <n v="4"/>
    <n v="3"/>
    <s v="Better"/>
    <x v="11"/>
    <s v="0-5"/>
    <n v="2"/>
    <n v="1"/>
    <n v="2"/>
    <n v="733"/>
  </r>
  <r>
    <n v="26"/>
    <x v="2"/>
    <x v="1"/>
    <s v="Travel_Rarely"/>
    <n v="1066"/>
    <x v="0"/>
    <n v="2"/>
    <s v="College"/>
    <x v="2"/>
    <s v="Very High"/>
    <x v="0"/>
    <n v="32"/>
    <s v="Very High"/>
    <x v="0"/>
    <s v="Manufacturing Director"/>
    <s v="Very High"/>
    <s v="Married"/>
    <n v="5472"/>
    <n v="3334"/>
    <n v="1"/>
    <s v="No"/>
    <n v="12"/>
    <s v="Excellent"/>
    <s v="Medium"/>
    <n v="0"/>
    <n v="8"/>
    <n v="2"/>
    <s v="Better"/>
    <x v="3"/>
    <s v="5-10"/>
    <n v="7"/>
    <n v="1"/>
    <n v="3"/>
    <n v="734"/>
  </r>
  <r>
    <n v="22"/>
    <x v="4"/>
    <x v="1"/>
    <s v="Travel_Rarely"/>
    <n v="217"/>
    <x v="0"/>
    <n v="8"/>
    <s v="Below College"/>
    <x v="0"/>
    <s v="Medium"/>
    <x v="0"/>
    <n v="94"/>
    <s v="Low"/>
    <x v="1"/>
    <s v="Laboratory Technician"/>
    <s v="Low"/>
    <s v="Married"/>
    <n v="2451"/>
    <n v="6881"/>
    <n v="1"/>
    <s v="No"/>
    <n v="15"/>
    <s v="Excellent"/>
    <s v="Low"/>
    <n v="1"/>
    <n v="4"/>
    <n v="3"/>
    <s v="Good"/>
    <x v="9"/>
    <s v="0-5"/>
    <n v="3"/>
    <n v="1"/>
    <n v="1"/>
    <n v="735"/>
  </r>
  <r>
    <n v="48"/>
    <x v="1"/>
    <x v="1"/>
    <s v="Travel_Rarely"/>
    <n v="277"/>
    <x v="0"/>
    <n v="6"/>
    <s v="Bachelor"/>
    <x v="0"/>
    <s v="Low"/>
    <x v="0"/>
    <n v="97"/>
    <s v="Medium"/>
    <x v="0"/>
    <s v="Healthcare Representative"/>
    <s v="High"/>
    <s v="Single"/>
    <n v="4240"/>
    <n v="13119"/>
    <n v="2"/>
    <s v="No"/>
    <n v="13"/>
    <s v="Excellent"/>
    <s v="Very High"/>
    <n v="0"/>
    <n v="19"/>
    <n v="0"/>
    <s v="Better"/>
    <x v="4"/>
    <s v="0-5"/>
    <n v="2"/>
    <n v="2"/>
    <n v="2"/>
    <n v="736"/>
  </r>
  <r>
    <n v="48"/>
    <x v="1"/>
    <x v="1"/>
    <s v="Travel_Rarely"/>
    <n v="1355"/>
    <x v="0"/>
    <n v="4"/>
    <s v="Master"/>
    <x v="0"/>
    <s v="High"/>
    <x v="0"/>
    <n v="78"/>
    <s v="Medium"/>
    <x v="2"/>
    <s v="Healthcare Representative"/>
    <s v="High"/>
    <s v="Single"/>
    <n v="10999"/>
    <n v="22245"/>
    <n v="7"/>
    <s v="No"/>
    <n v="14"/>
    <s v="Excellent"/>
    <s v="Medium"/>
    <n v="0"/>
    <n v="27"/>
    <n v="3"/>
    <s v="Better"/>
    <x v="15"/>
    <s v="10-40"/>
    <n v="11"/>
    <n v="4"/>
    <n v="8"/>
    <n v="737"/>
  </r>
  <r>
    <n v="41"/>
    <x v="0"/>
    <x v="1"/>
    <s v="Travel_Rarely"/>
    <n v="549"/>
    <x v="0"/>
    <n v="7"/>
    <s v="College"/>
    <x v="2"/>
    <s v="Very High"/>
    <x v="1"/>
    <n v="42"/>
    <s v="High"/>
    <x v="0"/>
    <s v="Manufacturing Director"/>
    <s v="High"/>
    <s v="Single"/>
    <n v="5003"/>
    <n v="23371"/>
    <n v="6"/>
    <s v="No"/>
    <n v="14"/>
    <s v="Excellent"/>
    <s v="Medium"/>
    <n v="0"/>
    <n v="8"/>
    <n v="6"/>
    <s v="Better"/>
    <x v="4"/>
    <s v="0-5"/>
    <n v="2"/>
    <n v="2"/>
    <n v="1"/>
    <n v="738"/>
  </r>
  <r>
    <n v="39"/>
    <x v="0"/>
    <x v="1"/>
    <s v="Travel_Rarely"/>
    <n v="466"/>
    <x v="0"/>
    <n v="1"/>
    <s v="Below College"/>
    <x v="0"/>
    <s v="Very High"/>
    <x v="1"/>
    <n v="65"/>
    <s v="Medium"/>
    <x v="3"/>
    <s v="Manufacturing Director"/>
    <s v="Very High"/>
    <s v="Married"/>
    <n v="12742"/>
    <n v="7060"/>
    <n v="1"/>
    <s v="No"/>
    <n v="16"/>
    <s v="Excellent"/>
    <s v="High"/>
    <n v="1"/>
    <n v="21"/>
    <n v="3"/>
    <s v="Better"/>
    <x v="17"/>
    <s v="10-40"/>
    <n v="6"/>
    <n v="11"/>
    <n v="8"/>
    <n v="739"/>
  </r>
  <r>
    <n v="27"/>
    <x v="2"/>
    <x v="1"/>
    <s v="Travel_Rarely"/>
    <n v="1055"/>
    <x v="0"/>
    <n v="2"/>
    <s v="Master"/>
    <x v="0"/>
    <s v="Low"/>
    <x v="1"/>
    <n v="47"/>
    <s v="High"/>
    <x v="0"/>
    <s v="Manufacturing Director"/>
    <s v="Very High"/>
    <s v="Married"/>
    <n v="4227"/>
    <n v="4658"/>
    <n v="0"/>
    <s v="No"/>
    <n v="18"/>
    <s v="Excellent"/>
    <s v="Medium"/>
    <n v="1"/>
    <n v="4"/>
    <n v="2"/>
    <s v="Better"/>
    <x v="11"/>
    <s v="0-5"/>
    <n v="2"/>
    <n v="2"/>
    <n v="2"/>
    <n v="740"/>
  </r>
  <r>
    <n v="35"/>
    <x v="2"/>
    <x v="1"/>
    <s v="Travel_Rarely"/>
    <n v="802"/>
    <x v="0"/>
    <n v="10"/>
    <s v="Bachelor"/>
    <x v="1"/>
    <s v="Medium"/>
    <x v="0"/>
    <n v="45"/>
    <s v="High"/>
    <x v="1"/>
    <s v="Laboratory Technician"/>
    <s v="Very High"/>
    <s v="Divorced"/>
    <n v="3917"/>
    <n v="9541"/>
    <n v="1"/>
    <s v="No"/>
    <n v="20"/>
    <s v="Outstanding"/>
    <s v="Low"/>
    <n v="1"/>
    <n v="3"/>
    <n v="4"/>
    <s v="Good"/>
    <x v="11"/>
    <s v="0-5"/>
    <n v="2"/>
    <n v="1"/>
    <n v="2"/>
    <n v="741"/>
  </r>
  <r>
    <n v="42"/>
    <x v="0"/>
    <x v="1"/>
    <s v="Travel_Rarely"/>
    <n v="265"/>
    <x v="1"/>
    <n v="5"/>
    <s v="College"/>
    <x v="3"/>
    <s v="Very High"/>
    <x v="0"/>
    <n v="90"/>
    <s v="High"/>
    <x v="4"/>
    <s v="Manager"/>
    <s v="High"/>
    <s v="Married"/>
    <n v="18303"/>
    <n v="7770"/>
    <n v="6"/>
    <s v="No"/>
    <n v="13"/>
    <s v="Excellent"/>
    <s v="Medium"/>
    <n v="0"/>
    <n v="21"/>
    <n v="3"/>
    <s v="Best"/>
    <x v="6"/>
    <s v="0-5"/>
    <n v="0"/>
    <n v="0"/>
    <n v="0"/>
    <n v="742"/>
  </r>
  <r>
    <n v="50"/>
    <x v="1"/>
    <x v="1"/>
    <s v="Travel_Rarely"/>
    <n v="804"/>
    <x v="0"/>
    <n v="9"/>
    <s v="Bachelor"/>
    <x v="0"/>
    <s v="Low"/>
    <x v="0"/>
    <n v="64"/>
    <s v="High"/>
    <x v="1"/>
    <s v="Laboratory Technician"/>
    <s v="Very High"/>
    <s v="Married"/>
    <n v="2380"/>
    <n v="20165"/>
    <n v="4"/>
    <s v="No"/>
    <n v="18"/>
    <s v="Excellent"/>
    <s v="Medium"/>
    <n v="0"/>
    <n v="8"/>
    <n v="5"/>
    <s v="Better"/>
    <x v="6"/>
    <s v="0-5"/>
    <n v="0"/>
    <n v="0"/>
    <n v="0"/>
    <n v="743"/>
  </r>
  <r>
    <n v="59"/>
    <x v="3"/>
    <x v="1"/>
    <s v="Travel_Rarely"/>
    <n v="715"/>
    <x v="0"/>
    <n v="2"/>
    <s v="Bachelor"/>
    <x v="0"/>
    <s v="High"/>
    <x v="1"/>
    <n v="69"/>
    <s v="Medium"/>
    <x v="3"/>
    <s v="Manufacturing Director"/>
    <s v="Very High"/>
    <s v="Single"/>
    <n v="13726"/>
    <n v="21829"/>
    <n v="3"/>
    <s v="Yes"/>
    <n v="13"/>
    <s v="Excellent"/>
    <s v="Low"/>
    <n v="0"/>
    <n v="30"/>
    <n v="4"/>
    <s v="Better"/>
    <x v="8"/>
    <s v="0-5"/>
    <n v="3"/>
    <n v="4"/>
    <n v="3"/>
    <n v="744"/>
  </r>
  <r>
    <n v="37"/>
    <x v="0"/>
    <x v="0"/>
    <s v="Travel_Rarely"/>
    <n v="1141"/>
    <x v="0"/>
    <n v="11"/>
    <s v="College"/>
    <x v="2"/>
    <s v="Low"/>
    <x v="1"/>
    <n v="61"/>
    <s v="Low"/>
    <x v="0"/>
    <s v="Healthcare Representative"/>
    <s v="Medium"/>
    <s v="Married"/>
    <n v="4777"/>
    <n v="14382"/>
    <n v="5"/>
    <s v="No"/>
    <n v="15"/>
    <s v="Excellent"/>
    <s v="Low"/>
    <n v="0"/>
    <n v="15"/>
    <n v="2"/>
    <s v="Bad"/>
    <x v="6"/>
    <s v="0-5"/>
    <n v="0"/>
    <n v="0"/>
    <n v="0"/>
    <n v="745"/>
  </r>
  <r>
    <n v="55"/>
    <x v="1"/>
    <x v="1"/>
    <s v="Travel_Frequently"/>
    <n v="135"/>
    <x v="0"/>
    <n v="18"/>
    <s v="Master"/>
    <x v="2"/>
    <s v="High"/>
    <x v="0"/>
    <n v="62"/>
    <s v="High"/>
    <x v="0"/>
    <s v="Healthcare Representative"/>
    <s v="Medium"/>
    <s v="Married"/>
    <n v="6385"/>
    <n v="12992"/>
    <n v="3"/>
    <s v="Yes"/>
    <n v="14"/>
    <s v="Excellent"/>
    <s v="Very High"/>
    <n v="2"/>
    <n v="17"/>
    <n v="3"/>
    <s v="Better"/>
    <x v="3"/>
    <s v="5-10"/>
    <n v="7"/>
    <n v="6"/>
    <n v="7"/>
    <n v="746"/>
  </r>
  <r>
    <n v="41"/>
    <x v="0"/>
    <x v="1"/>
    <s v="Non-Travel"/>
    <n v="247"/>
    <x v="0"/>
    <n v="7"/>
    <s v="Below College"/>
    <x v="0"/>
    <s v="Medium"/>
    <x v="1"/>
    <n v="55"/>
    <s v="Low"/>
    <x v="4"/>
    <s v="Research Director"/>
    <s v="High"/>
    <s v="Divorced"/>
    <n v="19973"/>
    <n v="20284"/>
    <n v="1"/>
    <s v="No"/>
    <n v="22"/>
    <s v="Outstanding"/>
    <s v="Medium"/>
    <n v="2"/>
    <n v="21"/>
    <n v="3"/>
    <s v="Better"/>
    <x v="17"/>
    <s v="10-40"/>
    <n v="16"/>
    <n v="5"/>
    <n v="10"/>
    <n v="747"/>
  </r>
  <r>
    <n v="38"/>
    <x v="0"/>
    <x v="1"/>
    <s v="Travel_Rarely"/>
    <n v="1035"/>
    <x v="1"/>
    <n v="3"/>
    <s v="Master"/>
    <x v="0"/>
    <s v="Medium"/>
    <x v="0"/>
    <n v="42"/>
    <s v="High"/>
    <x v="0"/>
    <s v="Sales Executive"/>
    <s v="Very High"/>
    <s v="Single"/>
    <n v="6861"/>
    <n v="4981"/>
    <n v="8"/>
    <s v="Yes"/>
    <n v="12"/>
    <s v="Excellent"/>
    <s v="High"/>
    <n v="0"/>
    <n v="19"/>
    <n v="1"/>
    <s v="Better"/>
    <x v="6"/>
    <s v="0-5"/>
    <n v="0"/>
    <n v="0"/>
    <n v="0"/>
    <n v="748"/>
  </r>
  <r>
    <n v="26"/>
    <x v="2"/>
    <x v="0"/>
    <s v="Non-Travel"/>
    <n v="265"/>
    <x v="1"/>
    <n v="29"/>
    <s v="College"/>
    <x v="2"/>
    <s v="Medium"/>
    <x v="0"/>
    <n v="79"/>
    <s v="Low"/>
    <x v="0"/>
    <s v="Sales Executive"/>
    <s v="Low"/>
    <s v="Single"/>
    <n v="4969"/>
    <n v="21813"/>
    <n v="8"/>
    <s v="No"/>
    <n v="18"/>
    <s v="Excellent"/>
    <s v="Very High"/>
    <n v="0"/>
    <n v="7"/>
    <n v="6"/>
    <s v="Better"/>
    <x v="4"/>
    <s v="0-5"/>
    <n v="2"/>
    <n v="2"/>
    <n v="2"/>
    <n v="749"/>
  </r>
  <r>
    <n v="52"/>
    <x v="1"/>
    <x v="0"/>
    <s v="Travel_Rarely"/>
    <n v="266"/>
    <x v="1"/>
    <n v="2"/>
    <s v="Below College"/>
    <x v="3"/>
    <s v="Low"/>
    <x v="1"/>
    <n v="57"/>
    <s v="Low"/>
    <x v="4"/>
    <s v="Manager"/>
    <s v="Very High"/>
    <s v="Married"/>
    <n v="19845"/>
    <n v="25846"/>
    <n v="1"/>
    <s v="No"/>
    <n v="15"/>
    <s v="Excellent"/>
    <s v="Very High"/>
    <n v="1"/>
    <n v="33"/>
    <n v="3"/>
    <s v="Better"/>
    <x v="32"/>
    <s v="10-40"/>
    <n v="14"/>
    <n v="6"/>
    <n v="9"/>
    <n v="750"/>
  </r>
  <r>
    <n v="44"/>
    <x v="0"/>
    <x v="1"/>
    <s v="Travel_Rarely"/>
    <n v="1448"/>
    <x v="1"/>
    <n v="28"/>
    <s v="Bachelor"/>
    <x v="2"/>
    <s v="Very High"/>
    <x v="1"/>
    <n v="53"/>
    <s v="Very High"/>
    <x v="3"/>
    <s v="Sales Executive"/>
    <s v="Very High"/>
    <s v="Married"/>
    <n v="13320"/>
    <n v="11737"/>
    <n v="3"/>
    <s v="Yes"/>
    <n v="18"/>
    <s v="Excellent"/>
    <s v="High"/>
    <n v="1"/>
    <n v="23"/>
    <n v="2"/>
    <s v="Better"/>
    <x v="12"/>
    <s v="10-40"/>
    <n v="11"/>
    <n v="11"/>
    <n v="11"/>
    <n v="751"/>
  </r>
  <r>
    <n v="50"/>
    <x v="1"/>
    <x v="1"/>
    <s v="Non-Travel"/>
    <n v="145"/>
    <x v="1"/>
    <n v="1"/>
    <s v="Bachelor"/>
    <x v="0"/>
    <s v="Very High"/>
    <x v="1"/>
    <n v="95"/>
    <s v="High"/>
    <x v="0"/>
    <s v="Sales Executive"/>
    <s v="High"/>
    <s v="Married"/>
    <n v="6347"/>
    <n v="24920"/>
    <n v="0"/>
    <s v="No"/>
    <n v="12"/>
    <s v="Excellent"/>
    <s v="Low"/>
    <n v="1"/>
    <n v="19"/>
    <n v="3"/>
    <s v="Better"/>
    <x v="29"/>
    <s v="10-40"/>
    <n v="7"/>
    <n v="0"/>
    <n v="13"/>
    <n v="752"/>
  </r>
  <r>
    <n v="36"/>
    <x v="0"/>
    <x v="0"/>
    <s v="Travel_Rarely"/>
    <n v="885"/>
    <x v="0"/>
    <n v="16"/>
    <s v="Master"/>
    <x v="0"/>
    <s v="High"/>
    <x v="1"/>
    <n v="43"/>
    <s v="Very High"/>
    <x v="1"/>
    <s v="Laboratory Technician"/>
    <s v="Low"/>
    <s v="Single"/>
    <n v="2743"/>
    <n v="8269"/>
    <n v="1"/>
    <s v="No"/>
    <n v="16"/>
    <s v="Excellent"/>
    <s v="High"/>
    <n v="0"/>
    <n v="18"/>
    <n v="1"/>
    <s v="Better"/>
    <x v="18"/>
    <s v="10-40"/>
    <n v="13"/>
    <n v="15"/>
    <n v="14"/>
    <n v="753"/>
  </r>
  <r>
    <n v="39"/>
    <x v="0"/>
    <x v="1"/>
    <s v="Travel_Frequently"/>
    <n v="945"/>
    <x v="0"/>
    <n v="22"/>
    <s v="Bachelor"/>
    <x v="2"/>
    <s v="Very High"/>
    <x v="1"/>
    <n v="82"/>
    <s v="High"/>
    <x v="2"/>
    <s v="Manufacturing Director"/>
    <s v="Low"/>
    <s v="Single"/>
    <n v="10880"/>
    <n v="5083"/>
    <n v="1"/>
    <s v="Yes"/>
    <n v="13"/>
    <s v="Excellent"/>
    <s v="High"/>
    <n v="0"/>
    <n v="21"/>
    <n v="2"/>
    <s v="Better"/>
    <x v="17"/>
    <s v="10-40"/>
    <n v="6"/>
    <n v="2"/>
    <n v="8"/>
    <n v="754"/>
  </r>
  <r>
    <n v="33"/>
    <x v="2"/>
    <x v="1"/>
    <s v="Non-Travel"/>
    <n v="1038"/>
    <x v="1"/>
    <n v="8"/>
    <s v="Below College"/>
    <x v="0"/>
    <s v="Medium"/>
    <x v="1"/>
    <n v="88"/>
    <s v="Medium"/>
    <x v="1"/>
    <s v="Sales Representative"/>
    <s v="Very High"/>
    <s v="Single"/>
    <n v="2342"/>
    <n v="21437"/>
    <n v="0"/>
    <s v="No"/>
    <n v="19"/>
    <s v="Excellent"/>
    <s v="Very High"/>
    <n v="0"/>
    <n v="3"/>
    <n v="2"/>
    <s v="Good"/>
    <x v="4"/>
    <s v="0-5"/>
    <n v="2"/>
    <n v="2"/>
    <n v="2"/>
    <n v="755"/>
  </r>
  <r>
    <n v="45"/>
    <x v="0"/>
    <x v="1"/>
    <s v="Travel_Rarely"/>
    <n v="1234"/>
    <x v="1"/>
    <n v="11"/>
    <s v="College"/>
    <x v="0"/>
    <s v="Very High"/>
    <x v="1"/>
    <n v="90"/>
    <s v="High"/>
    <x v="3"/>
    <s v="Manager"/>
    <s v="Very High"/>
    <s v="Married"/>
    <n v="17650"/>
    <n v="5404"/>
    <n v="3"/>
    <s v="No"/>
    <n v="13"/>
    <s v="Excellent"/>
    <s v="Medium"/>
    <n v="1"/>
    <n v="26"/>
    <n v="4"/>
    <s v="Best"/>
    <x v="7"/>
    <s v="5-10"/>
    <n v="3"/>
    <n v="1"/>
    <n v="1"/>
    <n v="756"/>
  </r>
  <r>
    <n v="32"/>
    <x v="2"/>
    <x v="1"/>
    <s v="Non-Travel"/>
    <n v="1109"/>
    <x v="0"/>
    <n v="29"/>
    <s v="Master"/>
    <x v="2"/>
    <s v="Very High"/>
    <x v="1"/>
    <n v="69"/>
    <s v="High"/>
    <x v="1"/>
    <s v="Laboratory Technician"/>
    <s v="High"/>
    <s v="Single"/>
    <n v="4025"/>
    <n v="11135"/>
    <n v="9"/>
    <s v="No"/>
    <n v="12"/>
    <s v="Excellent"/>
    <s v="Medium"/>
    <n v="0"/>
    <n v="10"/>
    <n v="2"/>
    <s v="Better"/>
    <x v="3"/>
    <s v="5-10"/>
    <n v="7"/>
    <n v="7"/>
    <n v="7"/>
    <n v="757"/>
  </r>
  <r>
    <n v="34"/>
    <x v="2"/>
    <x v="1"/>
    <s v="Travel_Rarely"/>
    <n v="216"/>
    <x v="1"/>
    <n v="1"/>
    <s v="Master"/>
    <x v="3"/>
    <s v="Medium"/>
    <x v="0"/>
    <n v="75"/>
    <s v="Very High"/>
    <x v="0"/>
    <s v="Sales Executive"/>
    <s v="Very High"/>
    <s v="Divorced"/>
    <n v="9725"/>
    <n v="12278"/>
    <n v="0"/>
    <s v="No"/>
    <n v="11"/>
    <s v="Excellent"/>
    <s v="Very High"/>
    <n v="1"/>
    <n v="16"/>
    <n v="2"/>
    <s v="Good"/>
    <x v="15"/>
    <s v="10-40"/>
    <n v="1"/>
    <n v="0"/>
    <n v="9"/>
    <n v="758"/>
  </r>
  <r>
    <n v="59"/>
    <x v="3"/>
    <x v="1"/>
    <s v="Travel_Rarely"/>
    <n v="1089"/>
    <x v="1"/>
    <n v="1"/>
    <s v="College"/>
    <x v="4"/>
    <s v="Medium"/>
    <x v="0"/>
    <n v="66"/>
    <s v="High"/>
    <x v="2"/>
    <s v="Manager"/>
    <s v="Very High"/>
    <s v="Married"/>
    <n v="11904"/>
    <n v="11038"/>
    <n v="3"/>
    <s v="Yes"/>
    <n v="14"/>
    <s v="Excellent"/>
    <s v="High"/>
    <n v="1"/>
    <n v="14"/>
    <n v="1"/>
    <s v="Bad"/>
    <x v="0"/>
    <s v="5-10"/>
    <n v="4"/>
    <n v="0"/>
    <n v="4"/>
    <n v="759"/>
  </r>
  <r>
    <n v="45"/>
    <x v="0"/>
    <x v="1"/>
    <s v="Travel_Rarely"/>
    <n v="788"/>
    <x v="2"/>
    <n v="24"/>
    <s v="Master"/>
    <x v="2"/>
    <s v="Medium"/>
    <x v="0"/>
    <n v="36"/>
    <s v="High"/>
    <x v="1"/>
    <s v="Human Resources"/>
    <s v="Medium"/>
    <s v="Single"/>
    <n v="2177"/>
    <n v="8318"/>
    <n v="1"/>
    <s v="No"/>
    <n v="16"/>
    <s v="Excellent"/>
    <s v="Low"/>
    <n v="0"/>
    <n v="6"/>
    <n v="3"/>
    <s v="Better"/>
    <x v="0"/>
    <s v="5-10"/>
    <n v="3"/>
    <n v="0"/>
    <n v="4"/>
    <n v="760"/>
  </r>
  <r>
    <n v="53"/>
    <x v="1"/>
    <x v="1"/>
    <s v="Travel_Frequently"/>
    <n v="124"/>
    <x v="1"/>
    <n v="2"/>
    <s v="Bachelor"/>
    <x v="3"/>
    <s v="High"/>
    <x v="1"/>
    <n v="38"/>
    <s v="Medium"/>
    <x v="2"/>
    <s v="Sales Executive"/>
    <s v="Medium"/>
    <s v="Married"/>
    <n v="7525"/>
    <n v="23537"/>
    <n v="2"/>
    <s v="No"/>
    <n v="12"/>
    <s v="Excellent"/>
    <s v="Low"/>
    <n v="1"/>
    <n v="30"/>
    <n v="2"/>
    <s v="Better"/>
    <x v="15"/>
    <s v="10-40"/>
    <n v="7"/>
    <n v="6"/>
    <n v="12"/>
    <n v="761"/>
  </r>
  <r>
    <n v="36"/>
    <x v="0"/>
    <x v="0"/>
    <s v="Travel_Rarely"/>
    <n v="660"/>
    <x v="0"/>
    <n v="15"/>
    <s v="Bachelor"/>
    <x v="1"/>
    <s v="Low"/>
    <x v="0"/>
    <n v="81"/>
    <s v="High"/>
    <x v="0"/>
    <s v="Laboratory Technician"/>
    <s v="High"/>
    <s v="Divorced"/>
    <n v="4834"/>
    <n v="7858"/>
    <n v="7"/>
    <s v="No"/>
    <n v="14"/>
    <s v="Excellent"/>
    <s v="Medium"/>
    <n v="1"/>
    <n v="9"/>
    <n v="3"/>
    <s v="Good"/>
    <x v="6"/>
    <s v="0-5"/>
    <n v="0"/>
    <n v="0"/>
    <n v="0"/>
    <n v="762"/>
  </r>
  <r>
    <n v="26"/>
    <x v="2"/>
    <x v="0"/>
    <s v="Travel_Frequently"/>
    <n v="342"/>
    <x v="0"/>
    <n v="2"/>
    <s v="Bachelor"/>
    <x v="0"/>
    <s v="Low"/>
    <x v="0"/>
    <n v="57"/>
    <s v="High"/>
    <x v="1"/>
    <s v="Research Scientist"/>
    <s v="Low"/>
    <s v="Married"/>
    <n v="2042"/>
    <n v="15346"/>
    <n v="6"/>
    <s v="Yes"/>
    <n v="14"/>
    <s v="Excellent"/>
    <s v="Medium"/>
    <n v="1"/>
    <n v="6"/>
    <n v="2"/>
    <s v="Better"/>
    <x v="11"/>
    <s v="0-5"/>
    <n v="2"/>
    <n v="1"/>
    <n v="2"/>
    <n v="763"/>
  </r>
  <r>
    <n v="34"/>
    <x v="2"/>
    <x v="1"/>
    <s v="Travel_Rarely"/>
    <n v="1333"/>
    <x v="1"/>
    <n v="10"/>
    <s v="Master"/>
    <x v="0"/>
    <s v="High"/>
    <x v="1"/>
    <n v="87"/>
    <s v="High"/>
    <x v="1"/>
    <s v="Sales Representative"/>
    <s v="High"/>
    <s v="Married"/>
    <n v="2220"/>
    <n v="18410"/>
    <n v="1"/>
    <s v="Yes"/>
    <n v="19"/>
    <s v="Excellent"/>
    <s v="Very High"/>
    <n v="1"/>
    <n v="1"/>
    <n v="2"/>
    <s v="Better"/>
    <x v="6"/>
    <s v="0-5"/>
    <n v="1"/>
    <n v="0"/>
    <n v="0"/>
    <n v="764"/>
  </r>
  <r>
    <n v="28"/>
    <x v="2"/>
    <x v="1"/>
    <s v="Travel_Rarely"/>
    <n v="1144"/>
    <x v="1"/>
    <n v="10"/>
    <s v="Below College"/>
    <x v="2"/>
    <s v="Very High"/>
    <x v="0"/>
    <n v="74"/>
    <s v="High"/>
    <x v="1"/>
    <s v="Sales Representative"/>
    <s v="Medium"/>
    <s v="Married"/>
    <n v="1052"/>
    <n v="23384"/>
    <n v="1"/>
    <s v="No"/>
    <n v="22"/>
    <s v="Outstanding"/>
    <s v="Medium"/>
    <n v="0"/>
    <n v="1"/>
    <n v="5"/>
    <s v="Better"/>
    <x v="6"/>
    <s v="0-5"/>
    <n v="0"/>
    <n v="0"/>
    <n v="0"/>
    <n v="765"/>
  </r>
  <r>
    <n v="38"/>
    <x v="0"/>
    <x v="1"/>
    <s v="Travel_Frequently"/>
    <n v="1186"/>
    <x v="0"/>
    <n v="3"/>
    <s v="Master"/>
    <x v="1"/>
    <s v="High"/>
    <x v="0"/>
    <n v="44"/>
    <s v="High"/>
    <x v="1"/>
    <s v="Research Scientist"/>
    <s v="High"/>
    <s v="Married"/>
    <n v="2821"/>
    <n v="2997"/>
    <n v="3"/>
    <s v="No"/>
    <n v="16"/>
    <s v="Excellent"/>
    <s v="Low"/>
    <n v="1"/>
    <n v="8"/>
    <n v="2"/>
    <s v="Better"/>
    <x v="4"/>
    <s v="0-5"/>
    <n v="2"/>
    <n v="2"/>
    <n v="2"/>
    <n v="766"/>
  </r>
  <r>
    <n v="50"/>
    <x v="1"/>
    <x v="1"/>
    <s v="Travel_Rarely"/>
    <n v="1464"/>
    <x v="0"/>
    <n v="2"/>
    <s v="Master"/>
    <x v="2"/>
    <s v="Medium"/>
    <x v="0"/>
    <n v="62"/>
    <s v="High"/>
    <x v="4"/>
    <s v="Research Director"/>
    <s v="High"/>
    <s v="Married"/>
    <n v="19237"/>
    <n v="12853"/>
    <n v="2"/>
    <s v="Yes"/>
    <n v="11"/>
    <s v="Excellent"/>
    <s v="Very High"/>
    <n v="1"/>
    <n v="29"/>
    <n v="2"/>
    <s v="Good"/>
    <x v="3"/>
    <s v="5-10"/>
    <n v="1"/>
    <n v="7"/>
    <n v="7"/>
    <n v="767"/>
  </r>
  <r>
    <n v="37"/>
    <x v="0"/>
    <x v="1"/>
    <s v="Travel_Rarely"/>
    <n v="124"/>
    <x v="0"/>
    <n v="3"/>
    <s v="Bachelor"/>
    <x v="1"/>
    <s v="Very High"/>
    <x v="1"/>
    <n v="35"/>
    <s v="High"/>
    <x v="0"/>
    <s v="Healthcare Representative"/>
    <s v="Medium"/>
    <s v="Single"/>
    <n v="4107"/>
    <n v="13848"/>
    <n v="3"/>
    <s v="No"/>
    <n v="15"/>
    <s v="Excellent"/>
    <s v="Low"/>
    <n v="0"/>
    <n v="8"/>
    <n v="3"/>
    <s v="Good"/>
    <x v="9"/>
    <s v="0-5"/>
    <n v="3"/>
    <n v="0"/>
    <n v="1"/>
    <n v="768"/>
  </r>
  <r>
    <n v="40"/>
    <x v="0"/>
    <x v="1"/>
    <s v="Travel_Rarely"/>
    <n v="300"/>
    <x v="1"/>
    <n v="26"/>
    <s v="Bachelor"/>
    <x v="3"/>
    <s v="High"/>
    <x v="0"/>
    <n v="74"/>
    <s v="High"/>
    <x v="0"/>
    <s v="Sales Executive"/>
    <s v="Low"/>
    <s v="Married"/>
    <n v="8396"/>
    <n v="22217"/>
    <n v="1"/>
    <s v="No"/>
    <n v="14"/>
    <s v="Excellent"/>
    <s v="Medium"/>
    <n v="1"/>
    <n v="8"/>
    <n v="3"/>
    <s v="Good"/>
    <x v="5"/>
    <s v="5-10"/>
    <n v="7"/>
    <n v="7"/>
    <n v="5"/>
    <n v="769"/>
  </r>
  <r>
    <n v="26"/>
    <x v="2"/>
    <x v="1"/>
    <s v="Travel_Frequently"/>
    <n v="921"/>
    <x v="0"/>
    <n v="1"/>
    <s v="Below College"/>
    <x v="2"/>
    <s v="Low"/>
    <x v="1"/>
    <n v="66"/>
    <s v="Medium"/>
    <x v="1"/>
    <s v="Research Scientist"/>
    <s v="High"/>
    <s v="Divorced"/>
    <n v="2007"/>
    <n v="25265"/>
    <n v="1"/>
    <s v="No"/>
    <n v="13"/>
    <s v="Excellent"/>
    <s v="High"/>
    <n v="2"/>
    <n v="5"/>
    <n v="5"/>
    <s v="Better"/>
    <x v="8"/>
    <s v="0-5"/>
    <n v="3"/>
    <n v="1"/>
    <n v="3"/>
    <n v="770"/>
  </r>
  <r>
    <n v="46"/>
    <x v="1"/>
    <x v="1"/>
    <s v="Travel_Rarely"/>
    <n v="430"/>
    <x v="0"/>
    <n v="1"/>
    <s v="Master"/>
    <x v="2"/>
    <s v="Very High"/>
    <x v="0"/>
    <n v="40"/>
    <s v="High"/>
    <x v="4"/>
    <s v="Research Director"/>
    <s v="Very High"/>
    <s v="Divorced"/>
    <n v="19627"/>
    <n v="21445"/>
    <n v="9"/>
    <s v="No"/>
    <n v="17"/>
    <s v="Excellent"/>
    <s v="Very High"/>
    <n v="2"/>
    <n v="23"/>
    <n v="0"/>
    <s v="Better"/>
    <x v="4"/>
    <s v="0-5"/>
    <n v="2"/>
    <n v="2"/>
    <n v="2"/>
    <n v="771"/>
  </r>
  <r>
    <n v="54"/>
    <x v="1"/>
    <x v="1"/>
    <s v="Travel_Rarely"/>
    <n v="1082"/>
    <x v="1"/>
    <n v="2"/>
    <s v="Master"/>
    <x v="0"/>
    <s v="High"/>
    <x v="1"/>
    <n v="41"/>
    <s v="Medium"/>
    <x v="2"/>
    <s v="Sales Executive"/>
    <s v="High"/>
    <s v="Married"/>
    <n v="10686"/>
    <n v="8392"/>
    <n v="6"/>
    <s v="No"/>
    <n v="11"/>
    <s v="Excellent"/>
    <s v="Medium"/>
    <n v="1"/>
    <n v="13"/>
    <n v="4"/>
    <s v="Better"/>
    <x v="7"/>
    <s v="5-10"/>
    <n v="4"/>
    <n v="7"/>
    <n v="0"/>
    <n v="772"/>
  </r>
  <r>
    <n v="56"/>
    <x v="3"/>
    <x v="1"/>
    <s v="Travel_Frequently"/>
    <n v="1240"/>
    <x v="0"/>
    <n v="9"/>
    <s v="Bachelor"/>
    <x v="2"/>
    <s v="Low"/>
    <x v="1"/>
    <n v="63"/>
    <s v="High"/>
    <x v="1"/>
    <s v="Research Scientist"/>
    <s v="High"/>
    <s v="Married"/>
    <n v="2942"/>
    <n v="12154"/>
    <n v="2"/>
    <s v="No"/>
    <n v="19"/>
    <s v="Excellent"/>
    <s v="Medium"/>
    <n v="1"/>
    <n v="18"/>
    <n v="4"/>
    <s v="Better"/>
    <x v="8"/>
    <s v="0-5"/>
    <n v="4"/>
    <n v="0"/>
    <n v="3"/>
    <n v="773"/>
  </r>
  <r>
    <n v="36"/>
    <x v="0"/>
    <x v="1"/>
    <s v="Travel_Rarely"/>
    <n v="796"/>
    <x v="0"/>
    <n v="12"/>
    <s v="Doctor"/>
    <x v="2"/>
    <s v="Very High"/>
    <x v="1"/>
    <n v="51"/>
    <s v="Medium"/>
    <x v="2"/>
    <s v="Manufacturing Director"/>
    <s v="Very High"/>
    <s v="Single"/>
    <n v="8858"/>
    <n v="15669"/>
    <n v="0"/>
    <s v="No"/>
    <n v="11"/>
    <s v="Excellent"/>
    <s v="Medium"/>
    <n v="0"/>
    <n v="15"/>
    <n v="2"/>
    <s v="Good"/>
    <x v="13"/>
    <s v="10-40"/>
    <n v="8"/>
    <n v="7"/>
    <n v="8"/>
    <n v="774"/>
  </r>
  <r>
    <n v="55"/>
    <x v="1"/>
    <x v="1"/>
    <s v="Non-Travel"/>
    <n v="444"/>
    <x v="0"/>
    <n v="2"/>
    <s v="Below College"/>
    <x v="2"/>
    <s v="High"/>
    <x v="0"/>
    <n v="40"/>
    <s v="Medium"/>
    <x v="3"/>
    <s v="Manager"/>
    <s v="Low"/>
    <s v="Single"/>
    <n v="16756"/>
    <n v="17323"/>
    <n v="7"/>
    <s v="No"/>
    <n v="15"/>
    <s v="Excellent"/>
    <s v="Medium"/>
    <n v="0"/>
    <n v="31"/>
    <n v="3"/>
    <s v="Best"/>
    <x v="7"/>
    <s v="5-10"/>
    <n v="7"/>
    <n v="6"/>
    <n v="2"/>
    <n v="775"/>
  </r>
  <r>
    <n v="43"/>
    <x v="0"/>
    <x v="1"/>
    <s v="Travel_Rarely"/>
    <n v="415"/>
    <x v="1"/>
    <n v="25"/>
    <s v="Bachelor"/>
    <x v="2"/>
    <s v="High"/>
    <x v="0"/>
    <n v="79"/>
    <s v="Medium"/>
    <x v="2"/>
    <s v="Sales Executive"/>
    <s v="Very High"/>
    <s v="Divorced"/>
    <n v="10798"/>
    <n v="5268"/>
    <n v="5"/>
    <s v="No"/>
    <n v="13"/>
    <s v="Excellent"/>
    <s v="High"/>
    <n v="1"/>
    <n v="18"/>
    <n v="5"/>
    <s v="Better"/>
    <x v="6"/>
    <s v="0-5"/>
    <n v="0"/>
    <n v="0"/>
    <n v="0"/>
    <n v="776"/>
  </r>
  <r>
    <n v="20"/>
    <x v="4"/>
    <x v="0"/>
    <s v="Travel_Frequently"/>
    <n v="769"/>
    <x v="1"/>
    <n v="9"/>
    <s v="Bachelor"/>
    <x v="3"/>
    <s v="Very High"/>
    <x v="1"/>
    <n v="54"/>
    <s v="High"/>
    <x v="1"/>
    <s v="Sales Representative"/>
    <s v="Very High"/>
    <s v="Single"/>
    <n v="2323"/>
    <n v="17205"/>
    <n v="1"/>
    <s v="Yes"/>
    <n v="14"/>
    <s v="Excellent"/>
    <s v="Medium"/>
    <n v="0"/>
    <n v="2"/>
    <n v="3"/>
    <s v="Better"/>
    <x v="4"/>
    <s v="0-5"/>
    <n v="2"/>
    <n v="0"/>
    <n v="2"/>
    <n v="777"/>
  </r>
  <r>
    <n v="21"/>
    <x v="4"/>
    <x v="0"/>
    <s v="Travel_Rarely"/>
    <n v="1334"/>
    <x v="0"/>
    <n v="10"/>
    <s v="Bachelor"/>
    <x v="0"/>
    <s v="High"/>
    <x v="1"/>
    <n v="36"/>
    <s v="Medium"/>
    <x v="1"/>
    <s v="Laboratory Technician"/>
    <s v="Low"/>
    <s v="Single"/>
    <n v="1416"/>
    <n v="17258"/>
    <n v="1"/>
    <s v="No"/>
    <n v="13"/>
    <s v="Excellent"/>
    <s v="Low"/>
    <n v="0"/>
    <n v="1"/>
    <n v="6"/>
    <s v="Good"/>
    <x v="6"/>
    <s v="0-5"/>
    <n v="0"/>
    <n v="1"/>
    <n v="0"/>
    <n v="778"/>
  </r>
  <r>
    <n v="46"/>
    <x v="1"/>
    <x v="1"/>
    <s v="Travel_Rarely"/>
    <n v="1003"/>
    <x v="0"/>
    <n v="8"/>
    <s v="Master"/>
    <x v="0"/>
    <s v="Very High"/>
    <x v="1"/>
    <n v="74"/>
    <s v="Medium"/>
    <x v="0"/>
    <s v="Research Scientist"/>
    <s v="Low"/>
    <s v="Divorced"/>
    <n v="4615"/>
    <n v="21029"/>
    <n v="8"/>
    <s v="Yes"/>
    <n v="23"/>
    <s v="Outstanding"/>
    <s v="Low"/>
    <n v="3"/>
    <n v="19"/>
    <n v="2"/>
    <s v="Better"/>
    <x v="22"/>
    <s v="10-40"/>
    <n v="13"/>
    <n v="1"/>
    <n v="7"/>
    <n v="779"/>
  </r>
  <r>
    <n v="51"/>
    <x v="1"/>
    <x v="0"/>
    <s v="Travel_Rarely"/>
    <n v="1323"/>
    <x v="0"/>
    <n v="4"/>
    <s v="Master"/>
    <x v="0"/>
    <s v="Low"/>
    <x v="0"/>
    <n v="34"/>
    <s v="High"/>
    <x v="1"/>
    <s v="Research Scientist"/>
    <s v="High"/>
    <s v="Married"/>
    <n v="2461"/>
    <n v="10332"/>
    <n v="9"/>
    <s v="Yes"/>
    <n v="12"/>
    <s v="Excellent"/>
    <s v="High"/>
    <n v="3"/>
    <n v="18"/>
    <n v="2"/>
    <s v="Best"/>
    <x v="1"/>
    <s v="5-10"/>
    <n v="0"/>
    <n v="2"/>
    <n v="7"/>
    <n v="780"/>
  </r>
  <r>
    <n v="28"/>
    <x v="2"/>
    <x v="0"/>
    <s v="Non-Travel"/>
    <n v="1366"/>
    <x v="0"/>
    <n v="24"/>
    <s v="College"/>
    <x v="4"/>
    <s v="Medium"/>
    <x v="0"/>
    <n v="72"/>
    <s v="Medium"/>
    <x v="2"/>
    <s v="Healthcare Representative"/>
    <s v="Low"/>
    <s v="Single"/>
    <n v="8722"/>
    <n v="12355"/>
    <n v="1"/>
    <s v="No"/>
    <n v="12"/>
    <s v="Excellent"/>
    <s v="Low"/>
    <n v="0"/>
    <n v="10"/>
    <n v="2"/>
    <s v="Good"/>
    <x v="1"/>
    <s v="5-10"/>
    <n v="7"/>
    <n v="1"/>
    <n v="9"/>
    <n v="781"/>
  </r>
  <r>
    <n v="26"/>
    <x v="2"/>
    <x v="1"/>
    <s v="Travel_Rarely"/>
    <n v="192"/>
    <x v="0"/>
    <n v="1"/>
    <s v="College"/>
    <x v="2"/>
    <s v="Low"/>
    <x v="0"/>
    <n v="59"/>
    <s v="Medium"/>
    <x v="1"/>
    <s v="Laboratory Technician"/>
    <s v="Low"/>
    <s v="Married"/>
    <n v="3955"/>
    <n v="11141"/>
    <n v="1"/>
    <s v="No"/>
    <n v="16"/>
    <s v="Excellent"/>
    <s v="Low"/>
    <n v="2"/>
    <n v="6"/>
    <n v="2"/>
    <s v="Better"/>
    <x v="8"/>
    <s v="0-5"/>
    <n v="3"/>
    <n v="1"/>
    <n v="3"/>
    <n v="782"/>
  </r>
  <r>
    <n v="30"/>
    <x v="2"/>
    <x v="1"/>
    <s v="Travel_Rarely"/>
    <n v="1176"/>
    <x v="0"/>
    <n v="20"/>
    <s v="Bachelor"/>
    <x v="1"/>
    <s v="High"/>
    <x v="0"/>
    <n v="85"/>
    <s v="High"/>
    <x v="0"/>
    <s v="Manufacturing Director"/>
    <s v="Low"/>
    <s v="Married"/>
    <n v="9957"/>
    <n v="9096"/>
    <n v="0"/>
    <s v="No"/>
    <n v="15"/>
    <s v="Excellent"/>
    <s v="High"/>
    <n v="1"/>
    <n v="7"/>
    <n v="1"/>
    <s v="Good"/>
    <x v="0"/>
    <s v="5-10"/>
    <n v="2"/>
    <n v="0"/>
    <n v="2"/>
    <n v="783"/>
  </r>
  <r>
    <n v="41"/>
    <x v="0"/>
    <x v="1"/>
    <s v="Travel_Rarely"/>
    <n v="509"/>
    <x v="0"/>
    <n v="7"/>
    <s v="College"/>
    <x v="4"/>
    <s v="Medium"/>
    <x v="1"/>
    <n v="43"/>
    <s v="Very High"/>
    <x v="1"/>
    <s v="Research Scientist"/>
    <s v="High"/>
    <s v="Married"/>
    <n v="3376"/>
    <n v="18863"/>
    <n v="1"/>
    <s v="No"/>
    <n v="13"/>
    <s v="Excellent"/>
    <s v="High"/>
    <n v="0"/>
    <n v="10"/>
    <n v="3"/>
    <s v="Better"/>
    <x v="1"/>
    <s v="5-10"/>
    <n v="6"/>
    <n v="0"/>
    <n v="8"/>
    <n v="784"/>
  </r>
  <r>
    <n v="38"/>
    <x v="0"/>
    <x v="1"/>
    <s v="Travel_Rarely"/>
    <n v="330"/>
    <x v="0"/>
    <n v="17"/>
    <s v="Below College"/>
    <x v="0"/>
    <s v="High"/>
    <x v="1"/>
    <n v="65"/>
    <s v="Medium"/>
    <x v="2"/>
    <s v="Healthcare Representative"/>
    <s v="High"/>
    <s v="Married"/>
    <n v="8823"/>
    <n v="24608"/>
    <n v="0"/>
    <s v="No"/>
    <n v="18"/>
    <s v="Excellent"/>
    <s v="Low"/>
    <n v="1"/>
    <n v="20"/>
    <n v="4"/>
    <s v="Good"/>
    <x v="27"/>
    <s v="10-40"/>
    <n v="9"/>
    <n v="1"/>
    <n v="9"/>
    <n v="785"/>
  </r>
  <r>
    <n v="40"/>
    <x v="0"/>
    <x v="1"/>
    <s v="Travel_Rarely"/>
    <n v="1492"/>
    <x v="0"/>
    <n v="20"/>
    <s v="Master"/>
    <x v="4"/>
    <s v="Low"/>
    <x v="0"/>
    <n v="61"/>
    <s v="High"/>
    <x v="2"/>
    <s v="Healthcare Representative"/>
    <s v="Very High"/>
    <s v="Married"/>
    <n v="10322"/>
    <n v="26542"/>
    <n v="4"/>
    <s v="No"/>
    <n v="20"/>
    <s v="Outstanding"/>
    <s v="Very High"/>
    <n v="1"/>
    <n v="14"/>
    <n v="6"/>
    <s v="Better"/>
    <x v="19"/>
    <s v="10-40"/>
    <n v="10"/>
    <n v="11"/>
    <n v="1"/>
    <n v="786"/>
  </r>
  <r>
    <n v="27"/>
    <x v="2"/>
    <x v="1"/>
    <s v="Non-Travel"/>
    <n v="1277"/>
    <x v="0"/>
    <n v="8"/>
    <s v="Doctor"/>
    <x v="0"/>
    <s v="Low"/>
    <x v="0"/>
    <n v="87"/>
    <s v="Low"/>
    <x v="1"/>
    <s v="Laboratory Technician"/>
    <s v="High"/>
    <s v="Married"/>
    <n v="4621"/>
    <n v="5869"/>
    <n v="1"/>
    <s v="No"/>
    <n v="19"/>
    <s v="Excellent"/>
    <s v="Very High"/>
    <n v="3"/>
    <n v="3"/>
    <n v="4"/>
    <s v="Better"/>
    <x v="11"/>
    <s v="0-5"/>
    <n v="2"/>
    <n v="1"/>
    <n v="2"/>
    <n v="787"/>
  </r>
  <r>
    <n v="55"/>
    <x v="1"/>
    <x v="1"/>
    <s v="Travel_Frequently"/>
    <n v="1091"/>
    <x v="0"/>
    <n v="2"/>
    <s v="Below College"/>
    <x v="0"/>
    <s v="Very High"/>
    <x v="0"/>
    <n v="65"/>
    <s v="High"/>
    <x v="2"/>
    <s v="Manufacturing Director"/>
    <s v="Medium"/>
    <s v="Married"/>
    <n v="10976"/>
    <n v="15813"/>
    <n v="3"/>
    <s v="No"/>
    <n v="18"/>
    <s v="Excellent"/>
    <s v="Medium"/>
    <n v="1"/>
    <n v="23"/>
    <n v="4"/>
    <s v="Better"/>
    <x v="11"/>
    <s v="0-5"/>
    <n v="2"/>
    <n v="1"/>
    <n v="2"/>
    <n v="788"/>
  </r>
  <r>
    <n v="28"/>
    <x v="2"/>
    <x v="1"/>
    <s v="Travel_Rarely"/>
    <n v="857"/>
    <x v="0"/>
    <n v="10"/>
    <s v="Bachelor"/>
    <x v="1"/>
    <s v="High"/>
    <x v="1"/>
    <n v="59"/>
    <s v="High"/>
    <x v="0"/>
    <s v="Research Scientist"/>
    <s v="High"/>
    <s v="Single"/>
    <n v="3660"/>
    <n v="7909"/>
    <n v="3"/>
    <s v="No"/>
    <n v="13"/>
    <s v="Excellent"/>
    <s v="Very High"/>
    <n v="0"/>
    <n v="10"/>
    <n v="4"/>
    <s v="Best"/>
    <x v="3"/>
    <s v="5-10"/>
    <n v="7"/>
    <n v="1"/>
    <n v="7"/>
    <n v="789"/>
  </r>
  <r>
    <n v="44"/>
    <x v="0"/>
    <x v="0"/>
    <s v="Travel_Rarely"/>
    <n v="1376"/>
    <x v="2"/>
    <n v="1"/>
    <s v="College"/>
    <x v="2"/>
    <s v="Medium"/>
    <x v="0"/>
    <n v="91"/>
    <s v="Medium"/>
    <x v="2"/>
    <s v="Human Resources"/>
    <s v="Low"/>
    <s v="Married"/>
    <n v="10482"/>
    <n v="2326"/>
    <n v="9"/>
    <s v="No"/>
    <n v="14"/>
    <s v="Excellent"/>
    <s v="Very High"/>
    <n v="1"/>
    <n v="24"/>
    <n v="1"/>
    <s v="Better"/>
    <x v="23"/>
    <s v="10-40"/>
    <n v="6"/>
    <n v="3"/>
    <n v="6"/>
    <n v="790"/>
  </r>
  <r>
    <n v="33"/>
    <x v="2"/>
    <x v="1"/>
    <s v="Travel_Rarely"/>
    <n v="654"/>
    <x v="0"/>
    <n v="5"/>
    <s v="Bachelor"/>
    <x v="0"/>
    <s v="Very High"/>
    <x v="0"/>
    <n v="34"/>
    <s v="Medium"/>
    <x v="2"/>
    <s v="Healthcare Representative"/>
    <s v="Very High"/>
    <s v="Divorced"/>
    <n v="7119"/>
    <n v="21214"/>
    <n v="4"/>
    <s v="No"/>
    <n v="15"/>
    <s v="Excellent"/>
    <s v="High"/>
    <n v="1"/>
    <n v="9"/>
    <n v="2"/>
    <s v="Better"/>
    <x v="11"/>
    <s v="0-5"/>
    <n v="2"/>
    <n v="1"/>
    <n v="2"/>
    <n v="791"/>
  </r>
  <r>
    <n v="35"/>
    <x v="2"/>
    <x v="0"/>
    <s v="Travel_Rarely"/>
    <n v="1204"/>
    <x v="1"/>
    <n v="4"/>
    <s v="Bachelor"/>
    <x v="4"/>
    <s v="Very High"/>
    <x v="0"/>
    <n v="86"/>
    <s v="High"/>
    <x v="2"/>
    <s v="Sales Executive"/>
    <s v="Low"/>
    <s v="Single"/>
    <n v="9582"/>
    <n v="10333"/>
    <n v="0"/>
    <s v="Yes"/>
    <n v="22"/>
    <s v="Outstanding"/>
    <s v="Low"/>
    <n v="0"/>
    <n v="9"/>
    <n v="2"/>
    <s v="Better"/>
    <x v="3"/>
    <s v="5-10"/>
    <n v="7"/>
    <n v="4"/>
    <n v="7"/>
    <n v="792"/>
  </r>
  <r>
    <n v="33"/>
    <x v="2"/>
    <x v="0"/>
    <s v="Travel_Frequently"/>
    <n v="827"/>
    <x v="0"/>
    <n v="29"/>
    <s v="Master"/>
    <x v="2"/>
    <s v="Low"/>
    <x v="1"/>
    <n v="54"/>
    <s v="Medium"/>
    <x v="0"/>
    <s v="Research Scientist"/>
    <s v="High"/>
    <s v="Single"/>
    <n v="4508"/>
    <n v="3129"/>
    <n v="1"/>
    <s v="No"/>
    <n v="22"/>
    <s v="Outstanding"/>
    <s v="Medium"/>
    <n v="0"/>
    <n v="14"/>
    <n v="4"/>
    <s v="Better"/>
    <x v="20"/>
    <s v="10-40"/>
    <n v="7"/>
    <n v="3"/>
    <n v="8"/>
    <n v="793"/>
  </r>
  <r>
    <n v="28"/>
    <x v="2"/>
    <x v="1"/>
    <s v="Travel_Rarely"/>
    <n v="895"/>
    <x v="0"/>
    <n v="15"/>
    <s v="College"/>
    <x v="0"/>
    <s v="Low"/>
    <x v="0"/>
    <n v="50"/>
    <s v="High"/>
    <x v="1"/>
    <s v="Laboratory Technician"/>
    <s v="High"/>
    <s v="Divorced"/>
    <n v="2207"/>
    <n v="22482"/>
    <n v="1"/>
    <s v="No"/>
    <n v="16"/>
    <s v="Excellent"/>
    <s v="Very High"/>
    <n v="1"/>
    <n v="4"/>
    <n v="5"/>
    <s v="Good"/>
    <x v="9"/>
    <s v="0-5"/>
    <n v="2"/>
    <n v="2"/>
    <n v="2"/>
    <n v="794"/>
  </r>
  <r>
    <n v="34"/>
    <x v="2"/>
    <x v="1"/>
    <s v="Travel_Frequently"/>
    <n v="618"/>
    <x v="0"/>
    <n v="3"/>
    <s v="Below College"/>
    <x v="0"/>
    <s v="Low"/>
    <x v="0"/>
    <n v="45"/>
    <s v="High"/>
    <x v="0"/>
    <s v="Healthcare Representative"/>
    <s v="Very High"/>
    <s v="Single"/>
    <n v="7756"/>
    <n v="22266"/>
    <n v="0"/>
    <s v="No"/>
    <n v="17"/>
    <s v="Excellent"/>
    <s v="High"/>
    <n v="0"/>
    <n v="7"/>
    <n v="1"/>
    <s v="Good"/>
    <x v="0"/>
    <s v="5-10"/>
    <n v="2"/>
    <n v="0"/>
    <n v="4"/>
    <n v="795"/>
  </r>
  <r>
    <n v="37"/>
    <x v="0"/>
    <x v="1"/>
    <s v="Travel_Rarely"/>
    <n v="309"/>
    <x v="1"/>
    <n v="10"/>
    <s v="Master"/>
    <x v="0"/>
    <s v="Very High"/>
    <x v="1"/>
    <n v="88"/>
    <s v="Medium"/>
    <x v="0"/>
    <s v="Sales Executive"/>
    <s v="Very High"/>
    <s v="Divorced"/>
    <n v="6694"/>
    <n v="24223"/>
    <n v="2"/>
    <s v="Yes"/>
    <n v="14"/>
    <s v="Excellent"/>
    <s v="High"/>
    <n v="3"/>
    <n v="8"/>
    <n v="5"/>
    <s v="Better"/>
    <x v="6"/>
    <s v="0-5"/>
    <n v="0"/>
    <n v="0"/>
    <n v="0"/>
    <n v="796"/>
  </r>
  <r>
    <n v="25"/>
    <x v="4"/>
    <x v="0"/>
    <s v="Travel_Rarely"/>
    <n v="1219"/>
    <x v="0"/>
    <n v="4"/>
    <s v="Below College"/>
    <x v="4"/>
    <s v="Very High"/>
    <x v="0"/>
    <n v="32"/>
    <s v="High"/>
    <x v="1"/>
    <s v="Laboratory Technician"/>
    <s v="Very High"/>
    <s v="Married"/>
    <n v="3691"/>
    <n v="4605"/>
    <n v="1"/>
    <s v="Yes"/>
    <n v="15"/>
    <s v="Excellent"/>
    <s v="Medium"/>
    <n v="1"/>
    <n v="7"/>
    <n v="3"/>
    <s v="Best"/>
    <x v="5"/>
    <s v="5-10"/>
    <n v="7"/>
    <n v="5"/>
    <n v="6"/>
    <n v="797"/>
  </r>
  <r>
    <n v="26"/>
    <x v="2"/>
    <x v="0"/>
    <s v="Travel_Rarely"/>
    <n v="1330"/>
    <x v="0"/>
    <n v="21"/>
    <s v="Bachelor"/>
    <x v="2"/>
    <s v="Low"/>
    <x v="0"/>
    <n v="37"/>
    <s v="High"/>
    <x v="1"/>
    <s v="Laboratory Technician"/>
    <s v="High"/>
    <s v="Divorced"/>
    <n v="2377"/>
    <n v="19373"/>
    <n v="1"/>
    <s v="No"/>
    <n v="20"/>
    <s v="Outstanding"/>
    <s v="High"/>
    <n v="1"/>
    <n v="1"/>
    <n v="0"/>
    <s v="Good"/>
    <x v="6"/>
    <s v="0-5"/>
    <n v="1"/>
    <n v="0"/>
    <n v="0"/>
    <n v="798"/>
  </r>
  <r>
    <n v="33"/>
    <x v="2"/>
    <x v="0"/>
    <s v="Travel_Rarely"/>
    <n v="1017"/>
    <x v="0"/>
    <n v="25"/>
    <s v="Bachelor"/>
    <x v="2"/>
    <s v="Low"/>
    <x v="0"/>
    <n v="55"/>
    <s v="Medium"/>
    <x v="1"/>
    <s v="Research Scientist"/>
    <s v="Medium"/>
    <s v="Single"/>
    <n v="2313"/>
    <n v="2993"/>
    <n v="4"/>
    <s v="Yes"/>
    <n v="20"/>
    <s v="Outstanding"/>
    <s v="Medium"/>
    <n v="0"/>
    <n v="5"/>
    <n v="0"/>
    <s v="Better"/>
    <x v="4"/>
    <s v="0-5"/>
    <n v="2"/>
    <n v="2"/>
    <n v="2"/>
    <n v="799"/>
  </r>
  <r>
    <n v="42"/>
    <x v="0"/>
    <x v="1"/>
    <s v="Travel_Rarely"/>
    <n v="469"/>
    <x v="0"/>
    <n v="2"/>
    <s v="College"/>
    <x v="2"/>
    <s v="Very High"/>
    <x v="0"/>
    <n v="35"/>
    <s v="High"/>
    <x v="3"/>
    <s v="Manager"/>
    <s v="Low"/>
    <s v="Married"/>
    <n v="17665"/>
    <n v="14399"/>
    <n v="0"/>
    <s v="No"/>
    <n v="17"/>
    <s v="Excellent"/>
    <s v="Very High"/>
    <n v="1"/>
    <n v="23"/>
    <n v="3"/>
    <s v="Better"/>
    <x v="14"/>
    <s v="10-40"/>
    <n v="6"/>
    <n v="13"/>
    <n v="7"/>
    <n v="800"/>
  </r>
  <r>
    <n v="28"/>
    <x v="2"/>
    <x v="0"/>
    <s v="Travel_Frequently"/>
    <n v="1009"/>
    <x v="0"/>
    <n v="1"/>
    <s v="Bachelor"/>
    <x v="2"/>
    <s v="Low"/>
    <x v="0"/>
    <n v="45"/>
    <s v="Medium"/>
    <x v="1"/>
    <s v="Laboratory Technician"/>
    <s v="Medium"/>
    <s v="Divorced"/>
    <n v="2596"/>
    <n v="7160"/>
    <n v="1"/>
    <s v="No"/>
    <n v="15"/>
    <s v="Excellent"/>
    <s v="Low"/>
    <n v="2"/>
    <n v="1"/>
    <n v="2"/>
    <s v="Better"/>
    <x v="6"/>
    <s v="0-5"/>
    <n v="0"/>
    <n v="0"/>
    <n v="0"/>
    <n v="801"/>
  </r>
  <r>
    <n v="50"/>
    <x v="1"/>
    <x v="0"/>
    <s v="Travel_Frequently"/>
    <n v="959"/>
    <x v="1"/>
    <n v="1"/>
    <s v="Master"/>
    <x v="1"/>
    <s v="Very High"/>
    <x v="0"/>
    <n v="81"/>
    <s v="High"/>
    <x v="0"/>
    <s v="Sales Executive"/>
    <s v="High"/>
    <s v="Single"/>
    <n v="4728"/>
    <n v="17251"/>
    <n v="3"/>
    <s v="Yes"/>
    <n v="14"/>
    <s v="Excellent"/>
    <s v="Very High"/>
    <n v="0"/>
    <n v="5"/>
    <n v="4"/>
    <s v="Better"/>
    <x v="2"/>
    <s v="0-5"/>
    <n v="0"/>
    <n v="0"/>
    <n v="0"/>
    <n v="802"/>
  </r>
  <r>
    <n v="33"/>
    <x v="2"/>
    <x v="1"/>
    <s v="Travel_Frequently"/>
    <n v="970"/>
    <x v="1"/>
    <n v="7"/>
    <s v="Bachelor"/>
    <x v="0"/>
    <s v="Very High"/>
    <x v="1"/>
    <n v="30"/>
    <s v="High"/>
    <x v="0"/>
    <s v="Sales Executive"/>
    <s v="Medium"/>
    <s v="Married"/>
    <n v="4302"/>
    <n v="13401"/>
    <n v="0"/>
    <s v="No"/>
    <n v="17"/>
    <s v="Excellent"/>
    <s v="High"/>
    <n v="1"/>
    <n v="4"/>
    <n v="3"/>
    <s v="Better"/>
    <x v="11"/>
    <s v="0-5"/>
    <n v="2"/>
    <n v="0"/>
    <n v="2"/>
    <n v="803"/>
  </r>
  <r>
    <n v="34"/>
    <x v="2"/>
    <x v="1"/>
    <s v="Non-Travel"/>
    <n v="697"/>
    <x v="0"/>
    <n v="3"/>
    <s v="Master"/>
    <x v="0"/>
    <s v="High"/>
    <x v="0"/>
    <n v="40"/>
    <s v="Medium"/>
    <x v="1"/>
    <s v="Research Scientist"/>
    <s v="Very High"/>
    <s v="Married"/>
    <n v="2979"/>
    <n v="22478"/>
    <n v="3"/>
    <s v="No"/>
    <n v="17"/>
    <s v="Excellent"/>
    <s v="Very High"/>
    <n v="3"/>
    <n v="6"/>
    <n v="2"/>
    <s v="Better"/>
    <x v="2"/>
    <s v="0-5"/>
    <n v="0"/>
    <n v="0"/>
    <n v="0"/>
    <n v="804"/>
  </r>
  <r>
    <n v="48"/>
    <x v="1"/>
    <x v="1"/>
    <s v="Non-Travel"/>
    <n v="1262"/>
    <x v="0"/>
    <n v="1"/>
    <s v="Master"/>
    <x v="2"/>
    <s v="Low"/>
    <x v="0"/>
    <n v="35"/>
    <s v="Very High"/>
    <x v="3"/>
    <s v="Manager"/>
    <s v="Very High"/>
    <s v="Single"/>
    <n v="16885"/>
    <n v="16154"/>
    <n v="2"/>
    <s v="No"/>
    <n v="22"/>
    <s v="Outstanding"/>
    <s v="High"/>
    <n v="0"/>
    <n v="27"/>
    <n v="3"/>
    <s v="Good"/>
    <x v="8"/>
    <s v="0-5"/>
    <n v="4"/>
    <n v="2"/>
    <n v="1"/>
    <n v="805"/>
  </r>
  <r>
    <n v="45"/>
    <x v="0"/>
    <x v="1"/>
    <s v="Non-Travel"/>
    <n v="1050"/>
    <x v="1"/>
    <n v="9"/>
    <s v="Master"/>
    <x v="0"/>
    <s v="Medium"/>
    <x v="1"/>
    <n v="65"/>
    <s v="Medium"/>
    <x v="0"/>
    <s v="Sales Executive"/>
    <s v="High"/>
    <s v="Married"/>
    <n v="5593"/>
    <n v="17970"/>
    <n v="1"/>
    <s v="No"/>
    <n v="13"/>
    <s v="Excellent"/>
    <s v="Very High"/>
    <n v="1"/>
    <n v="15"/>
    <n v="2"/>
    <s v="Better"/>
    <x v="15"/>
    <s v="10-40"/>
    <n v="10"/>
    <n v="4"/>
    <n v="12"/>
    <n v="806"/>
  </r>
  <r>
    <n v="52"/>
    <x v="1"/>
    <x v="1"/>
    <s v="Travel_Rarely"/>
    <n v="994"/>
    <x v="0"/>
    <n v="7"/>
    <s v="Master"/>
    <x v="0"/>
    <s v="Medium"/>
    <x v="0"/>
    <n v="87"/>
    <s v="High"/>
    <x v="2"/>
    <s v="Healthcare Representative"/>
    <s v="Medium"/>
    <s v="Single"/>
    <n v="10445"/>
    <n v="15322"/>
    <n v="7"/>
    <s v="No"/>
    <n v="19"/>
    <s v="Excellent"/>
    <s v="Very High"/>
    <n v="0"/>
    <n v="18"/>
    <n v="4"/>
    <s v="Better"/>
    <x v="3"/>
    <s v="5-10"/>
    <n v="6"/>
    <n v="4"/>
    <n v="0"/>
    <n v="807"/>
  </r>
  <r>
    <n v="38"/>
    <x v="0"/>
    <x v="1"/>
    <s v="Travel_Rarely"/>
    <n v="770"/>
    <x v="1"/>
    <n v="10"/>
    <s v="Master"/>
    <x v="3"/>
    <s v="High"/>
    <x v="0"/>
    <n v="73"/>
    <s v="Medium"/>
    <x v="2"/>
    <s v="Sales Executive"/>
    <s v="High"/>
    <s v="Divorced"/>
    <n v="8740"/>
    <n v="5569"/>
    <n v="0"/>
    <s v="Yes"/>
    <n v="14"/>
    <s v="Excellent"/>
    <s v="Medium"/>
    <n v="2"/>
    <n v="9"/>
    <n v="2"/>
    <s v="Better"/>
    <x v="3"/>
    <s v="5-10"/>
    <n v="7"/>
    <n v="2"/>
    <n v="7"/>
    <n v="808"/>
  </r>
  <r>
    <n v="29"/>
    <x v="2"/>
    <x v="1"/>
    <s v="Travel_Rarely"/>
    <n v="1107"/>
    <x v="0"/>
    <n v="28"/>
    <s v="Master"/>
    <x v="0"/>
    <s v="High"/>
    <x v="1"/>
    <n v="93"/>
    <s v="High"/>
    <x v="1"/>
    <s v="Research Scientist"/>
    <s v="Very High"/>
    <s v="Divorced"/>
    <n v="2514"/>
    <n v="26968"/>
    <n v="4"/>
    <s v="No"/>
    <n v="22"/>
    <s v="Outstanding"/>
    <s v="Low"/>
    <n v="1"/>
    <n v="11"/>
    <n v="1"/>
    <s v="Better"/>
    <x v="5"/>
    <s v="5-10"/>
    <n v="5"/>
    <n v="1"/>
    <n v="7"/>
    <n v="809"/>
  </r>
  <r>
    <n v="28"/>
    <x v="2"/>
    <x v="1"/>
    <s v="Travel_Rarely"/>
    <n v="950"/>
    <x v="0"/>
    <n v="3"/>
    <s v="Bachelor"/>
    <x v="2"/>
    <s v="Very High"/>
    <x v="1"/>
    <n v="93"/>
    <s v="High"/>
    <x v="2"/>
    <s v="Manufacturing Director"/>
    <s v="Medium"/>
    <s v="Divorced"/>
    <n v="7655"/>
    <n v="8039"/>
    <n v="0"/>
    <s v="No"/>
    <n v="17"/>
    <s v="Excellent"/>
    <s v="Medium"/>
    <n v="3"/>
    <n v="10"/>
    <n v="3"/>
    <s v="Good"/>
    <x v="7"/>
    <s v="5-10"/>
    <n v="7"/>
    <n v="1"/>
    <n v="7"/>
    <n v="810"/>
  </r>
  <r>
    <n v="46"/>
    <x v="1"/>
    <x v="1"/>
    <s v="Travel_Rarely"/>
    <n v="406"/>
    <x v="1"/>
    <n v="3"/>
    <s v="Below College"/>
    <x v="3"/>
    <s v="Low"/>
    <x v="0"/>
    <n v="52"/>
    <s v="High"/>
    <x v="3"/>
    <s v="Manager"/>
    <s v="High"/>
    <s v="Married"/>
    <n v="17465"/>
    <n v="15596"/>
    <n v="3"/>
    <s v="No"/>
    <n v="12"/>
    <s v="Excellent"/>
    <s v="Very High"/>
    <n v="1"/>
    <n v="23"/>
    <n v="3"/>
    <s v="Better"/>
    <x v="12"/>
    <s v="10-40"/>
    <n v="9"/>
    <n v="4"/>
    <n v="9"/>
    <n v="811"/>
  </r>
  <r>
    <n v="38"/>
    <x v="0"/>
    <x v="1"/>
    <s v="Travel_Rarely"/>
    <n v="130"/>
    <x v="1"/>
    <n v="2"/>
    <s v="College"/>
    <x v="3"/>
    <s v="Very High"/>
    <x v="0"/>
    <n v="32"/>
    <s v="High"/>
    <x v="2"/>
    <s v="Sales Executive"/>
    <s v="Medium"/>
    <s v="Single"/>
    <n v="7351"/>
    <n v="20619"/>
    <n v="7"/>
    <s v="No"/>
    <n v="16"/>
    <s v="Excellent"/>
    <s v="High"/>
    <n v="0"/>
    <n v="10"/>
    <n v="2"/>
    <s v="Better"/>
    <x v="6"/>
    <s v="0-5"/>
    <n v="0"/>
    <n v="0"/>
    <n v="0"/>
    <n v="812"/>
  </r>
  <r>
    <n v="43"/>
    <x v="0"/>
    <x v="1"/>
    <s v="Travel_Frequently"/>
    <n v="1082"/>
    <x v="0"/>
    <n v="27"/>
    <s v="Bachelor"/>
    <x v="0"/>
    <s v="High"/>
    <x v="1"/>
    <n v="83"/>
    <s v="High"/>
    <x v="2"/>
    <s v="Manufacturing Director"/>
    <s v="Low"/>
    <s v="Married"/>
    <n v="10820"/>
    <n v="11535"/>
    <n v="8"/>
    <s v="No"/>
    <n v="11"/>
    <s v="Excellent"/>
    <s v="High"/>
    <n v="1"/>
    <n v="18"/>
    <n v="1"/>
    <s v="Better"/>
    <x v="3"/>
    <s v="5-10"/>
    <n v="7"/>
    <n v="0"/>
    <n v="1"/>
    <n v="813"/>
  </r>
  <r>
    <n v="39"/>
    <x v="0"/>
    <x v="0"/>
    <s v="Travel_Frequently"/>
    <n v="203"/>
    <x v="0"/>
    <n v="2"/>
    <s v="Bachelor"/>
    <x v="0"/>
    <s v="Low"/>
    <x v="0"/>
    <n v="84"/>
    <s v="High"/>
    <x v="3"/>
    <s v="Healthcare Representative"/>
    <s v="Very High"/>
    <s v="Divorced"/>
    <n v="12169"/>
    <n v="13547"/>
    <n v="7"/>
    <s v="No"/>
    <n v="11"/>
    <s v="Excellent"/>
    <s v="Very High"/>
    <n v="3"/>
    <n v="21"/>
    <n v="4"/>
    <s v="Better"/>
    <x v="29"/>
    <s v="10-40"/>
    <n v="7"/>
    <n v="11"/>
    <n v="5"/>
    <n v="814"/>
  </r>
  <r>
    <n v="40"/>
    <x v="0"/>
    <x v="1"/>
    <s v="Travel_Rarely"/>
    <n v="1308"/>
    <x v="0"/>
    <n v="14"/>
    <s v="Bachelor"/>
    <x v="2"/>
    <s v="High"/>
    <x v="0"/>
    <n v="44"/>
    <s v="Medium"/>
    <x v="4"/>
    <s v="Research Director"/>
    <s v="High"/>
    <s v="Single"/>
    <n v="19626"/>
    <n v="17544"/>
    <n v="1"/>
    <s v="No"/>
    <n v="14"/>
    <s v="Excellent"/>
    <s v="Low"/>
    <n v="0"/>
    <n v="21"/>
    <n v="2"/>
    <s v="Best"/>
    <x v="23"/>
    <s v="10-40"/>
    <n v="7"/>
    <n v="4"/>
    <n v="9"/>
    <n v="815"/>
  </r>
  <r>
    <n v="21"/>
    <x v="4"/>
    <x v="1"/>
    <s v="Travel_Rarely"/>
    <n v="984"/>
    <x v="0"/>
    <n v="1"/>
    <s v="Below College"/>
    <x v="4"/>
    <s v="Very High"/>
    <x v="1"/>
    <n v="70"/>
    <s v="Medium"/>
    <x v="1"/>
    <s v="Research Scientist"/>
    <s v="Medium"/>
    <s v="Single"/>
    <n v="2070"/>
    <n v="25326"/>
    <n v="1"/>
    <s v="Yes"/>
    <n v="11"/>
    <s v="Excellent"/>
    <s v="High"/>
    <n v="0"/>
    <n v="2"/>
    <n v="6"/>
    <s v="Best"/>
    <x v="4"/>
    <s v="0-5"/>
    <n v="2"/>
    <n v="2"/>
    <n v="2"/>
    <n v="816"/>
  </r>
  <r>
    <n v="39"/>
    <x v="0"/>
    <x v="1"/>
    <s v="Non-Travel"/>
    <n v="439"/>
    <x v="0"/>
    <n v="9"/>
    <s v="Bachelor"/>
    <x v="0"/>
    <s v="High"/>
    <x v="0"/>
    <n v="70"/>
    <s v="High"/>
    <x v="0"/>
    <s v="Laboratory Technician"/>
    <s v="Medium"/>
    <s v="Single"/>
    <n v="6782"/>
    <n v="8770"/>
    <n v="9"/>
    <s v="No"/>
    <n v="15"/>
    <s v="Excellent"/>
    <s v="High"/>
    <n v="0"/>
    <n v="9"/>
    <n v="2"/>
    <s v="Good"/>
    <x v="8"/>
    <s v="0-5"/>
    <n v="4"/>
    <n v="0"/>
    <n v="3"/>
    <n v="817"/>
  </r>
  <r>
    <n v="36"/>
    <x v="0"/>
    <x v="1"/>
    <s v="Non-Travel"/>
    <n v="217"/>
    <x v="0"/>
    <n v="18"/>
    <s v="Master"/>
    <x v="0"/>
    <s v="Low"/>
    <x v="0"/>
    <n v="78"/>
    <s v="High"/>
    <x v="0"/>
    <s v="Manufacturing Director"/>
    <s v="Very High"/>
    <s v="Single"/>
    <n v="7779"/>
    <n v="23238"/>
    <n v="2"/>
    <s v="No"/>
    <n v="20"/>
    <s v="Outstanding"/>
    <s v="Low"/>
    <n v="0"/>
    <n v="18"/>
    <n v="0"/>
    <s v="Better"/>
    <x v="19"/>
    <s v="10-40"/>
    <n v="9"/>
    <n v="0"/>
    <n v="9"/>
    <n v="818"/>
  </r>
  <r>
    <n v="31"/>
    <x v="2"/>
    <x v="1"/>
    <s v="Travel_Frequently"/>
    <n v="793"/>
    <x v="1"/>
    <n v="20"/>
    <s v="Bachelor"/>
    <x v="0"/>
    <s v="High"/>
    <x v="0"/>
    <n v="67"/>
    <s v="Very High"/>
    <x v="1"/>
    <s v="Sales Representative"/>
    <s v="Very High"/>
    <s v="Married"/>
    <n v="2791"/>
    <n v="21981"/>
    <n v="0"/>
    <s v="No"/>
    <n v="12"/>
    <s v="Excellent"/>
    <s v="Low"/>
    <n v="1"/>
    <n v="3"/>
    <n v="4"/>
    <s v="Better"/>
    <x v="4"/>
    <s v="0-5"/>
    <n v="2"/>
    <n v="2"/>
    <n v="2"/>
    <n v="819"/>
  </r>
  <r>
    <n v="28"/>
    <x v="2"/>
    <x v="1"/>
    <s v="Travel_Rarely"/>
    <n v="1451"/>
    <x v="0"/>
    <n v="2"/>
    <s v="Below College"/>
    <x v="0"/>
    <s v="Low"/>
    <x v="0"/>
    <n v="67"/>
    <s v="Medium"/>
    <x v="1"/>
    <s v="Research Scientist"/>
    <s v="Medium"/>
    <s v="Married"/>
    <n v="3201"/>
    <n v="19911"/>
    <n v="0"/>
    <s v="No"/>
    <n v="17"/>
    <s v="Excellent"/>
    <s v="Low"/>
    <n v="0"/>
    <n v="6"/>
    <n v="2"/>
    <s v="Bad"/>
    <x v="8"/>
    <s v="0-5"/>
    <n v="3"/>
    <n v="0"/>
    <n v="4"/>
    <n v="820"/>
  </r>
  <r>
    <n v="35"/>
    <x v="2"/>
    <x v="1"/>
    <s v="Travel_Frequently"/>
    <n v="1182"/>
    <x v="1"/>
    <n v="11"/>
    <s v="College"/>
    <x v="3"/>
    <s v="Very High"/>
    <x v="0"/>
    <n v="54"/>
    <s v="High"/>
    <x v="0"/>
    <s v="Sales Executive"/>
    <s v="Very High"/>
    <s v="Divorced"/>
    <n v="4968"/>
    <n v="18500"/>
    <n v="1"/>
    <s v="No"/>
    <n v="11"/>
    <s v="Excellent"/>
    <s v="Very High"/>
    <n v="1"/>
    <n v="5"/>
    <n v="3"/>
    <s v="Better"/>
    <x v="8"/>
    <s v="0-5"/>
    <n v="2"/>
    <n v="0"/>
    <n v="2"/>
    <n v="821"/>
  </r>
  <r>
    <n v="49"/>
    <x v="1"/>
    <x v="1"/>
    <s v="Travel_Rarely"/>
    <n v="174"/>
    <x v="1"/>
    <n v="8"/>
    <s v="Master"/>
    <x v="4"/>
    <s v="Very High"/>
    <x v="0"/>
    <n v="56"/>
    <s v="Medium"/>
    <x v="3"/>
    <s v="Sales Executive"/>
    <s v="Medium"/>
    <s v="Married"/>
    <n v="13120"/>
    <n v="11879"/>
    <n v="6"/>
    <s v="No"/>
    <n v="17"/>
    <s v="Excellent"/>
    <s v="Medium"/>
    <n v="1"/>
    <n v="22"/>
    <n v="3"/>
    <s v="Better"/>
    <x v="7"/>
    <s v="5-10"/>
    <n v="8"/>
    <n v="2"/>
    <n v="3"/>
    <n v="822"/>
  </r>
  <r>
    <n v="34"/>
    <x v="2"/>
    <x v="1"/>
    <s v="Travel_Frequently"/>
    <n v="1003"/>
    <x v="0"/>
    <n v="2"/>
    <s v="College"/>
    <x v="0"/>
    <s v="Very High"/>
    <x v="0"/>
    <n v="95"/>
    <s v="High"/>
    <x v="0"/>
    <s v="Manufacturing Director"/>
    <s v="High"/>
    <s v="Single"/>
    <n v="4033"/>
    <n v="15834"/>
    <n v="2"/>
    <s v="No"/>
    <n v="11"/>
    <s v="Excellent"/>
    <s v="Very High"/>
    <n v="0"/>
    <n v="5"/>
    <n v="3"/>
    <s v="Good"/>
    <x v="11"/>
    <s v="0-5"/>
    <n v="2"/>
    <n v="0"/>
    <n v="2"/>
    <n v="823"/>
  </r>
  <r>
    <n v="29"/>
    <x v="2"/>
    <x v="1"/>
    <s v="Travel_Frequently"/>
    <n v="490"/>
    <x v="0"/>
    <n v="10"/>
    <s v="Bachelor"/>
    <x v="0"/>
    <s v="Very High"/>
    <x v="1"/>
    <n v="61"/>
    <s v="High"/>
    <x v="1"/>
    <s v="Research Scientist"/>
    <s v="Medium"/>
    <s v="Divorced"/>
    <n v="3291"/>
    <n v="17940"/>
    <n v="0"/>
    <s v="No"/>
    <n v="14"/>
    <s v="Excellent"/>
    <s v="Very High"/>
    <n v="2"/>
    <n v="8"/>
    <n v="2"/>
    <s v="Good"/>
    <x v="5"/>
    <s v="5-10"/>
    <n v="5"/>
    <n v="1"/>
    <n v="1"/>
    <n v="824"/>
  </r>
  <r>
    <n v="42"/>
    <x v="0"/>
    <x v="1"/>
    <s v="Travel_Rarely"/>
    <n v="188"/>
    <x v="0"/>
    <n v="29"/>
    <s v="Bachelor"/>
    <x v="2"/>
    <s v="Medium"/>
    <x v="0"/>
    <n v="56"/>
    <s v="Low"/>
    <x v="0"/>
    <s v="Laboratory Technician"/>
    <s v="Very High"/>
    <s v="Single"/>
    <n v="4272"/>
    <n v="9558"/>
    <n v="4"/>
    <s v="No"/>
    <n v="19"/>
    <s v="Excellent"/>
    <s v="Low"/>
    <n v="0"/>
    <n v="16"/>
    <n v="3"/>
    <s v="Better"/>
    <x v="6"/>
    <s v="0-5"/>
    <n v="0"/>
    <n v="0"/>
    <n v="0"/>
    <n v="825"/>
  </r>
  <r>
    <n v="29"/>
    <x v="2"/>
    <x v="1"/>
    <s v="Travel_Rarely"/>
    <n v="718"/>
    <x v="0"/>
    <n v="8"/>
    <s v="Below College"/>
    <x v="2"/>
    <s v="Medium"/>
    <x v="0"/>
    <n v="79"/>
    <s v="Medium"/>
    <x v="0"/>
    <s v="Manufacturing Director"/>
    <s v="Very High"/>
    <s v="Married"/>
    <n v="5056"/>
    <n v="17689"/>
    <n v="1"/>
    <s v="Yes"/>
    <n v="15"/>
    <s v="Excellent"/>
    <s v="High"/>
    <n v="1"/>
    <n v="10"/>
    <n v="2"/>
    <s v="Good"/>
    <x v="1"/>
    <s v="5-10"/>
    <n v="7"/>
    <n v="1"/>
    <n v="2"/>
    <n v="826"/>
  </r>
  <r>
    <n v="38"/>
    <x v="0"/>
    <x v="1"/>
    <s v="Travel_Rarely"/>
    <n v="433"/>
    <x v="2"/>
    <n v="1"/>
    <s v="Bachelor"/>
    <x v="5"/>
    <s v="High"/>
    <x v="0"/>
    <n v="37"/>
    <s v="Very High"/>
    <x v="1"/>
    <s v="Human Resources"/>
    <s v="High"/>
    <s v="Married"/>
    <n v="2844"/>
    <n v="6004"/>
    <n v="1"/>
    <s v="No"/>
    <n v="13"/>
    <s v="Excellent"/>
    <s v="Very High"/>
    <n v="1"/>
    <n v="7"/>
    <n v="2"/>
    <s v="Best"/>
    <x v="5"/>
    <s v="5-10"/>
    <n v="6"/>
    <n v="5"/>
    <n v="0"/>
    <n v="827"/>
  </r>
  <r>
    <n v="28"/>
    <x v="2"/>
    <x v="1"/>
    <s v="Travel_Frequently"/>
    <n v="773"/>
    <x v="0"/>
    <n v="6"/>
    <s v="Bachelor"/>
    <x v="0"/>
    <s v="High"/>
    <x v="0"/>
    <n v="39"/>
    <s v="Medium"/>
    <x v="1"/>
    <s v="Research Scientist"/>
    <s v="High"/>
    <s v="Divorced"/>
    <n v="2703"/>
    <n v="22088"/>
    <n v="1"/>
    <s v="Yes"/>
    <n v="14"/>
    <s v="Excellent"/>
    <s v="Very High"/>
    <n v="1"/>
    <n v="3"/>
    <n v="2"/>
    <s v="Better"/>
    <x v="11"/>
    <s v="0-5"/>
    <n v="1"/>
    <n v="0"/>
    <n v="2"/>
    <n v="828"/>
  </r>
  <r>
    <n v="18"/>
    <x v="4"/>
    <x v="0"/>
    <s v="Non-Travel"/>
    <n v="247"/>
    <x v="0"/>
    <n v="8"/>
    <s v="Below College"/>
    <x v="2"/>
    <s v="High"/>
    <x v="0"/>
    <n v="80"/>
    <s v="High"/>
    <x v="1"/>
    <s v="Laboratory Technician"/>
    <s v="High"/>
    <s v="Single"/>
    <n v="1904"/>
    <n v="13556"/>
    <n v="1"/>
    <s v="No"/>
    <n v="12"/>
    <s v="Excellent"/>
    <s v="Very High"/>
    <n v="0"/>
    <n v="0"/>
    <n v="0"/>
    <s v="Better"/>
    <x v="2"/>
    <s v="0-5"/>
    <n v="0"/>
    <n v="0"/>
    <n v="0"/>
    <n v="829"/>
  </r>
  <r>
    <n v="33"/>
    <x v="2"/>
    <x v="0"/>
    <s v="Travel_Rarely"/>
    <n v="603"/>
    <x v="1"/>
    <n v="9"/>
    <s v="Master"/>
    <x v="3"/>
    <s v="Low"/>
    <x v="1"/>
    <n v="77"/>
    <s v="High"/>
    <x v="0"/>
    <s v="Sales Executive"/>
    <s v="Low"/>
    <s v="Single"/>
    <n v="8224"/>
    <n v="18385"/>
    <n v="0"/>
    <s v="Yes"/>
    <n v="17"/>
    <s v="Excellent"/>
    <s v="Low"/>
    <n v="0"/>
    <n v="6"/>
    <n v="3"/>
    <s v="Better"/>
    <x v="8"/>
    <s v="0-5"/>
    <n v="2"/>
    <n v="0"/>
    <n v="3"/>
    <n v="830"/>
  </r>
  <r>
    <n v="41"/>
    <x v="0"/>
    <x v="1"/>
    <s v="Travel_Rarely"/>
    <n v="167"/>
    <x v="0"/>
    <n v="12"/>
    <s v="Master"/>
    <x v="0"/>
    <s v="Medium"/>
    <x v="0"/>
    <n v="46"/>
    <s v="High"/>
    <x v="1"/>
    <s v="Laboratory Technician"/>
    <s v="Very High"/>
    <s v="Married"/>
    <n v="4766"/>
    <n v="9051"/>
    <n v="3"/>
    <s v="Yes"/>
    <n v="11"/>
    <s v="Excellent"/>
    <s v="Low"/>
    <n v="1"/>
    <n v="6"/>
    <n v="4"/>
    <s v="Better"/>
    <x v="6"/>
    <s v="0-5"/>
    <n v="0"/>
    <n v="0"/>
    <n v="0"/>
    <n v="831"/>
  </r>
  <r>
    <n v="31"/>
    <x v="2"/>
    <x v="0"/>
    <s v="Travel_Frequently"/>
    <n v="874"/>
    <x v="0"/>
    <n v="15"/>
    <s v="Bachelor"/>
    <x v="2"/>
    <s v="High"/>
    <x v="0"/>
    <n v="72"/>
    <s v="High"/>
    <x v="1"/>
    <s v="Laboratory Technician"/>
    <s v="High"/>
    <s v="Married"/>
    <n v="2610"/>
    <n v="6233"/>
    <n v="1"/>
    <s v="No"/>
    <n v="12"/>
    <s v="Excellent"/>
    <s v="High"/>
    <n v="1"/>
    <n v="2"/>
    <n v="5"/>
    <s v="Good"/>
    <x v="4"/>
    <s v="0-5"/>
    <n v="2"/>
    <n v="2"/>
    <n v="2"/>
    <n v="832"/>
  </r>
  <r>
    <n v="37"/>
    <x v="0"/>
    <x v="1"/>
    <s v="Travel_Rarely"/>
    <n v="367"/>
    <x v="0"/>
    <n v="25"/>
    <s v="College"/>
    <x v="2"/>
    <s v="High"/>
    <x v="1"/>
    <n v="52"/>
    <s v="Medium"/>
    <x v="0"/>
    <s v="Healthcare Representative"/>
    <s v="Very High"/>
    <s v="Divorced"/>
    <n v="5731"/>
    <n v="17171"/>
    <n v="7"/>
    <s v="No"/>
    <n v="13"/>
    <s v="Excellent"/>
    <s v="High"/>
    <n v="2"/>
    <n v="9"/>
    <n v="2"/>
    <s v="Better"/>
    <x v="0"/>
    <s v="5-10"/>
    <n v="2"/>
    <n v="1"/>
    <n v="3"/>
    <n v="833"/>
  </r>
  <r>
    <n v="27"/>
    <x v="2"/>
    <x v="1"/>
    <s v="Travel_Rarely"/>
    <n v="199"/>
    <x v="0"/>
    <n v="6"/>
    <s v="Bachelor"/>
    <x v="0"/>
    <s v="Very High"/>
    <x v="0"/>
    <n v="55"/>
    <s v="Medium"/>
    <x v="1"/>
    <s v="Research Scientist"/>
    <s v="High"/>
    <s v="Married"/>
    <n v="2539"/>
    <n v="7950"/>
    <n v="1"/>
    <s v="No"/>
    <n v="13"/>
    <s v="Excellent"/>
    <s v="High"/>
    <n v="1"/>
    <n v="4"/>
    <n v="0"/>
    <s v="Better"/>
    <x v="9"/>
    <s v="0-5"/>
    <n v="2"/>
    <n v="2"/>
    <n v="2"/>
    <n v="834"/>
  </r>
  <r>
    <n v="34"/>
    <x v="2"/>
    <x v="1"/>
    <s v="Travel_Rarely"/>
    <n v="1400"/>
    <x v="1"/>
    <n v="9"/>
    <s v="Below College"/>
    <x v="0"/>
    <s v="Medium"/>
    <x v="1"/>
    <n v="70"/>
    <s v="High"/>
    <x v="0"/>
    <s v="Sales Executive"/>
    <s v="High"/>
    <s v="Married"/>
    <n v="5714"/>
    <n v="5829"/>
    <n v="1"/>
    <s v="No"/>
    <n v="20"/>
    <s v="Outstanding"/>
    <s v="Low"/>
    <n v="0"/>
    <n v="6"/>
    <n v="3"/>
    <s v="Good"/>
    <x v="0"/>
    <s v="5-10"/>
    <n v="5"/>
    <n v="1"/>
    <n v="3"/>
    <n v="835"/>
  </r>
  <r>
    <n v="35"/>
    <x v="2"/>
    <x v="1"/>
    <s v="Travel_Rarely"/>
    <n v="528"/>
    <x v="2"/>
    <n v="8"/>
    <s v="Master"/>
    <x v="4"/>
    <s v="High"/>
    <x v="0"/>
    <n v="100"/>
    <s v="High"/>
    <x v="1"/>
    <s v="Human Resources"/>
    <s v="High"/>
    <s v="Single"/>
    <n v="4323"/>
    <n v="7108"/>
    <n v="1"/>
    <s v="No"/>
    <n v="17"/>
    <s v="Excellent"/>
    <s v="Medium"/>
    <n v="0"/>
    <n v="6"/>
    <n v="2"/>
    <s v="Bad"/>
    <x v="8"/>
    <s v="0-5"/>
    <n v="4"/>
    <n v="1"/>
    <n v="4"/>
    <n v="836"/>
  </r>
  <r>
    <n v="29"/>
    <x v="2"/>
    <x v="0"/>
    <s v="Travel_Rarely"/>
    <n v="408"/>
    <x v="1"/>
    <n v="23"/>
    <s v="Below College"/>
    <x v="0"/>
    <s v="Very High"/>
    <x v="1"/>
    <n v="45"/>
    <s v="Medium"/>
    <x v="2"/>
    <s v="Sales Executive"/>
    <s v="Low"/>
    <s v="Married"/>
    <n v="7336"/>
    <n v="11162"/>
    <n v="1"/>
    <s v="No"/>
    <n v="13"/>
    <s v="Excellent"/>
    <s v="Low"/>
    <n v="1"/>
    <n v="11"/>
    <n v="3"/>
    <s v="Bad"/>
    <x v="19"/>
    <s v="10-40"/>
    <n v="8"/>
    <n v="3"/>
    <n v="10"/>
    <n v="837"/>
  </r>
  <r>
    <n v="40"/>
    <x v="0"/>
    <x v="1"/>
    <s v="Travel_Frequently"/>
    <n v="593"/>
    <x v="0"/>
    <n v="9"/>
    <s v="Master"/>
    <x v="2"/>
    <s v="Medium"/>
    <x v="1"/>
    <n v="88"/>
    <s v="High"/>
    <x v="2"/>
    <s v="Research Director"/>
    <s v="High"/>
    <s v="Single"/>
    <n v="13499"/>
    <n v="13782"/>
    <n v="9"/>
    <s v="No"/>
    <n v="17"/>
    <s v="Excellent"/>
    <s v="High"/>
    <n v="0"/>
    <n v="20"/>
    <n v="3"/>
    <s v="Good"/>
    <x v="29"/>
    <s v="10-40"/>
    <n v="7"/>
    <n v="2"/>
    <n v="13"/>
    <n v="838"/>
  </r>
  <r>
    <n v="42"/>
    <x v="0"/>
    <x v="0"/>
    <s v="Travel_Frequently"/>
    <n v="481"/>
    <x v="1"/>
    <n v="12"/>
    <s v="Bachelor"/>
    <x v="0"/>
    <s v="High"/>
    <x v="0"/>
    <n v="44"/>
    <s v="High"/>
    <x v="3"/>
    <s v="Sales Executive"/>
    <s v="Low"/>
    <s v="Single"/>
    <n v="13758"/>
    <n v="2447"/>
    <n v="0"/>
    <s v="Yes"/>
    <n v="12"/>
    <s v="Excellent"/>
    <s v="Medium"/>
    <n v="0"/>
    <n v="22"/>
    <n v="2"/>
    <s v="Good"/>
    <x v="17"/>
    <s v="10-40"/>
    <n v="9"/>
    <n v="13"/>
    <n v="14"/>
    <n v="839"/>
  </r>
  <r>
    <n v="42"/>
    <x v="0"/>
    <x v="1"/>
    <s v="Travel_Rarely"/>
    <n v="647"/>
    <x v="1"/>
    <n v="4"/>
    <s v="Master"/>
    <x v="3"/>
    <s v="Medium"/>
    <x v="0"/>
    <n v="45"/>
    <s v="High"/>
    <x v="0"/>
    <s v="Sales Executive"/>
    <s v="Low"/>
    <s v="Single"/>
    <n v="5155"/>
    <n v="2253"/>
    <n v="7"/>
    <s v="No"/>
    <n v="13"/>
    <s v="Excellent"/>
    <s v="Very High"/>
    <n v="0"/>
    <n v="9"/>
    <n v="3"/>
    <s v="Best"/>
    <x v="0"/>
    <s v="5-10"/>
    <n v="4"/>
    <n v="1"/>
    <n v="5"/>
    <n v="840"/>
  </r>
  <r>
    <n v="35"/>
    <x v="2"/>
    <x v="1"/>
    <s v="Travel_Rarely"/>
    <n v="982"/>
    <x v="0"/>
    <n v="1"/>
    <s v="Master"/>
    <x v="2"/>
    <s v="Very High"/>
    <x v="0"/>
    <n v="58"/>
    <s v="Medium"/>
    <x v="1"/>
    <s v="Laboratory Technician"/>
    <s v="High"/>
    <s v="Married"/>
    <n v="2258"/>
    <n v="16340"/>
    <n v="6"/>
    <s v="No"/>
    <n v="12"/>
    <s v="Excellent"/>
    <s v="Medium"/>
    <n v="1"/>
    <n v="10"/>
    <n v="2"/>
    <s v="Better"/>
    <x v="3"/>
    <s v="5-10"/>
    <n v="0"/>
    <n v="1"/>
    <n v="7"/>
    <n v="841"/>
  </r>
  <r>
    <n v="24"/>
    <x v="4"/>
    <x v="1"/>
    <s v="Travel_Rarely"/>
    <n v="477"/>
    <x v="0"/>
    <n v="24"/>
    <s v="Bachelor"/>
    <x v="2"/>
    <s v="Very High"/>
    <x v="0"/>
    <n v="49"/>
    <s v="High"/>
    <x v="1"/>
    <s v="Laboratory Technician"/>
    <s v="Medium"/>
    <s v="Single"/>
    <n v="3597"/>
    <n v="6409"/>
    <n v="8"/>
    <s v="No"/>
    <n v="22"/>
    <s v="Outstanding"/>
    <s v="Very High"/>
    <n v="0"/>
    <n v="6"/>
    <n v="2"/>
    <s v="Better"/>
    <x v="9"/>
    <s v="0-5"/>
    <n v="3"/>
    <n v="1"/>
    <n v="2"/>
    <n v="842"/>
  </r>
  <r>
    <n v="28"/>
    <x v="2"/>
    <x v="0"/>
    <s v="Travel_Rarely"/>
    <n v="1485"/>
    <x v="0"/>
    <n v="12"/>
    <s v="Below College"/>
    <x v="0"/>
    <s v="High"/>
    <x v="1"/>
    <n v="79"/>
    <s v="High"/>
    <x v="1"/>
    <s v="Laboratory Technician"/>
    <s v="Very High"/>
    <s v="Married"/>
    <n v="2515"/>
    <n v="22955"/>
    <n v="1"/>
    <s v="Yes"/>
    <n v="11"/>
    <s v="Excellent"/>
    <s v="Very High"/>
    <n v="0"/>
    <n v="1"/>
    <n v="4"/>
    <s v="Good"/>
    <x v="6"/>
    <s v="0-5"/>
    <n v="1"/>
    <n v="0"/>
    <n v="0"/>
    <n v="843"/>
  </r>
  <r>
    <n v="26"/>
    <x v="2"/>
    <x v="1"/>
    <s v="Travel_Rarely"/>
    <n v="1384"/>
    <x v="0"/>
    <n v="3"/>
    <s v="Master"/>
    <x v="2"/>
    <s v="Low"/>
    <x v="0"/>
    <n v="82"/>
    <s v="Very High"/>
    <x v="1"/>
    <s v="Laboratory Technician"/>
    <s v="Very High"/>
    <s v="Married"/>
    <n v="4420"/>
    <n v="13421"/>
    <n v="1"/>
    <s v="No"/>
    <n v="22"/>
    <s v="Outstanding"/>
    <s v="Medium"/>
    <n v="1"/>
    <n v="8"/>
    <n v="2"/>
    <s v="Better"/>
    <x v="3"/>
    <s v="5-10"/>
    <n v="7"/>
    <n v="0"/>
    <n v="7"/>
    <n v="844"/>
  </r>
  <r>
    <n v="30"/>
    <x v="2"/>
    <x v="1"/>
    <s v="Travel_Rarely"/>
    <n v="852"/>
    <x v="1"/>
    <n v="10"/>
    <s v="Bachelor"/>
    <x v="3"/>
    <s v="High"/>
    <x v="0"/>
    <n v="72"/>
    <s v="Medium"/>
    <x v="0"/>
    <s v="Sales Executive"/>
    <s v="High"/>
    <s v="Married"/>
    <n v="6578"/>
    <n v="2706"/>
    <n v="1"/>
    <s v="No"/>
    <n v="18"/>
    <s v="Excellent"/>
    <s v="Low"/>
    <n v="1"/>
    <n v="10"/>
    <n v="3"/>
    <s v="Better"/>
    <x v="1"/>
    <s v="5-10"/>
    <n v="3"/>
    <n v="1"/>
    <n v="4"/>
    <n v="845"/>
  </r>
  <r>
    <n v="40"/>
    <x v="0"/>
    <x v="1"/>
    <s v="Travel_Frequently"/>
    <n v="902"/>
    <x v="0"/>
    <n v="26"/>
    <s v="College"/>
    <x v="2"/>
    <s v="High"/>
    <x v="1"/>
    <n v="92"/>
    <s v="Medium"/>
    <x v="0"/>
    <s v="Research Scientist"/>
    <s v="Very High"/>
    <s v="Married"/>
    <n v="4422"/>
    <n v="21203"/>
    <n v="3"/>
    <s v="Yes"/>
    <n v="13"/>
    <s v="Excellent"/>
    <s v="Very High"/>
    <n v="1"/>
    <n v="16"/>
    <n v="3"/>
    <s v="Bad"/>
    <x v="6"/>
    <s v="0-5"/>
    <n v="1"/>
    <n v="0"/>
    <n v="0"/>
    <n v="846"/>
  </r>
  <r>
    <n v="35"/>
    <x v="2"/>
    <x v="1"/>
    <s v="Travel_Rarely"/>
    <n v="819"/>
    <x v="0"/>
    <n v="2"/>
    <s v="Bachelor"/>
    <x v="0"/>
    <s v="High"/>
    <x v="0"/>
    <n v="44"/>
    <s v="Medium"/>
    <x v="2"/>
    <s v="Manufacturing Director"/>
    <s v="Medium"/>
    <s v="Divorced"/>
    <n v="10274"/>
    <n v="19588"/>
    <n v="2"/>
    <s v="No"/>
    <n v="18"/>
    <s v="Excellent"/>
    <s v="Medium"/>
    <n v="1"/>
    <n v="15"/>
    <n v="2"/>
    <s v="Best"/>
    <x v="5"/>
    <s v="5-10"/>
    <n v="7"/>
    <n v="6"/>
    <n v="4"/>
    <n v="847"/>
  </r>
  <r>
    <n v="34"/>
    <x v="2"/>
    <x v="1"/>
    <s v="Travel_Frequently"/>
    <n v="669"/>
    <x v="0"/>
    <n v="1"/>
    <s v="Bachelor"/>
    <x v="2"/>
    <s v="Very High"/>
    <x v="0"/>
    <n v="97"/>
    <s v="Medium"/>
    <x v="0"/>
    <s v="Healthcare Representative"/>
    <s v="Low"/>
    <s v="Single"/>
    <n v="5343"/>
    <n v="25755"/>
    <n v="0"/>
    <s v="No"/>
    <n v="20"/>
    <s v="Outstanding"/>
    <s v="High"/>
    <n v="0"/>
    <n v="14"/>
    <n v="3"/>
    <s v="Better"/>
    <x v="20"/>
    <s v="10-40"/>
    <n v="9"/>
    <n v="4"/>
    <n v="9"/>
    <n v="848"/>
  </r>
  <r>
    <n v="35"/>
    <x v="2"/>
    <x v="1"/>
    <s v="Travel_Frequently"/>
    <n v="636"/>
    <x v="0"/>
    <n v="4"/>
    <s v="Master"/>
    <x v="1"/>
    <s v="Very High"/>
    <x v="0"/>
    <n v="47"/>
    <s v="Medium"/>
    <x v="1"/>
    <s v="Laboratory Technician"/>
    <s v="Very High"/>
    <s v="Married"/>
    <n v="2376"/>
    <n v="26537"/>
    <n v="1"/>
    <s v="No"/>
    <n v="13"/>
    <s v="Excellent"/>
    <s v="Medium"/>
    <n v="1"/>
    <n v="2"/>
    <n v="2"/>
    <s v="Best"/>
    <x v="4"/>
    <s v="0-5"/>
    <n v="2"/>
    <n v="2"/>
    <n v="2"/>
    <n v="849"/>
  </r>
  <r>
    <n v="43"/>
    <x v="0"/>
    <x v="0"/>
    <s v="Travel_Rarely"/>
    <n v="1372"/>
    <x v="1"/>
    <n v="9"/>
    <s v="Bachelor"/>
    <x v="3"/>
    <s v="Low"/>
    <x v="1"/>
    <n v="85"/>
    <s v="Low"/>
    <x v="0"/>
    <s v="Sales Executive"/>
    <s v="High"/>
    <s v="Single"/>
    <n v="5346"/>
    <n v="9489"/>
    <n v="8"/>
    <s v="No"/>
    <n v="13"/>
    <s v="Excellent"/>
    <s v="Medium"/>
    <n v="0"/>
    <n v="7"/>
    <n v="2"/>
    <s v="Good"/>
    <x v="9"/>
    <s v="0-5"/>
    <n v="3"/>
    <n v="1"/>
    <n v="3"/>
    <n v="850"/>
  </r>
  <r>
    <n v="32"/>
    <x v="2"/>
    <x v="1"/>
    <s v="Non-Travel"/>
    <n v="862"/>
    <x v="1"/>
    <n v="2"/>
    <s v="Below College"/>
    <x v="0"/>
    <s v="High"/>
    <x v="1"/>
    <n v="76"/>
    <s v="High"/>
    <x v="1"/>
    <s v="Sales Representative"/>
    <s v="Low"/>
    <s v="Divorced"/>
    <n v="2827"/>
    <n v="14947"/>
    <n v="1"/>
    <s v="No"/>
    <n v="12"/>
    <s v="Excellent"/>
    <s v="High"/>
    <n v="3"/>
    <n v="1"/>
    <n v="3"/>
    <s v="Better"/>
    <x v="6"/>
    <s v="0-5"/>
    <n v="0"/>
    <n v="0"/>
    <n v="0"/>
    <n v="851"/>
  </r>
  <r>
    <n v="56"/>
    <x v="3"/>
    <x v="1"/>
    <s v="Travel_Rarely"/>
    <n v="718"/>
    <x v="0"/>
    <n v="4"/>
    <s v="Master"/>
    <x v="4"/>
    <s v="Very High"/>
    <x v="1"/>
    <n v="92"/>
    <s v="High"/>
    <x v="4"/>
    <s v="Manager"/>
    <s v="Low"/>
    <s v="Divorced"/>
    <n v="19943"/>
    <n v="18575"/>
    <n v="4"/>
    <s v="No"/>
    <n v="13"/>
    <s v="Excellent"/>
    <s v="Very High"/>
    <n v="1"/>
    <n v="28"/>
    <n v="2"/>
    <s v="Better"/>
    <x v="8"/>
    <s v="0-5"/>
    <n v="2"/>
    <n v="4"/>
    <n v="2"/>
    <n v="852"/>
  </r>
  <r>
    <n v="29"/>
    <x v="2"/>
    <x v="1"/>
    <s v="Travel_Rarely"/>
    <n v="1401"/>
    <x v="0"/>
    <n v="6"/>
    <s v="Below College"/>
    <x v="2"/>
    <s v="Medium"/>
    <x v="1"/>
    <n v="54"/>
    <s v="High"/>
    <x v="1"/>
    <s v="Laboratory Technician"/>
    <s v="Very High"/>
    <s v="Married"/>
    <n v="3131"/>
    <n v="26342"/>
    <n v="1"/>
    <s v="No"/>
    <n v="13"/>
    <s v="Excellent"/>
    <s v="Low"/>
    <n v="1"/>
    <n v="10"/>
    <n v="5"/>
    <s v="Better"/>
    <x v="1"/>
    <s v="5-10"/>
    <n v="8"/>
    <n v="0"/>
    <n v="8"/>
    <n v="853"/>
  </r>
  <r>
    <n v="19"/>
    <x v="4"/>
    <x v="1"/>
    <s v="Travel_Rarely"/>
    <n v="645"/>
    <x v="0"/>
    <n v="9"/>
    <s v="College"/>
    <x v="0"/>
    <s v="High"/>
    <x v="0"/>
    <n v="54"/>
    <s v="High"/>
    <x v="1"/>
    <s v="Research Scientist"/>
    <s v="Low"/>
    <s v="Single"/>
    <n v="2552"/>
    <n v="7172"/>
    <n v="1"/>
    <s v="No"/>
    <n v="25"/>
    <s v="Outstanding"/>
    <s v="High"/>
    <n v="0"/>
    <n v="1"/>
    <n v="4"/>
    <s v="Better"/>
    <x v="6"/>
    <s v="0-5"/>
    <n v="1"/>
    <n v="0"/>
    <n v="0"/>
    <n v="854"/>
  </r>
  <r>
    <n v="45"/>
    <x v="0"/>
    <x v="1"/>
    <s v="Travel_Rarely"/>
    <n v="1457"/>
    <x v="0"/>
    <n v="7"/>
    <s v="Bachelor"/>
    <x v="2"/>
    <s v="Low"/>
    <x v="1"/>
    <n v="83"/>
    <s v="High"/>
    <x v="1"/>
    <s v="Research Scientist"/>
    <s v="High"/>
    <s v="Married"/>
    <n v="4477"/>
    <n v="20100"/>
    <n v="4"/>
    <s v="Yes"/>
    <n v="19"/>
    <s v="Excellent"/>
    <s v="High"/>
    <n v="1"/>
    <n v="7"/>
    <n v="2"/>
    <s v="Good"/>
    <x v="11"/>
    <s v="0-5"/>
    <n v="2"/>
    <n v="0"/>
    <n v="2"/>
    <n v="855"/>
  </r>
  <r>
    <n v="37"/>
    <x v="0"/>
    <x v="1"/>
    <s v="Travel_Rarely"/>
    <n v="977"/>
    <x v="0"/>
    <n v="1"/>
    <s v="Bachelor"/>
    <x v="0"/>
    <s v="Very High"/>
    <x v="1"/>
    <n v="56"/>
    <s v="Medium"/>
    <x v="0"/>
    <s v="Manufacturing Director"/>
    <s v="Very High"/>
    <s v="Married"/>
    <n v="6474"/>
    <n v="9961"/>
    <n v="1"/>
    <s v="No"/>
    <n v="13"/>
    <s v="Excellent"/>
    <s v="Medium"/>
    <n v="1"/>
    <n v="14"/>
    <n v="2"/>
    <s v="Good"/>
    <x v="13"/>
    <s v="10-40"/>
    <n v="8"/>
    <n v="3"/>
    <n v="11"/>
    <n v="856"/>
  </r>
  <r>
    <n v="20"/>
    <x v="4"/>
    <x v="1"/>
    <s v="Travel_Rarely"/>
    <n v="805"/>
    <x v="0"/>
    <n v="3"/>
    <s v="Bachelor"/>
    <x v="0"/>
    <s v="Low"/>
    <x v="0"/>
    <n v="87"/>
    <s v="Medium"/>
    <x v="1"/>
    <s v="Laboratory Technician"/>
    <s v="High"/>
    <s v="Single"/>
    <n v="3033"/>
    <n v="12828"/>
    <n v="1"/>
    <s v="No"/>
    <n v="12"/>
    <s v="Excellent"/>
    <s v="Low"/>
    <n v="0"/>
    <n v="2"/>
    <n v="2"/>
    <s v="Good"/>
    <x v="4"/>
    <s v="0-5"/>
    <n v="2"/>
    <n v="1"/>
    <n v="2"/>
    <n v="857"/>
  </r>
  <r>
    <n v="44"/>
    <x v="0"/>
    <x v="0"/>
    <s v="Travel_Rarely"/>
    <n v="1097"/>
    <x v="0"/>
    <n v="10"/>
    <s v="Master"/>
    <x v="0"/>
    <s v="High"/>
    <x v="0"/>
    <n v="96"/>
    <s v="High"/>
    <x v="1"/>
    <s v="Research Scientist"/>
    <s v="High"/>
    <s v="Single"/>
    <n v="2936"/>
    <n v="10826"/>
    <n v="1"/>
    <s v="Yes"/>
    <n v="11"/>
    <s v="Excellent"/>
    <s v="High"/>
    <n v="0"/>
    <n v="6"/>
    <n v="4"/>
    <s v="Better"/>
    <x v="0"/>
    <s v="5-10"/>
    <n v="4"/>
    <n v="0"/>
    <n v="2"/>
    <n v="858"/>
  </r>
  <r>
    <n v="53"/>
    <x v="1"/>
    <x v="1"/>
    <s v="Travel_Rarely"/>
    <n v="1223"/>
    <x v="0"/>
    <n v="7"/>
    <s v="College"/>
    <x v="2"/>
    <s v="Very High"/>
    <x v="1"/>
    <n v="50"/>
    <s v="High"/>
    <x v="4"/>
    <s v="Manager"/>
    <s v="High"/>
    <s v="Divorced"/>
    <n v="18606"/>
    <n v="18640"/>
    <n v="3"/>
    <s v="No"/>
    <n v="18"/>
    <s v="Excellent"/>
    <s v="Medium"/>
    <n v="1"/>
    <n v="26"/>
    <n v="6"/>
    <s v="Better"/>
    <x v="5"/>
    <s v="5-10"/>
    <n v="7"/>
    <n v="4"/>
    <n v="7"/>
    <n v="859"/>
  </r>
  <r>
    <n v="29"/>
    <x v="2"/>
    <x v="1"/>
    <s v="Travel_Rarely"/>
    <n v="942"/>
    <x v="0"/>
    <n v="15"/>
    <s v="Below College"/>
    <x v="0"/>
    <s v="Medium"/>
    <x v="1"/>
    <n v="69"/>
    <s v="Low"/>
    <x v="1"/>
    <s v="Research Scientist"/>
    <s v="Very High"/>
    <s v="Married"/>
    <n v="2168"/>
    <n v="26933"/>
    <n v="0"/>
    <s v="Yes"/>
    <n v="18"/>
    <s v="Excellent"/>
    <s v="Low"/>
    <n v="1"/>
    <n v="6"/>
    <n v="2"/>
    <s v="Good"/>
    <x v="8"/>
    <s v="0-5"/>
    <n v="4"/>
    <n v="1"/>
    <n v="3"/>
    <n v="860"/>
  </r>
  <r>
    <n v="22"/>
    <x v="4"/>
    <x v="0"/>
    <s v="Travel_Frequently"/>
    <n v="1256"/>
    <x v="0"/>
    <n v="3"/>
    <s v="Master"/>
    <x v="0"/>
    <s v="High"/>
    <x v="0"/>
    <n v="48"/>
    <s v="Medium"/>
    <x v="1"/>
    <s v="Research Scientist"/>
    <s v="Very High"/>
    <s v="Married"/>
    <n v="2853"/>
    <n v="4223"/>
    <n v="0"/>
    <s v="Yes"/>
    <n v="11"/>
    <s v="Excellent"/>
    <s v="Medium"/>
    <n v="1"/>
    <n v="1"/>
    <n v="5"/>
    <s v="Better"/>
    <x v="2"/>
    <s v="0-5"/>
    <n v="0"/>
    <n v="0"/>
    <n v="0"/>
    <n v="861"/>
  </r>
  <r>
    <n v="46"/>
    <x v="1"/>
    <x v="1"/>
    <s v="Travel_Rarely"/>
    <n v="1402"/>
    <x v="1"/>
    <n v="2"/>
    <s v="Bachelor"/>
    <x v="3"/>
    <s v="High"/>
    <x v="1"/>
    <n v="69"/>
    <s v="High"/>
    <x v="3"/>
    <s v="Manager"/>
    <s v="Low"/>
    <s v="Married"/>
    <n v="17048"/>
    <n v="24097"/>
    <n v="8"/>
    <s v="No"/>
    <n v="23"/>
    <s v="Outstanding"/>
    <s v="Low"/>
    <n v="0"/>
    <n v="28"/>
    <n v="2"/>
    <s v="Better"/>
    <x v="34"/>
    <s v="10-40"/>
    <n v="15"/>
    <n v="15"/>
    <n v="9"/>
    <n v="862"/>
  </r>
  <r>
    <n v="44"/>
    <x v="0"/>
    <x v="1"/>
    <s v="Non-Travel"/>
    <n v="111"/>
    <x v="0"/>
    <n v="17"/>
    <s v="Bachelor"/>
    <x v="0"/>
    <s v="Very High"/>
    <x v="0"/>
    <n v="74"/>
    <s v="Low"/>
    <x v="1"/>
    <s v="Research Scientist"/>
    <s v="High"/>
    <s v="Single"/>
    <n v="2290"/>
    <n v="4279"/>
    <n v="2"/>
    <s v="No"/>
    <n v="13"/>
    <s v="Excellent"/>
    <s v="Very High"/>
    <n v="0"/>
    <n v="6"/>
    <n v="3"/>
    <s v="Better"/>
    <x v="2"/>
    <s v="0-5"/>
    <n v="0"/>
    <n v="0"/>
    <n v="0"/>
    <n v="863"/>
  </r>
  <r>
    <n v="33"/>
    <x v="2"/>
    <x v="1"/>
    <s v="Travel_Rarely"/>
    <n v="147"/>
    <x v="2"/>
    <n v="2"/>
    <s v="Bachelor"/>
    <x v="5"/>
    <s v="Medium"/>
    <x v="0"/>
    <n v="99"/>
    <s v="High"/>
    <x v="1"/>
    <s v="Human Resources"/>
    <s v="High"/>
    <s v="Married"/>
    <n v="3600"/>
    <n v="8429"/>
    <n v="1"/>
    <s v="No"/>
    <n v="13"/>
    <s v="Excellent"/>
    <s v="Very High"/>
    <n v="1"/>
    <n v="5"/>
    <n v="2"/>
    <s v="Better"/>
    <x v="8"/>
    <s v="0-5"/>
    <n v="4"/>
    <n v="1"/>
    <n v="4"/>
    <n v="864"/>
  </r>
  <r>
    <n v="41"/>
    <x v="0"/>
    <x v="0"/>
    <s v="Non-Travel"/>
    <n v="906"/>
    <x v="0"/>
    <n v="5"/>
    <s v="College"/>
    <x v="0"/>
    <s v="Low"/>
    <x v="0"/>
    <n v="95"/>
    <s v="Medium"/>
    <x v="1"/>
    <s v="Research Scientist"/>
    <s v="Low"/>
    <s v="Divorced"/>
    <n v="2107"/>
    <n v="20293"/>
    <n v="6"/>
    <s v="No"/>
    <n v="17"/>
    <s v="Excellent"/>
    <s v="Low"/>
    <n v="1"/>
    <n v="5"/>
    <n v="2"/>
    <s v="Bad"/>
    <x v="6"/>
    <s v="0-5"/>
    <n v="0"/>
    <n v="0"/>
    <n v="0"/>
    <n v="865"/>
  </r>
  <r>
    <n v="30"/>
    <x v="2"/>
    <x v="1"/>
    <s v="Travel_Rarely"/>
    <n v="1329"/>
    <x v="1"/>
    <n v="29"/>
    <s v="Master"/>
    <x v="0"/>
    <s v="High"/>
    <x v="0"/>
    <n v="61"/>
    <s v="High"/>
    <x v="0"/>
    <s v="Sales Executive"/>
    <s v="Low"/>
    <s v="Divorced"/>
    <n v="4115"/>
    <n v="13192"/>
    <n v="8"/>
    <s v="No"/>
    <n v="19"/>
    <s v="Excellent"/>
    <s v="High"/>
    <n v="3"/>
    <n v="8"/>
    <n v="3"/>
    <s v="Better"/>
    <x v="9"/>
    <s v="0-5"/>
    <n v="3"/>
    <n v="0"/>
    <n v="3"/>
    <n v="866"/>
  </r>
  <r>
    <n v="40"/>
    <x v="0"/>
    <x v="1"/>
    <s v="Travel_Frequently"/>
    <n v="1184"/>
    <x v="1"/>
    <n v="2"/>
    <s v="Master"/>
    <x v="2"/>
    <s v="Medium"/>
    <x v="0"/>
    <n v="62"/>
    <s v="High"/>
    <x v="0"/>
    <s v="Sales Executive"/>
    <s v="Medium"/>
    <s v="Married"/>
    <n v="4327"/>
    <n v="25440"/>
    <n v="5"/>
    <s v="No"/>
    <n v="12"/>
    <s v="Excellent"/>
    <s v="Very High"/>
    <n v="3"/>
    <n v="5"/>
    <n v="2"/>
    <s v="Better"/>
    <x v="2"/>
    <s v="0-5"/>
    <n v="0"/>
    <n v="0"/>
    <n v="0"/>
    <n v="867"/>
  </r>
  <r>
    <n v="50"/>
    <x v="1"/>
    <x v="1"/>
    <s v="Travel_Frequently"/>
    <n v="1421"/>
    <x v="0"/>
    <n v="2"/>
    <s v="Bachelor"/>
    <x v="2"/>
    <s v="Very High"/>
    <x v="1"/>
    <n v="30"/>
    <s v="High"/>
    <x v="3"/>
    <s v="Manager"/>
    <s v="Low"/>
    <s v="Married"/>
    <n v="17856"/>
    <n v="9490"/>
    <n v="2"/>
    <s v="No"/>
    <n v="22"/>
    <s v="Outstanding"/>
    <s v="High"/>
    <n v="1"/>
    <n v="32"/>
    <n v="3"/>
    <s v="Better"/>
    <x v="4"/>
    <s v="0-5"/>
    <n v="2"/>
    <n v="2"/>
    <n v="2"/>
    <n v="868"/>
  </r>
  <r>
    <n v="28"/>
    <x v="2"/>
    <x v="1"/>
    <s v="Travel_Rarely"/>
    <n v="1179"/>
    <x v="0"/>
    <n v="19"/>
    <s v="Master"/>
    <x v="2"/>
    <s v="Very High"/>
    <x v="0"/>
    <n v="78"/>
    <s v="Medium"/>
    <x v="1"/>
    <s v="Laboratory Technician"/>
    <s v="Low"/>
    <s v="Married"/>
    <n v="3196"/>
    <n v="12449"/>
    <n v="1"/>
    <s v="No"/>
    <n v="12"/>
    <s v="Excellent"/>
    <s v="High"/>
    <n v="3"/>
    <n v="6"/>
    <n v="2"/>
    <s v="Better"/>
    <x v="0"/>
    <s v="5-10"/>
    <n v="5"/>
    <n v="3"/>
    <n v="3"/>
    <n v="869"/>
  </r>
  <r>
    <n v="46"/>
    <x v="1"/>
    <x v="1"/>
    <s v="Travel_Rarely"/>
    <n v="1450"/>
    <x v="0"/>
    <n v="15"/>
    <s v="College"/>
    <x v="0"/>
    <s v="Very High"/>
    <x v="0"/>
    <n v="52"/>
    <s v="High"/>
    <x v="4"/>
    <s v="Research Director"/>
    <s v="Medium"/>
    <s v="Married"/>
    <n v="19081"/>
    <n v="10849"/>
    <n v="5"/>
    <s v="No"/>
    <n v="11"/>
    <s v="Excellent"/>
    <s v="Low"/>
    <n v="1"/>
    <n v="25"/>
    <n v="2"/>
    <s v="Better"/>
    <x v="9"/>
    <s v="0-5"/>
    <n v="2"/>
    <n v="0"/>
    <n v="3"/>
    <n v="870"/>
  </r>
  <r>
    <n v="35"/>
    <x v="2"/>
    <x v="1"/>
    <s v="Travel_Rarely"/>
    <n v="1361"/>
    <x v="1"/>
    <n v="17"/>
    <s v="Master"/>
    <x v="0"/>
    <s v="High"/>
    <x v="0"/>
    <n v="94"/>
    <s v="High"/>
    <x v="0"/>
    <s v="Sales Executive"/>
    <s v="Low"/>
    <s v="Married"/>
    <n v="8966"/>
    <n v="21026"/>
    <n v="3"/>
    <s v="Yes"/>
    <n v="15"/>
    <s v="Excellent"/>
    <s v="Very High"/>
    <n v="3"/>
    <n v="15"/>
    <n v="2"/>
    <s v="Better"/>
    <x v="5"/>
    <s v="5-10"/>
    <n v="7"/>
    <n v="1"/>
    <n v="7"/>
    <n v="871"/>
  </r>
  <r>
    <n v="24"/>
    <x v="4"/>
    <x v="0"/>
    <s v="Travel_Rarely"/>
    <n v="984"/>
    <x v="0"/>
    <n v="17"/>
    <s v="College"/>
    <x v="0"/>
    <s v="Very High"/>
    <x v="1"/>
    <n v="97"/>
    <s v="High"/>
    <x v="1"/>
    <s v="Laboratory Technician"/>
    <s v="Medium"/>
    <s v="Married"/>
    <n v="2210"/>
    <n v="3372"/>
    <n v="1"/>
    <s v="No"/>
    <n v="13"/>
    <s v="Excellent"/>
    <s v="Low"/>
    <n v="1"/>
    <n v="1"/>
    <n v="3"/>
    <s v="Bad"/>
    <x v="6"/>
    <s v="0-5"/>
    <n v="0"/>
    <n v="0"/>
    <n v="0"/>
    <n v="872"/>
  </r>
  <r>
    <n v="33"/>
    <x v="2"/>
    <x v="1"/>
    <s v="Travel_Frequently"/>
    <n v="1146"/>
    <x v="1"/>
    <n v="25"/>
    <s v="Bachelor"/>
    <x v="2"/>
    <s v="Medium"/>
    <x v="1"/>
    <n v="82"/>
    <s v="High"/>
    <x v="0"/>
    <s v="Sales Executive"/>
    <s v="High"/>
    <s v="Married"/>
    <n v="4539"/>
    <n v="4905"/>
    <n v="1"/>
    <s v="No"/>
    <n v="12"/>
    <s v="Excellent"/>
    <s v="Low"/>
    <n v="1"/>
    <n v="10"/>
    <n v="3"/>
    <s v="Good"/>
    <x v="1"/>
    <s v="5-10"/>
    <n v="7"/>
    <n v="0"/>
    <n v="1"/>
    <n v="873"/>
  </r>
  <r>
    <n v="36"/>
    <x v="0"/>
    <x v="1"/>
    <s v="Travel_Rarely"/>
    <n v="917"/>
    <x v="0"/>
    <n v="6"/>
    <s v="Master"/>
    <x v="0"/>
    <s v="High"/>
    <x v="0"/>
    <n v="60"/>
    <s v="Low"/>
    <x v="1"/>
    <s v="Laboratory Technician"/>
    <s v="High"/>
    <s v="Divorced"/>
    <n v="2741"/>
    <n v="6865"/>
    <n v="1"/>
    <s v="No"/>
    <n v="14"/>
    <s v="Excellent"/>
    <s v="High"/>
    <n v="1"/>
    <n v="7"/>
    <n v="4"/>
    <s v="Better"/>
    <x v="5"/>
    <s v="5-10"/>
    <n v="7"/>
    <n v="1"/>
    <n v="7"/>
    <n v="874"/>
  </r>
  <r>
    <n v="30"/>
    <x v="2"/>
    <x v="1"/>
    <s v="Travel_Rarely"/>
    <n v="853"/>
    <x v="0"/>
    <n v="7"/>
    <s v="Master"/>
    <x v="0"/>
    <s v="High"/>
    <x v="0"/>
    <n v="49"/>
    <s v="High"/>
    <x v="0"/>
    <s v="Laboratory Technician"/>
    <s v="High"/>
    <s v="Divorced"/>
    <n v="3491"/>
    <n v="11309"/>
    <n v="1"/>
    <s v="No"/>
    <n v="13"/>
    <s v="Excellent"/>
    <s v="Low"/>
    <n v="3"/>
    <n v="10"/>
    <n v="4"/>
    <s v="Good"/>
    <x v="1"/>
    <s v="5-10"/>
    <n v="7"/>
    <n v="8"/>
    <n v="9"/>
    <n v="875"/>
  </r>
  <r>
    <n v="44"/>
    <x v="0"/>
    <x v="1"/>
    <s v="Travel_Rarely"/>
    <n v="200"/>
    <x v="0"/>
    <n v="29"/>
    <s v="Master"/>
    <x v="1"/>
    <s v="Very High"/>
    <x v="0"/>
    <n v="32"/>
    <s v="High"/>
    <x v="0"/>
    <s v="Research Scientist"/>
    <s v="Very High"/>
    <s v="Single"/>
    <n v="4541"/>
    <n v="7744"/>
    <n v="1"/>
    <s v="No"/>
    <n v="25"/>
    <s v="Outstanding"/>
    <s v="Medium"/>
    <n v="0"/>
    <n v="20"/>
    <n v="3"/>
    <s v="Better"/>
    <x v="23"/>
    <s v="10-40"/>
    <n v="11"/>
    <n v="13"/>
    <n v="17"/>
    <n v="876"/>
  </r>
  <r>
    <n v="20"/>
    <x v="4"/>
    <x v="1"/>
    <s v="Travel_Rarely"/>
    <n v="654"/>
    <x v="1"/>
    <n v="21"/>
    <s v="Bachelor"/>
    <x v="3"/>
    <s v="High"/>
    <x v="0"/>
    <n v="43"/>
    <s v="Very High"/>
    <x v="1"/>
    <s v="Sales Representative"/>
    <s v="Very High"/>
    <s v="Single"/>
    <n v="2678"/>
    <n v="5050"/>
    <n v="1"/>
    <s v="No"/>
    <n v="17"/>
    <s v="Excellent"/>
    <s v="Very High"/>
    <n v="0"/>
    <n v="2"/>
    <n v="2"/>
    <s v="Better"/>
    <x v="4"/>
    <s v="0-5"/>
    <n v="1"/>
    <n v="2"/>
    <n v="2"/>
    <n v="877"/>
  </r>
  <r>
    <n v="46"/>
    <x v="1"/>
    <x v="1"/>
    <s v="Travel_Rarely"/>
    <n v="150"/>
    <x v="0"/>
    <n v="2"/>
    <s v="Master"/>
    <x v="4"/>
    <s v="Very High"/>
    <x v="0"/>
    <n v="60"/>
    <s v="High"/>
    <x v="0"/>
    <s v="Manufacturing Director"/>
    <s v="Very High"/>
    <s v="Divorced"/>
    <n v="7379"/>
    <n v="17433"/>
    <n v="2"/>
    <s v="No"/>
    <n v="11"/>
    <s v="Excellent"/>
    <s v="High"/>
    <n v="1"/>
    <n v="12"/>
    <n v="3"/>
    <s v="Good"/>
    <x v="0"/>
    <s v="5-10"/>
    <n v="3"/>
    <n v="1"/>
    <n v="4"/>
    <n v="878"/>
  </r>
  <r>
    <n v="42"/>
    <x v="0"/>
    <x v="1"/>
    <s v="Non-Travel"/>
    <n v="179"/>
    <x v="2"/>
    <n v="2"/>
    <s v="Doctor"/>
    <x v="2"/>
    <s v="Very High"/>
    <x v="0"/>
    <n v="79"/>
    <s v="Very High"/>
    <x v="0"/>
    <s v="Human Resources"/>
    <s v="Low"/>
    <s v="Married"/>
    <n v="6272"/>
    <n v="12858"/>
    <n v="7"/>
    <s v="No"/>
    <n v="16"/>
    <s v="Excellent"/>
    <s v="Low"/>
    <n v="1"/>
    <n v="10"/>
    <n v="3"/>
    <s v="Best"/>
    <x v="9"/>
    <s v="0-5"/>
    <n v="3"/>
    <n v="0"/>
    <n v="3"/>
    <n v="879"/>
  </r>
  <r>
    <n v="60"/>
    <x v="3"/>
    <x v="1"/>
    <s v="Travel_Rarely"/>
    <n v="696"/>
    <x v="1"/>
    <n v="7"/>
    <s v="Master"/>
    <x v="3"/>
    <s v="Medium"/>
    <x v="0"/>
    <n v="52"/>
    <s v="Very High"/>
    <x v="0"/>
    <s v="Sales Executive"/>
    <s v="Very High"/>
    <s v="Divorced"/>
    <n v="5220"/>
    <n v="10893"/>
    <n v="0"/>
    <s v="Yes"/>
    <n v="18"/>
    <s v="Excellent"/>
    <s v="Medium"/>
    <n v="1"/>
    <n v="12"/>
    <n v="3"/>
    <s v="Better"/>
    <x v="19"/>
    <s v="10-40"/>
    <n v="7"/>
    <n v="1"/>
    <n v="9"/>
    <n v="880"/>
  </r>
  <r>
    <n v="32"/>
    <x v="2"/>
    <x v="1"/>
    <s v="Travel_Frequently"/>
    <n v="116"/>
    <x v="0"/>
    <n v="13"/>
    <s v="Bachelor"/>
    <x v="1"/>
    <s v="High"/>
    <x v="1"/>
    <n v="77"/>
    <s v="Medium"/>
    <x v="1"/>
    <s v="Laboratory Technician"/>
    <s v="Medium"/>
    <s v="Married"/>
    <n v="2743"/>
    <n v="7331"/>
    <n v="1"/>
    <s v="No"/>
    <n v="20"/>
    <s v="Outstanding"/>
    <s v="High"/>
    <n v="1"/>
    <n v="2"/>
    <n v="2"/>
    <s v="Better"/>
    <x v="4"/>
    <s v="0-5"/>
    <n v="2"/>
    <n v="2"/>
    <n v="2"/>
    <n v="881"/>
  </r>
  <r>
    <n v="32"/>
    <x v="2"/>
    <x v="1"/>
    <s v="Travel_Frequently"/>
    <n v="1316"/>
    <x v="0"/>
    <n v="2"/>
    <s v="College"/>
    <x v="0"/>
    <s v="Very High"/>
    <x v="1"/>
    <n v="38"/>
    <s v="High"/>
    <x v="0"/>
    <s v="Research Scientist"/>
    <s v="High"/>
    <s v="Single"/>
    <n v="4998"/>
    <n v="2338"/>
    <n v="4"/>
    <s v="Yes"/>
    <n v="14"/>
    <s v="Excellent"/>
    <s v="Very High"/>
    <n v="0"/>
    <n v="10"/>
    <n v="2"/>
    <s v="Better"/>
    <x v="3"/>
    <s v="5-10"/>
    <n v="7"/>
    <n v="0"/>
    <n v="7"/>
    <n v="882"/>
  </r>
  <r>
    <n v="36"/>
    <x v="0"/>
    <x v="1"/>
    <s v="Travel_Rarely"/>
    <n v="363"/>
    <x v="0"/>
    <n v="1"/>
    <s v="Bachelor"/>
    <x v="4"/>
    <s v="High"/>
    <x v="1"/>
    <n v="77"/>
    <s v="Low"/>
    <x v="2"/>
    <s v="Manufacturing Director"/>
    <s v="Low"/>
    <s v="Divorced"/>
    <n v="10252"/>
    <n v="4235"/>
    <n v="2"/>
    <s v="Yes"/>
    <n v="21"/>
    <s v="Outstanding"/>
    <s v="High"/>
    <n v="1"/>
    <n v="17"/>
    <n v="2"/>
    <s v="Better"/>
    <x v="5"/>
    <s v="5-10"/>
    <n v="7"/>
    <n v="7"/>
    <n v="7"/>
    <n v="883"/>
  </r>
  <r>
    <n v="33"/>
    <x v="2"/>
    <x v="1"/>
    <s v="Travel_Rarely"/>
    <n v="117"/>
    <x v="0"/>
    <n v="9"/>
    <s v="Bachelor"/>
    <x v="2"/>
    <s v="Low"/>
    <x v="0"/>
    <n v="60"/>
    <s v="High"/>
    <x v="1"/>
    <s v="Research Scientist"/>
    <s v="Very High"/>
    <s v="Married"/>
    <n v="2781"/>
    <n v="6311"/>
    <n v="0"/>
    <s v="No"/>
    <n v="13"/>
    <s v="Excellent"/>
    <s v="Medium"/>
    <n v="1"/>
    <n v="15"/>
    <n v="5"/>
    <s v="Better"/>
    <x v="13"/>
    <s v="10-40"/>
    <n v="10"/>
    <n v="4"/>
    <n v="10"/>
    <n v="884"/>
  </r>
  <r>
    <n v="40"/>
    <x v="0"/>
    <x v="1"/>
    <s v="Travel_Rarely"/>
    <n v="107"/>
    <x v="1"/>
    <n v="10"/>
    <s v="Bachelor"/>
    <x v="4"/>
    <s v="Medium"/>
    <x v="1"/>
    <n v="84"/>
    <s v="Medium"/>
    <x v="0"/>
    <s v="Sales Executive"/>
    <s v="Medium"/>
    <s v="Divorced"/>
    <n v="6852"/>
    <n v="11591"/>
    <n v="7"/>
    <s v="No"/>
    <n v="12"/>
    <s v="Excellent"/>
    <s v="Medium"/>
    <n v="1"/>
    <n v="7"/>
    <n v="2"/>
    <s v="Best"/>
    <x v="8"/>
    <s v="0-5"/>
    <n v="1"/>
    <n v="1"/>
    <n v="3"/>
    <n v="885"/>
  </r>
  <r>
    <n v="25"/>
    <x v="4"/>
    <x v="1"/>
    <s v="Travel_Rarely"/>
    <n v="1356"/>
    <x v="1"/>
    <n v="10"/>
    <s v="Master"/>
    <x v="0"/>
    <s v="High"/>
    <x v="0"/>
    <n v="57"/>
    <s v="High"/>
    <x v="0"/>
    <s v="Sales Executive"/>
    <s v="Very High"/>
    <s v="Single"/>
    <n v="4950"/>
    <n v="20623"/>
    <n v="0"/>
    <s v="No"/>
    <n v="14"/>
    <s v="Excellent"/>
    <s v="Medium"/>
    <n v="0"/>
    <n v="5"/>
    <n v="4"/>
    <s v="Better"/>
    <x v="9"/>
    <s v="0-5"/>
    <n v="3"/>
    <n v="1"/>
    <n v="1"/>
    <n v="886"/>
  </r>
  <r>
    <n v="30"/>
    <x v="2"/>
    <x v="1"/>
    <s v="Travel_Rarely"/>
    <n v="1465"/>
    <x v="0"/>
    <n v="1"/>
    <s v="Bachelor"/>
    <x v="2"/>
    <s v="Very High"/>
    <x v="0"/>
    <n v="63"/>
    <s v="High"/>
    <x v="1"/>
    <s v="Research Scientist"/>
    <s v="Medium"/>
    <s v="Married"/>
    <n v="3579"/>
    <n v="9369"/>
    <n v="0"/>
    <s v="Yes"/>
    <n v="21"/>
    <s v="Outstanding"/>
    <s v="Low"/>
    <n v="1"/>
    <n v="12"/>
    <n v="2"/>
    <s v="Better"/>
    <x v="19"/>
    <s v="10-40"/>
    <n v="9"/>
    <n v="5"/>
    <n v="7"/>
    <n v="887"/>
  </r>
  <r>
    <n v="42"/>
    <x v="0"/>
    <x v="1"/>
    <s v="Travel_Frequently"/>
    <n v="458"/>
    <x v="0"/>
    <n v="26"/>
    <s v="Doctor"/>
    <x v="2"/>
    <s v="Low"/>
    <x v="1"/>
    <n v="60"/>
    <s v="High"/>
    <x v="2"/>
    <s v="Research Director"/>
    <s v="Low"/>
    <s v="Married"/>
    <n v="13191"/>
    <n v="23281"/>
    <n v="3"/>
    <s v="Yes"/>
    <n v="17"/>
    <s v="Excellent"/>
    <s v="High"/>
    <n v="0"/>
    <n v="20"/>
    <n v="6"/>
    <s v="Better"/>
    <x v="6"/>
    <s v="0-5"/>
    <n v="0"/>
    <n v="0"/>
    <n v="0"/>
    <n v="888"/>
  </r>
  <r>
    <n v="35"/>
    <x v="2"/>
    <x v="1"/>
    <s v="Non-Travel"/>
    <n v="1212"/>
    <x v="1"/>
    <n v="8"/>
    <s v="College"/>
    <x v="3"/>
    <s v="High"/>
    <x v="1"/>
    <n v="78"/>
    <s v="Medium"/>
    <x v="2"/>
    <s v="Sales Executive"/>
    <s v="Very High"/>
    <s v="Married"/>
    <n v="10377"/>
    <n v="13755"/>
    <n v="4"/>
    <s v="Yes"/>
    <n v="11"/>
    <s v="Excellent"/>
    <s v="Medium"/>
    <n v="1"/>
    <n v="16"/>
    <n v="6"/>
    <s v="Good"/>
    <x v="20"/>
    <s v="10-40"/>
    <n v="2"/>
    <n v="4"/>
    <n v="12"/>
    <n v="889"/>
  </r>
  <r>
    <n v="27"/>
    <x v="2"/>
    <x v="1"/>
    <s v="Travel_Rarely"/>
    <n v="1103"/>
    <x v="0"/>
    <n v="14"/>
    <s v="Bachelor"/>
    <x v="0"/>
    <s v="Low"/>
    <x v="0"/>
    <n v="42"/>
    <s v="High"/>
    <x v="1"/>
    <s v="Research Scientist"/>
    <s v="Low"/>
    <s v="Married"/>
    <n v="2235"/>
    <n v="14377"/>
    <n v="1"/>
    <s v="Yes"/>
    <n v="14"/>
    <s v="Excellent"/>
    <s v="Very High"/>
    <n v="2"/>
    <n v="9"/>
    <n v="3"/>
    <s v="Good"/>
    <x v="7"/>
    <s v="5-10"/>
    <n v="7"/>
    <n v="6"/>
    <n v="8"/>
    <n v="890"/>
  </r>
  <r>
    <n v="54"/>
    <x v="1"/>
    <x v="1"/>
    <s v="Travel_Frequently"/>
    <n v="966"/>
    <x v="0"/>
    <n v="1"/>
    <s v="Master"/>
    <x v="0"/>
    <s v="Very High"/>
    <x v="1"/>
    <n v="53"/>
    <s v="High"/>
    <x v="2"/>
    <s v="Manufacturing Director"/>
    <s v="High"/>
    <s v="Divorced"/>
    <n v="10502"/>
    <n v="9659"/>
    <n v="7"/>
    <s v="No"/>
    <n v="17"/>
    <s v="Excellent"/>
    <s v="Low"/>
    <n v="1"/>
    <n v="33"/>
    <n v="2"/>
    <s v="Bad"/>
    <x v="8"/>
    <s v="0-5"/>
    <n v="4"/>
    <n v="1"/>
    <n v="4"/>
    <n v="891"/>
  </r>
  <r>
    <n v="44"/>
    <x v="0"/>
    <x v="1"/>
    <s v="Travel_Rarely"/>
    <n v="1117"/>
    <x v="0"/>
    <n v="2"/>
    <s v="Below College"/>
    <x v="0"/>
    <s v="Low"/>
    <x v="1"/>
    <n v="72"/>
    <s v="Very High"/>
    <x v="1"/>
    <s v="Research Scientist"/>
    <s v="Very High"/>
    <s v="Married"/>
    <n v="2011"/>
    <n v="19982"/>
    <n v="1"/>
    <s v="No"/>
    <n v="13"/>
    <s v="Excellent"/>
    <s v="Very High"/>
    <n v="1"/>
    <n v="10"/>
    <n v="5"/>
    <s v="Better"/>
    <x v="1"/>
    <s v="5-10"/>
    <n v="5"/>
    <n v="7"/>
    <n v="7"/>
    <n v="892"/>
  </r>
  <r>
    <n v="19"/>
    <x v="4"/>
    <x v="0"/>
    <s v="Non-Travel"/>
    <n v="504"/>
    <x v="0"/>
    <n v="10"/>
    <s v="Bachelor"/>
    <x v="2"/>
    <s v="Low"/>
    <x v="1"/>
    <n v="96"/>
    <s v="Medium"/>
    <x v="1"/>
    <s v="Research Scientist"/>
    <s v="Medium"/>
    <s v="Single"/>
    <n v="1859"/>
    <n v="6148"/>
    <n v="1"/>
    <s v="Yes"/>
    <n v="25"/>
    <s v="Outstanding"/>
    <s v="Medium"/>
    <n v="0"/>
    <n v="1"/>
    <n v="2"/>
    <s v="Best"/>
    <x v="6"/>
    <s v="0-5"/>
    <n v="1"/>
    <n v="0"/>
    <n v="0"/>
    <n v="893"/>
  </r>
  <r>
    <n v="29"/>
    <x v="2"/>
    <x v="1"/>
    <s v="Travel_Rarely"/>
    <n v="1010"/>
    <x v="0"/>
    <n v="1"/>
    <s v="Bachelor"/>
    <x v="0"/>
    <s v="Low"/>
    <x v="1"/>
    <n v="97"/>
    <s v="High"/>
    <x v="1"/>
    <s v="Research Scientist"/>
    <s v="Very High"/>
    <s v="Divorced"/>
    <n v="3760"/>
    <n v="5598"/>
    <n v="1"/>
    <s v="No"/>
    <n v="15"/>
    <s v="Excellent"/>
    <s v="Low"/>
    <n v="3"/>
    <n v="3"/>
    <n v="5"/>
    <s v="Better"/>
    <x v="11"/>
    <s v="0-5"/>
    <n v="2"/>
    <n v="1"/>
    <n v="2"/>
    <n v="894"/>
  </r>
  <r>
    <n v="54"/>
    <x v="1"/>
    <x v="1"/>
    <s v="Travel_Rarely"/>
    <n v="685"/>
    <x v="0"/>
    <n v="3"/>
    <s v="Bachelor"/>
    <x v="0"/>
    <s v="Very High"/>
    <x v="0"/>
    <n v="85"/>
    <s v="High"/>
    <x v="3"/>
    <s v="Research Director"/>
    <s v="Very High"/>
    <s v="Married"/>
    <n v="17779"/>
    <n v="23474"/>
    <n v="3"/>
    <s v="No"/>
    <n v="14"/>
    <s v="Excellent"/>
    <s v="Low"/>
    <n v="0"/>
    <n v="36"/>
    <n v="2"/>
    <s v="Better"/>
    <x v="1"/>
    <s v="5-10"/>
    <n v="9"/>
    <n v="0"/>
    <n v="9"/>
    <n v="895"/>
  </r>
  <r>
    <n v="31"/>
    <x v="2"/>
    <x v="1"/>
    <s v="Travel_Rarely"/>
    <n v="1332"/>
    <x v="0"/>
    <n v="11"/>
    <s v="College"/>
    <x v="2"/>
    <s v="High"/>
    <x v="0"/>
    <n v="80"/>
    <s v="High"/>
    <x v="0"/>
    <s v="Healthcare Representative"/>
    <s v="Low"/>
    <s v="Married"/>
    <n v="6833"/>
    <n v="17089"/>
    <n v="1"/>
    <s v="Yes"/>
    <n v="12"/>
    <s v="Excellent"/>
    <s v="Very High"/>
    <n v="0"/>
    <n v="6"/>
    <n v="2"/>
    <s v="Good"/>
    <x v="0"/>
    <s v="5-10"/>
    <n v="5"/>
    <n v="0"/>
    <n v="1"/>
    <n v="896"/>
  </r>
  <r>
    <n v="31"/>
    <x v="2"/>
    <x v="1"/>
    <s v="Travel_Rarely"/>
    <n v="1062"/>
    <x v="0"/>
    <n v="24"/>
    <s v="Bachelor"/>
    <x v="2"/>
    <s v="High"/>
    <x v="1"/>
    <n v="96"/>
    <s v="Medium"/>
    <x v="0"/>
    <s v="Healthcare Representative"/>
    <s v="Low"/>
    <s v="Single"/>
    <n v="6812"/>
    <n v="17198"/>
    <n v="1"/>
    <s v="No"/>
    <n v="19"/>
    <s v="Excellent"/>
    <s v="Medium"/>
    <n v="0"/>
    <n v="10"/>
    <n v="2"/>
    <s v="Better"/>
    <x v="1"/>
    <s v="5-10"/>
    <n v="9"/>
    <n v="1"/>
    <n v="8"/>
    <n v="897"/>
  </r>
  <r>
    <n v="59"/>
    <x v="3"/>
    <x v="1"/>
    <s v="Travel_Rarely"/>
    <n v="326"/>
    <x v="1"/>
    <n v="3"/>
    <s v="Bachelor"/>
    <x v="0"/>
    <s v="High"/>
    <x v="1"/>
    <n v="48"/>
    <s v="Medium"/>
    <x v="0"/>
    <s v="Sales Executive"/>
    <s v="Very High"/>
    <s v="Single"/>
    <n v="5171"/>
    <n v="16490"/>
    <n v="5"/>
    <s v="No"/>
    <n v="17"/>
    <s v="Excellent"/>
    <s v="Very High"/>
    <n v="0"/>
    <n v="13"/>
    <n v="2"/>
    <s v="Better"/>
    <x v="0"/>
    <s v="5-10"/>
    <n v="1"/>
    <n v="0"/>
    <n v="5"/>
    <n v="898"/>
  </r>
  <r>
    <n v="43"/>
    <x v="0"/>
    <x v="1"/>
    <s v="Travel_Rarely"/>
    <n v="920"/>
    <x v="0"/>
    <n v="3"/>
    <s v="Bachelor"/>
    <x v="0"/>
    <s v="High"/>
    <x v="0"/>
    <n v="96"/>
    <s v="Low"/>
    <x v="4"/>
    <s v="Research Director"/>
    <s v="Very High"/>
    <s v="Married"/>
    <n v="19740"/>
    <n v="18625"/>
    <n v="3"/>
    <s v="No"/>
    <n v="14"/>
    <s v="Excellent"/>
    <s v="Medium"/>
    <n v="1"/>
    <n v="25"/>
    <n v="2"/>
    <s v="Better"/>
    <x v="3"/>
    <s v="5-10"/>
    <n v="7"/>
    <n v="0"/>
    <n v="7"/>
    <n v="899"/>
  </r>
  <r>
    <n v="49"/>
    <x v="1"/>
    <x v="1"/>
    <s v="Travel_Rarely"/>
    <n v="1098"/>
    <x v="0"/>
    <n v="4"/>
    <s v="College"/>
    <x v="2"/>
    <s v="Low"/>
    <x v="0"/>
    <n v="85"/>
    <s v="Medium"/>
    <x v="4"/>
    <s v="Manager"/>
    <s v="High"/>
    <s v="Married"/>
    <n v="18711"/>
    <n v="12124"/>
    <n v="2"/>
    <s v="No"/>
    <n v="13"/>
    <s v="Excellent"/>
    <s v="High"/>
    <n v="1"/>
    <n v="23"/>
    <n v="2"/>
    <s v="Best"/>
    <x v="6"/>
    <s v="0-5"/>
    <n v="0"/>
    <n v="0"/>
    <n v="0"/>
    <n v="900"/>
  </r>
  <r>
    <n v="36"/>
    <x v="0"/>
    <x v="1"/>
    <s v="Travel_Frequently"/>
    <n v="469"/>
    <x v="0"/>
    <n v="3"/>
    <s v="Bachelor"/>
    <x v="4"/>
    <s v="High"/>
    <x v="0"/>
    <n v="46"/>
    <s v="High"/>
    <x v="1"/>
    <s v="Research Scientist"/>
    <s v="Medium"/>
    <s v="Married"/>
    <n v="3692"/>
    <n v="9256"/>
    <n v="1"/>
    <s v="No"/>
    <n v="12"/>
    <s v="Excellent"/>
    <s v="High"/>
    <n v="0"/>
    <n v="12"/>
    <n v="2"/>
    <s v="Good"/>
    <x v="19"/>
    <s v="10-40"/>
    <n v="10"/>
    <n v="0"/>
    <n v="7"/>
    <n v="901"/>
  </r>
  <r>
    <n v="48"/>
    <x v="1"/>
    <x v="1"/>
    <s v="Travel_Rarely"/>
    <n v="969"/>
    <x v="0"/>
    <n v="2"/>
    <s v="College"/>
    <x v="4"/>
    <s v="Very High"/>
    <x v="0"/>
    <n v="76"/>
    <s v="Very High"/>
    <x v="1"/>
    <s v="Laboratory Technician"/>
    <s v="Medium"/>
    <s v="Single"/>
    <n v="2559"/>
    <n v="16620"/>
    <n v="5"/>
    <s v="No"/>
    <n v="11"/>
    <s v="Excellent"/>
    <s v="High"/>
    <n v="0"/>
    <n v="7"/>
    <n v="4"/>
    <s v="Good"/>
    <x v="6"/>
    <s v="0-5"/>
    <n v="0"/>
    <n v="0"/>
    <n v="0"/>
    <n v="902"/>
  </r>
  <r>
    <n v="27"/>
    <x v="2"/>
    <x v="1"/>
    <s v="Travel_Rarely"/>
    <n v="1167"/>
    <x v="0"/>
    <n v="4"/>
    <s v="College"/>
    <x v="0"/>
    <s v="Low"/>
    <x v="0"/>
    <n v="76"/>
    <s v="High"/>
    <x v="1"/>
    <s v="Research Scientist"/>
    <s v="High"/>
    <s v="Divorced"/>
    <n v="2517"/>
    <n v="3208"/>
    <n v="1"/>
    <s v="No"/>
    <n v="11"/>
    <s v="Excellent"/>
    <s v="Medium"/>
    <n v="3"/>
    <n v="5"/>
    <n v="2"/>
    <s v="Better"/>
    <x v="8"/>
    <s v="0-5"/>
    <n v="3"/>
    <n v="0"/>
    <n v="3"/>
    <n v="903"/>
  </r>
  <r>
    <n v="29"/>
    <x v="2"/>
    <x v="1"/>
    <s v="Travel_Rarely"/>
    <n v="1329"/>
    <x v="0"/>
    <n v="7"/>
    <s v="Bachelor"/>
    <x v="0"/>
    <s v="High"/>
    <x v="0"/>
    <n v="82"/>
    <s v="High"/>
    <x v="0"/>
    <s v="Healthcare Representative"/>
    <s v="Very High"/>
    <s v="Divorced"/>
    <n v="6623"/>
    <n v="4204"/>
    <n v="1"/>
    <s v="Yes"/>
    <n v="11"/>
    <s v="Excellent"/>
    <s v="Medium"/>
    <n v="2"/>
    <n v="6"/>
    <n v="2"/>
    <s v="Better"/>
    <x v="0"/>
    <s v="5-10"/>
    <n v="0"/>
    <n v="1"/>
    <n v="0"/>
    <n v="904"/>
  </r>
  <r>
    <n v="48"/>
    <x v="1"/>
    <x v="1"/>
    <s v="Travel_Rarely"/>
    <n v="715"/>
    <x v="0"/>
    <n v="1"/>
    <s v="Bachelor"/>
    <x v="0"/>
    <s v="Very High"/>
    <x v="0"/>
    <n v="76"/>
    <s v="Medium"/>
    <x v="4"/>
    <s v="Research Director"/>
    <s v="Very High"/>
    <s v="Single"/>
    <n v="18265"/>
    <n v="8733"/>
    <n v="6"/>
    <s v="No"/>
    <n v="12"/>
    <s v="Excellent"/>
    <s v="High"/>
    <n v="0"/>
    <n v="25"/>
    <n v="3"/>
    <s v="Best"/>
    <x v="6"/>
    <s v="0-5"/>
    <n v="0"/>
    <n v="0"/>
    <n v="0"/>
    <n v="905"/>
  </r>
  <r>
    <n v="29"/>
    <x v="2"/>
    <x v="1"/>
    <s v="Travel_Rarely"/>
    <n v="694"/>
    <x v="0"/>
    <n v="1"/>
    <s v="Bachelor"/>
    <x v="0"/>
    <s v="Very High"/>
    <x v="1"/>
    <n v="87"/>
    <s v="Medium"/>
    <x v="3"/>
    <s v="Research Director"/>
    <s v="Very High"/>
    <s v="Divorced"/>
    <n v="16124"/>
    <n v="3423"/>
    <n v="3"/>
    <s v="No"/>
    <n v="14"/>
    <s v="Excellent"/>
    <s v="Medium"/>
    <n v="2"/>
    <n v="9"/>
    <n v="2"/>
    <s v="Good"/>
    <x v="5"/>
    <s v="5-10"/>
    <n v="7"/>
    <n v="1"/>
    <n v="7"/>
    <n v="906"/>
  </r>
  <r>
    <n v="34"/>
    <x v="2"/>
    <x v="1"/>
    <s v="Travel_Rarely"/>
    <n v="1320"/>
    <x v="0"/>
    <n v="20"/>
    <s v="Bachelor"/>
    <x v="4"/>
    <s v="High"/>
    <x v="1"/>
    <n v="89"/>
    <s v="Very High"/>
    <x v="1"/>
    <s v="Research Scientist"/>
    <s v="High"/>
    <s v="Married"/>
    <n v="2585"/>
    <n v="21643"/>
    <n v="0"/>
    <s v="No"/>
    <n v="17"/>
    <s v="Excellent"/>
    <s v="Very High"/>
    <n v="0"/>
    <n v="2"/>
    <n v="5"/>
    <s v="Good"/>
    <x v="6"/>
    <s v="0-5"/>
    <n v="0"/>
    <n v="0"/>
    <n v="0"/>
    <n v="907"/>
  </r>
  <r>
    <n v="44"/>
    <x v="0"/>
    <x v="1"/>
    <s v="Travel_Rarely"/>
    <n v="1099"/>
    <x v="1"/>
    <n v="5"/>
    <s v="Bachelor"/>
    <x v="3"/>
    <s v="Medium"/>
    <x v="0"/>
    <n v="88"/>
    <s v="High"/>
    <x v="4"/>
    <s v="Manager"/>
    <s v="Medium"/>
    <s v="Married"/>
    <n v="18213"/>
    <n v="8751"/>
    <n v="7"/>
    <s v="No"/>
    <n v="11"/>
    <s v="Excellent"/>
    <s v="High"/>
    <n v="1"/>
    <n v="26"/>
    <n v="5"/>
    <s v="Better"/>
    <x v="14"/>
    <s v="10-40"/>
    <n v="9"/>
    <n v="3"/>
    <n v="10"/>
    <n v="908"/>
  </r>
  <r>
    <n v="33"/>
    <x v="2"/>
    <x v="1"/>
    <s v="Travel_Rarely"/>
    <n v="536"/>
    <x v="1"/>
    <n v="10"/>
    <s v="Doctor"/>
    <x v="3"/>
    <s v="Very High"/>
    <x v="0"/>
    <n v="82"/>
    <s v="Very High"/>
    <x v="2"/>
    <s v="Sales Executive"/>
    <s v="High"/>
    <s v="Divorced"/>
    <n v="8380"/>
    <n v="21708"/>
    <n v="0"/>
    <s v="Yes"/>
    <n v="14"/>
    <s v="Excellent"/>
    <s v="Very High"/>
    <n v="2"/>
    <n v="10"/>
    <n v="3"/>
    <s v="Better"/>
    <x v="7"/>
    <s v="5-10"/>
    <n v="8"/>
    <n v="0"/>
    <n v="8"/>
    <n v="909"/>
  </r>
  <r>
    <n v="19"/>
    <x v="4"/>
    <x v="1"/>
    <s v="Travel_Rarely"/>
    <n v="265"/>
    <x v="0"/>
    <n v="25"/>
    <s v="Bachelor"/>
    <x v="0"/>
    <s v="Medium"/>
    <x v="1"/>
    <n v="57"/>
    <s v="Very High"/>
    <x v="1"/>
    <s v="Research Scientist"/>
    <s v="Very High"/>
    <s v="Single"/>
    <n v="2994"/>
    <n v="21221"/>
    <n v="1"/>
    <s v="Yes"/>
    <n v="12"/>
    <s v="Excellent"/>
    <s v="Very High"/>
    <n v="0"/>
    <n v="1"/>
    <n v="2"/>
    <s v="Better"/>
    <x v="6"/>
    <s v="0-5"/>
    <n v="0"/>
    <n v="0"/>
    <n v="1"/>
    <n v="910"/>
  </r>
  <r>
    <n v="23"/>
    <x v="4"/>
    <x v="1"/>
    <s v="Travel_Rarely"/>
    <n v="373"/>
    <x v="0"/>
    <n v="1"/>
    <s v="College"/>
    <x v="0"/>
    <s v="Very High"/>
    <x v="0"/>
    <n v="47"/>
    <s v="High"/>
    <x v="1"/>
    <s v="Research Scientist"/>
    <s v="High"/>
    <s v="Married"/>
    <n v="1223"/>
    <n v="16901"/>
    <n v="1"/>
    <s v="No"/>
    <n v="22"/>
    <s v="Outstanding"/>
    <s v="Very High"/>
    <n v="1"/>
    <n v="1"/>
    <n v="2"/>
    <s v="Better"/>
    <x v="6"/>
    <s v="0-5"/>
    <n v="0"/>
    <n v="0"/>
    <n v="1"/>
    <n v="911"/>
  </r>
  <r>
    <n v="25"/>
    <x v="4"/>
    <x v="0"/>
    <s v="Travel_Frequently"/>
    <n v="599"/>
    <x v="1"/>
    <n v="24"/>
    <s v="Below College"/>
    <x v="0"/>
    <s v="High"/>
    <x v="0"/>
    <n v="73"/>
    <s v="Low"/>
    <x v="1"/>
    <s v="Sales Representative"/>
    <s v="Very High"/>
    <s v="Single"/>
    <n v="1118"/>
    <n v="8040"/>
    <n v="1"/>
    <s v="Yes"/>
    <n v="14"/>
    <s v="Excellent"/>
    <s v="Very High"/>
    <n v="0"/>
    <n v="1"/>
    <n v="4"/>
    <s v="Better"/>
    <x v="6"/>
    <s v="0-5"/>
    <n v="0"/>
    <n v="1"/>
    <n v="0"/>
    <n v="912"/>
  </r>
  <r>
    <n v="26"/>
    <x v="2"/>
    <x v="1"/>
    <s v="Travel_Rarely"/>
    <n v="583"/>
    <x v="0"/>
    <n v="4"/>
    <s v="College"/>
    <x v="0"/>
    <s v="High"/>
    <x v="0"/>
    <n v="53"/>
    <s v="High"/>
    <x v="1"/>
    <s v="Research Scientist"/>
    <s v="Very High"/>
    <s v="Single"/>
    <n v="2875"/>
    <n v="9973"/>
    <n v="1"/>
    <s v="Yes"/>
    <n v="20"/>
    <s v="Outstanding"/>
    <s v="Medium"/>
    <n v="0"/>
    <n v="8"/>
    <n v="2"/>
    <s v="Good"/>
    <x v="3"/>
    <s v="5-10"/>
    <n v="5"/>
    <n v="2"/>
    <n v="2"/>
    <n v="913"/>
  </r>
  <r>
    <n v="45"/>
    <x v="0"/>
    <x v="0"/>
    <s v="Travel_Rarely"/>
    <n v="1449"/>
    <x v="1"/>
    <n v="2"/>
    <s v="Bachelor"/>
    <x v="3"/>
    <s v="Low"/>
    <x v="1"/>
    <n v="94"/>
    <s v="Low"/>
    <x v="4"/>
    <s v="Manager"/>
    <s v="Medium"/>
    <s v="Single"/>
    <n v="18824"/>
    <n v="2493"/>
    <n v="2"/>
    <s v="Yes"/>
    <n v="16"/>
    <s v="Excellent"/>
    <s v="Low"/>
    <n v="0"/>
    <n v="26"/>
    <n v="2"/>
    <s v="Better"/>
    <x v="25"/>
    <s v="10-40"/>
    <n v="10"/>
    <n v="1"/>
    <n v="11"/>
    <n v="914"/>
  </r>
  <r>
    <n v="55"/>
    <x v="1"/>
    <x v="1"/>
    <s v="Non-Travel"/>
    <n v="177"/>
    <x v="0"/>
    <n v="8"/>
    <s v="Below College"/>
    <x v="2"/>
    <s v="Very High"/>
    <x v="0"/>
    <n v="37"/>
    <s v="Medium"/>
    <x v="3"/>
    <s v="Healthcare Representative"/>
    <s v="Medium"/>
    <s v="Divorced"/>
    <n v="13577"/>
    <n v="25592"/>
    <n v="1"/>
    <s v="Yes"/>
    <n v="15"/>
    <s v="Excellent"/>
    <s v="Very High"/>
    <n v="1"/>
    <n v="34"/>
    <n v="3"/>
    <s v="Better"/>
    <x v="26"/>
    <s v="10-40"/>
    <n v="9"/>
    <n v="15"/>
    <n v="0"/>
    <n v="915"/>
  </r>
  <r>
    <n v="21"/>
    <x v="4"/>
    <x v="0"/>
    <s v="Travel_Frequently"/>
    <n v="251"/>
    <x v="0"/>
    <n v="10"/>
    <s v="College"/>
    <x v="0"/>
    <s v="Low"/>
    <x v="1"/>
    <n v="45"/>
    <s v="Medium"/>
    <x v="1"/>
    <s v="Laboratory Technician"/>
    <s v="High"/>
    <s v="Single"/>
    <n v="2625"/>
    <n v="25308"/>
    <n v="1"/>
    <s v="No"/>
    <n v="20"/>
    <s v="Outstanding"/>
    <s v="High"/>
    <n v="0"/>
    <n v="2"/>
    <n v="2"/>
    <s v="Bad"/>
    <x v="4"/>
    <s v="0-5"/>
    <n v="2"/>
    <n v="2"/>
    <n v="2"/>
    <n v="916"/>
  </r>
  <r>
    <n v="46"/>
    <x v="1"/>
    <x v="1"/>
    <s v="Travel_Rarely"/>
    <n v="168"/>
    <x v="1"/>
    <n v="4"/>
    <s v="College"/>
    <x v="3"/>
    <s v="Very High"/>
    <x v="1"/>
    <n v="33"/>
    <s v="Medium"/>
    <x v="4"/>
    <s v="Manager"/>
    <s v="Medium"/>
    <s v="Married"/>
    <n v="18789"/>
    <n v="9946"/>
    <n v="2"/>
    <s v="No"/>
    <n v="14"/>
    <s v="Excellent"/>
    <s v="High"/>
    <n v="1"/>
    <n v="26"/>
    <n v="2"/>
    <s v="Better"/>
    <x v="19"/>
    <s v="10-40"/>
    <n v="4"/>
    <n v="0"/>
    <n v="8"/>
    <n v="917"/>
  </r>
  <r>
    <n v="34"/>
    <x v="2"/>
    <x v="1"/>
    <s v="Travel_Rarely"/>
    <n v="131"/>
    <x v="1"/>
    <n v="2"/>
    <s v="Bachelor"/>
    <x v="3"/>
    <s v="High"/>
    <x v="1"/>
    <n v="86"/>
    <s v="High"/>
    <x v="0"/>
    <s v="Sales Executive"/>
    <s v="Low"/>
    <s v="Single"/>
    <n v="4538"/>
    <n v="6039"/>
    <n v="0"/>
    <s v="Yes"/>
    <n v="12"/>
    <s v="Excellent"/>
    <s v="Very High"/>
    <n v="0"/>
    <n v="4"/>
    <n v="3"/>
    <s v="Better"/>
    <x v="11"/>
    <s v="0-5"/>
    <n v="2"/>
    <n v="0"/>
    <n v="2"/>
    <n v="918"/>
  </r>
  <r>
    <n v="51"/>
    <x v="1"/>
    <x v="1"/>
    <s v="Travel_Frequently"/>
    <n v="237"/>
    <x v="1"/>
    <n v="9"/>
    <s v="Bachelor"/>
    <x v="0"/>
    <s v="Very High"/>
    <x v="0"/>
    <n v="83"/>
    <s v="High"/>
    <x v="4"/>
    <s v="Manager"/>
    <s v="Medium"/>
    <s v="Divorced"/>
    <n v="19847"/>
    <n v="19196"/>
    <n v="4"/>
    <s v="Yes"/>
    <n v="24"/>
    <s v="Outstanding"/>
    <s v="Low"/>
    <n v="1"/>
    <n v="31"/>
    <n v="5"/>
    <s v="Good"/>
    <x v="30"/>
    <s v="10-40"/>
    <n v="10"/>
    <n v="11"/>
    <n v="10"/>
    <n v="919"/>
  </r>
  <r>
    <n v="59"/>
    <x v="3"/>
    <x v="1"/>
    <s v="Travel_Rarely"/>
    <n v="1429"/>
    <x v="0"/>
    <n v="18"/>
    <s v="Master"/>
    <x v="2"/>
    <s v="Very High"/>
    <x v="0"/>
    <n v="67"/>
    <s v="High"/>
    <x v="2"/>
    <s v="Manufacturing Director"/>
    <s v="Very High"/>
    <s v="Single"/>
    <n v="10512"/>
    <n v="20002"/>
    <n v="6"/>
    <s v="No"/>
    <n v="12"/>
    <s v="Excellent"/>
    <s v="Very High"/>
    <n v="0"/>
    <n v="25"/>
    <n v="6"/>
    <s v="Good"/>
    <x v="7"/>
    <s v="5-10"/>
    <n v="7"/>
    <n v="5"/>
    <n v="4"/>
    <n v="920"/>
  </r>
  <r>
    <n v="34"/>
    <x v="2"/>
    <x v="1"/>
    <s v="Travel_Frequently"/>
    <n v="135"/>
    <x v="0"/>
    <n v="19"/>
    <s v="Bachelor"/>
    <x v="2"/>
    <s v="High"/>
    <x v="1"/>
    <n v="46"/>
    <s v="High"/>
    <x v="0"/>
    <s v="Laboratory Technician"/>
    <s v="Medium"/>
    <s v="Divorced"/>
    <n v="4444"/>
    <n v="22534"/>
    <n v="4"/>
    <s v="No"/>
    <n v="13"/>
    <s v="Excellent"/>
    <s v="High"/>
    <n v="2"/>
    <n v="15"/>
    <n v="2"/>
    <s v="Best"/>
    <x v="19"/>
    <s v="10-40"/>
    <n v="8"/>
    <n v="5"/>
    <n v="10"/>
    <n v="921"/>
  </r>
  <r>
    <n v="28"/>
    <x v="2"/>
    <x v="1"/>
    <s v="Travel_Frequently"/>
    <n v="791"/>
    <x v="0"/>
    <n v="1"/>
    <s v="Master"/>
    <x v="2"/>
    <s v="Very High"/>
    <x v="0"/>
    <n v="44"/>
    <s v="High"/>
    <x v="1"/>
    <s v="Laboratory Technician"/>
    <s v="High"/>
    <s v="Single"/>
    <n v="2154"/>
    <n v="6842"/>
    <n v="0"/>
    <s v="Yes"/>
    <n v="11"/>
    <s v="Excellent"/>
    <s v="High"/>
    <n v="0"/>
    <n v="5"/>
    <n v="2"/>
    <s v="Good"/>
    <x v="9"/>
    <s v="0-5"/>
    <n v="2"/>
    <n v="0"/>
    <n v="2"/>
    <n v="922"/>
  </r>
  <r>
    <n v="44"/>
    <x v="0"/>
    <x v="1"/>
    <s v="Travel_Rarely"/>
    <n v="1199"/>
    <x v="0"/>
    <n v="4"/>
    <s v="College"/>
    <x v="0"/>
    <s v="High"/>
    <x v="0"/>
    <n v="92"/>
    <s v="Very High"/>
    <x v="4"/>
    <s v="Manager"/>
    <s v="Low"/>
    <s v="Divorced"/>
    <n v="19190"/>
    <n v="17477"/>
    <n v="1"/>
    <s v="No"/>
    <n v="14"/>
    <s v="Excellent"/>
    <s v="Very High"/>
    <n v="2"/>
    <n v="26"/>
    <n v="4"/>
    <s v="Good"/>
    <x v="10"/>
    <s v="10-40"/>
    <n v="9"/>
    <n v="14"/>
    <n v="13"/>
    <n v="923"/>
  </r>
  <r>
    <n v="34"/>
    <x v="2"/>
    <x v="1"/>
    <s v="Travel_Frequently"/>
    <n v="648"/>
    <x v="2"/>
    <n v="11"/>
    <s v="Bachelor"/>
    <x v="0"/>
    <s v="High"/>
    <x v="0"/>
    <n v="56"/>
    <s v="Medium"/>
    <x v="0"/>
    <s v="Human Resources"/>
    <s v="Medium"/>
    <s v="Married"/>
    <n v="4490"/>
    <n v="21833"/>
    <n v="4"/>
    <s v="No"/>
    <n v="11"/>
    <s v="Excellent"/>
    <s v="Very High"/>
    <n v="2"/>
    <n v="14"/>
    <n v="5"/>
    <s v="Best"/>
    <x v="1"/>
    <s v="5-10"/>
    <n v="9"/>
    <n v="1"/>
    <n v="8"/>
    <n v="924"/>
  </r>
  <r>
    <n v="35"/>
    <x v="2"/>
    <x v="1"/>
    <s v="Travel_Rarely"/>
    <n v="735"/>
    <x v="0"/>
    <n v="6"/>
    <s v="Below College"/>
    <x v="0"/>
    <s v="High"/>
    <x v="0"/>
    <n v="66"/>
    <s v="High"/>
    <x v="1"/>
    <s v="Research Scientist"/>
    <s v="High"/>
    <s v="Married"/>
    <n v="3506"/>
    <n v="6020"/>
    <n v="0"/>
    <s v="Yes"/>
    <n v="14"/>
    <s v="Excellent"/>
    <s v="Very High"/>
    <n v="0"/>
    <n v="4"/>
    <n v="3"/>
    <s v="Better"/>
    <x v="11"/>
    <s v="0-5"/>
    <n v="2"/>
    <n v="2"/>
    <n v="2"/>
    <n v="925"/>
  </r>
  <r>
    <n v="42"/>
    <x v="0"/>
    <x v="1"/>
    <s v="Travel_Rarely"/>
    <n v="603"/>
    <x v="0"/>
    <n v="7"/>
    <s v="Master"/>
    <x v="2"/>
    <s v="Medium"/>
    <x v="1"/>
    <n v="78"/>
    <s v="Very High"/>
    <x v="0"/>
    <s v="Research Scientist"/>
    <s v="Medium"/>
    <s v="Married"/>
    <n v="2372"/>
    <n v="5628"/>
    <n v="6"/>
    <s v="Yes"/>
    <n v="16"/>
    <s v="Excellent"/>
    <s v="Very High"/>
    <n v="0"/>
    <n v="18"/>
    <n v="2"/>
    <s v="Better"/>
    <x v="6"/>
    <s v="0-5"/>
    <n v="0"/>
    <n v="0"/>
    <n v="0"/>
    <n v="926"/>
  </r>
  <r>
    <n v="43"/>
    <x v="0"/>
    <x v="1"/>
    <s v="Travel_Rarely"/>
    <n v="531"/>
    <x v="1"/>
    <n v="4"/>
    <s v="Master"/>
    <x v="3"/>
    <s v="Very High"/>
    <x v="1"/>
    <n v="56"/>
    <s v="Medium"/>
    <x v="2"/>
    <s v="Sales Executive"/>
    <s v="Very High"/>
    <s v="Single"/>
    <n v="10231"/>
    <n v="20364"/>
    <n v="3"/>
    <s v="No"/>
    <n v="14"/>
    <s v="Excellent"/>
    <s v="Very High"/>
    <n v="0"/>
    <n v="23"/>
    <n v="3"/>
    <s v="Best"/>
    <x v="17"/>
    <s v="10-40"/>
    <n v="7"/>
    <n v="15"/>
    <n v="17"/>
    <n v="927"/>
  </r>
  <r>
    <n v="36"/>
    <x v="0"/>
    <x v="1"/>
    <s v="Travel_Rarely"/>
    <n v="429"/>
    <x v="0"/>
    <n v="2"/>
    <s v="Master"/>
    <x v="0"/>
    <s v="High"/>
    <x v="1"/>
    <n v="53"/>
    <s v="High"/>
    <x v="0"/>
    <s v="Manufacturing Director"/>
    <s v="Medium"/>
    <s v="Single"/>
    <n v="5410"/>
    <n v="2323"/>
    <n v="9"/>
    <s v="Yes"/>
    <n v="11"/>
    <s v="Excellent"/>
    <s v="Very High"/>
    <n v="0"/>
    <n v="18"/>
    <n v="2"/>
    <s v="Better"/>
    <x v="22"/>
    <s v="10-40"/>
    <n v="14"/>
    <n v="5"/>
    <n v="12"/>
    <n v="928"/>
  </r>
  <r>
    <n v="44"/>
    <x v="0"/>
    <x v="0"/>
    <s v="Travel_Rarely"/>
    <n v="621"/>
    <x v="0"/>
    <n v="15"/>
    <s v="Bachelor"/>
    <x v="2"/>
    <s v="Low"/>
    <x v="1"/>
    <n v="73"/>
    <s v="High"/>
    <x v="2"/>
    <s v="Healthcare Representative"/>
    <s v="Very High"/>
    <s v="Married"/>
    <n v="7978"/>
    <n v="14075"/>
    <n v="1"/>
    <s v="No"/>
    <n v="11"/>
    <s v="Excellent"/>
    <s v="Very High"/>
    <n v="1"/>
    <n v="10"/>
    <n v="2"/>
    <s v="Better"/>
    <x v="1"/>
    <s v="5-10"/>
    <n v="7"/>
    <n v="0"/>
    <n v="5"/>
    <n v="929"/>
  </r>
  <r>
    <n v="28"/>
    <x v="2"/>
    <x v="1"/>
    <s v="Travel_Frequently"/>
    <n v="193"/>
    <x v="0"/>
    <n v="2"/>
    <s v="Bachelor"/>
    <x v="0"/>
    <s v="Very High"/>
    <x v="0"/>
    <n v="52"/>
    <s v="Medium"/>
    <x v="1"/>
    <s v="Laboratory Technician"/>
    <s v="Very High"/>
    <s v="Married"/>
    <n v="3867"/>
    <n v="14222"/>
    <n v="1"/>
    <s v="Yes"/>
    <n v="12"/>
    <s v="Excellent"/>
    <s v="Medium"/>
    <n v="1"/>
    <n v="2"/>
    <n v="2"/>
    <s v="Better"/>
    <x v="4"/>
    <s v="0-5"/>
    <n v="2"/>
    <n v="2"/>
    <n v="2"/>
    <n v="930"/>
  </r>
  <r>
    <n v="51"/>
    <x v="1"/>
    <x v="1"/>
    <s v="Travel_Frequently"/>
    <n v="968"/>
    <x v="0"/>
    <n v="6"/>
    <s v="College"/>
    <x v="2"/>
    <s v="Medium"/>
    <x v="1"/>
    <n v="40"/>
    <s v="Medium"/>
    <x v="1"/>
    <s v="Laboratory Technician"/>
    <s v="High"/>
    <s v="Single"/>
    <n v="2838"/>
    <n v="4257"/>
    <n v="0"/>
    <s v="No"/>
    <n v="14"/>
    <s v="Excellent"/>
    <s v="Medium"/>
    <n v="0"/>
    <n v="8"/>
    <n v="6"/>
    <s v="Good"/>
    <x v="5"/>
    <s v="5-10"/>
    <n v="0"/>
    <n v="7"/>
    <n v="7"/>
    <n v="931"/>
  </r>
  <r>
    <n v="30"/>
    <x v="2"/>
    <x v="1"/>
    <s v="Non-Travel"/>
    <n v="879"/>
    <x v="0"/>
    <n v="9"/>
    <s v="College"/>
    <x v="2"/>
    <s v="High"/>
    <x v="1"/>
    <n v="72"/>
    <s v="High"/>
    <x v="0"/>
    <s v="Manufacturing Director"/>
    <s v="High"/>
    <s v="Single"/>
    <n v="4695"/>
    <n v="12858"/>
    <n v="7"/>
    <s v="Yes"/>
    <n v="18"/>
    <s v="Excellent"/>
    <s v="High"/>
    <n v="0"/>
    <n v="10"/>
    <n v="3"/>
    <s v="Better"/>
    <x v="3"/>
    <s v="5-10"/>
    <n v="4"/>
    <n v="1"/>
    <n v="7"/>
    <n v="932"/>
  </r>
  <r>
    <n v="29"/>
    <x v="2"/>
    <x v="0"/>
    <s v="Travel_Rarely"/>
    <n v="806"/>
    <x v="0"/>
    <n v="7"/>
    <s v="Bachelor"/>
    <x v="4"/>
    <s v="Medium"/>
    <x v="1"/>
    <n v="39"/>
    <s v="High"/>
    <x v="1"/>
    <s v="Laboratory Technician"/>
    <s v="High"/>
    <s v="Divorced"/>
    <n v="3339"/>
    <n v="17285"/>
    <n v="3"/>
    <s v="Yes"/>
    <n v="13"/>
    <s v="Excellent"/>
    <s v="Low"/>
    <n v="2"/>
    <n v="10"/>
    <n v="2"/>
    <s v="Better"/>
    <x v="5"/>
    <s v="5-10"/>
    <n v="7"/>
    <n v="7"/>
    <n v="7"/>
    <n v="933"/>
  </r>
  <r>
    <n v="28"/>
    <x v="2"/>
    <x v="1"/>
    <s v="Travel_Rarely"/>
    <n v="640"/>
    <x v="0"/>
    <n v="1"/>
    <s v="Bachelor"/>
    <x v="4"/>
    <s v="Very High"/>
    <x v="0"/>
    <n v="84"/>
    <s v="High"/>
    <x v="1"/>
    <s v="Research Scientist"/>
    <s v="Low"/>
    <s v="Single"/>
    <n v="2080"/>
    <n v="4732"/>
    <n v="2"/>
    <s v="No"/>
    <n v="11"/>
    <s v="Excellent"/>
    <s v="Medium"/>
    <n v="0"/>
    <n v="5"/>
    <n v="2"/>
    <s v="Good"/>
    <x v="11"/>
    <s v="0-5"/>
    <n v="2"/>
    <n v="1"/>
    <n v="2"/>
    <n v="934"/>
  </r>
  <r>
    <n v="25"/>
    <x v="4"/>
    <x v="1"/>
    <s v="Travel_Rarely"/>
    <n v="266"/>
    <x v="0"/>
    <n v="1"/>
    <s v="Bachelor"/>
    <x v="2"/>
    <s v="Very High"/>
    <x v="1"/>
    <n v="40"/>
    <s v="High"/>
    <x v="1"/>
    <s v="Research Scientist"/>
    <s v="Medium"/>
    <s v="Single"/>
    <n v="2096"/>
    <n v="18830"/>
    <n v="1"/>
    <s v="No"/>
    <n v="18"/>
    <s v="Excellent"/>
    <s v="Very High"/>
    <n v="0"/>
    <n v="2"/>
    <n v="3"/>
    <s v="Good"/>
    <x v="4"/>
    <s v="0-5"/>
    <n v="2"/>
    <n v="2"/>
    <n v="1"/>
    <n v="935"/>
  </r>
  <r>
    <n v="32"/>
    <x v="2"/>
    <x v="1"/>
    <s v="Travel_Rarely"/>
    <n v="604"/>
    <x v="1"/>
    <n v="8"/>
    <s v="Bachelor"/>
    <x v="2"/>
    <s v="High"/>
    <x v="0"/>
    <n v="56"/>
    <s v="Very High"/>
    <x v="0"/>
    <s v="Sales Executive"/>
    <s v="Very High"/>
    <s v="Married"/>
    <n v="6209"/>
    <n v="11693"/>
    <n v="1"/>
    <s v="No"/>
    <n v="15"/>
    <s v="Excellent"/>
    <s v="High"/>
    <n v="2"/>
    <n v="10"/>
    <n v="4"/>
    <s v="Best"/>
    <x v="1"/>
    <s v="5-10"/>
    <n v="7"/>
    <n v="0"/>
    <n v="8"/>
    <n v="936"/>
  </r>
  <r>
    <n v="45"/>
    <x v="0"/>
    <x v="1"/>
    <s v="Travel_Frequently"/>
    <n v="364"/>
    <x v="0"/>
    <n v="25"/>
    <s v="Bachelor"/>
    <x v="2"/>
    <s v="Medium"/>
    <x v="1"/>
    <n v="83"/>
    <s v="High"/>
    <x v="4"/>
    <s v="Manager"/>
    <s v="Medium"/>
    <s v="Single"/>
    <n v="18061"/>
    <n v="13035"/>
    <n v="3"/>
    <s v="No"/>
    <n v="22"/>
    <s v="Outstanding"/>
    <s v="High"/>
    <n v="0"/>
    <n v="22"/>
    <n v="4"/>
    <s v="Better"/>
    <x v="2"/>
    <s v="0-5"/>
    <n v="0"/>
    <n v="0"/>
    <n v="0"/>
    <n v="937"/>
  </r>
  <r>
    <n v="39"/>
    <x v="0"/>
    <x v="1"/>
    <s v="Travel_Rarely"/>
    <n v="412"/>
    <x v="0"/>
    <n v="13"/>
    <s v="Master"/>
    <x v="2"/>
    <s v="High"/>
    <x v="1"/>
    <n v="94"/>
    <s v="Medium"/>
    <x v="3"/>
    <s v="Manager"/>
    <s v="Medium"/>
    <s v="Divorced"/>
    <n v="17123"/>
    <n v="17334"/>
    <n v="6"/>
    <s v="Yes"/>
    <n v="13"/>
    <s v="Excellent"/>
    <s v="Very High"/>
    <n v="2"/>
    <n v="21"/>
    <n v="4"/>
    <s v="Better"/>
    <x v="27"/>
    <s v="10-40"/>
    <n v="9"/>
    <n v="15"/>
    <n v="2"/>
    <n v="938"/>
  </r>
  <r>
    <n v="58"/>
    <x v="3"/>
    <x v="1"/>
    <s v="Travel_Rarely"/>
    <n v="848"/>
    <x v="0"/>
    <n v="23"/>
    <s v="Master"/>
    <x v="0"/>
    <s v="Low"/>
    <x v="0"/>
    <n v="88"/>
    <s v="High"/>
    <x v="1"/>
    <s v="Research Scientist"/>
    <s v="High"/>
    <s v="Divorced"/>
    <n v="2372"/>
    <n v="26076"/>
    <n v="1"/>
    <s v="No"/>
    <n v="12"/>
    <s v="Excellent"/>
    <s v="Very High"/>
    <n v="2"/>
    <n v="2"/>
    <n v="3"/>
    <s v="Better"/>
    <x v="4"/>
    <s v="0-5"/>
    <n v="2"/>
    <n v="2"/>
    <n v="2"/>
    <n v="939"/>
  </r>
  <r>
    <n v="32"/>
    <x v="2"/>
    <x v="0"/>
    <s v="Travel_Rarely"/>
    <n v="1089"/>
    <x v="0"/>
    <n v="7"/>
    <s v="College"/>
    <x v="0"/>
    <s v="Very High"/>
    <x v="0"/>
    <n v="79"/>
    <s v="High"/>
    <x v="0"/>
    <s v="Laboratory Technician"/>
    <s v="High"/>
    <s v="Married"/>
    <n v="4883"/>
    <n v="22845"/>
    <n v="1"/>
    <s v="No"/>
    <n v="18"/>
    <s v="Excellent"/>
    <s v="Low"/>
    <n v="1"/>
    <n v="10"/>
    <n v="3"/>
    <s v="Better"/>
    <x v="1"/>
    <s v="5-10"/>
    <n v="4"/>
    <n v="1"/>
    <n v="1"/>
    <n v="940"/>
  </r>
  <r>
    <n v="39"/>
    <x v="0"/>
    <x v="0"/>
    <s v="Travel_Rarely"/>
    <n v="360"/>
    <x v="0"/>
    <n v="23"/>
    <s v="Bachelor"/>
    <x v="2"/>
    <s v="High"/>
    <x v="0"/>
    <n v="93"/>
    <s v="High"/>
    <x v="1"/>
    <s v="Research Scientist"/>
    <s v="Low"/>
    <s v="Single"/>
    <n v="3904"/>
    <n v="22154"/>
    <n v="0"/>
    <s v="No"/>
    <n v="13"/>
    <s v="Excellent"/>
    <s v="Low"/>
    <n v="0"/>
    <n v="6"/>
    <n v="2"/>
    <s v="Better"/>
    <x v="8"/>
    <s v="0-5"/>
    <n v="2"/>
    <n v="0"/>
    <n v="3"/>
    <n v="941"/>
  </r>
  <r>
    <n v="30"/>
    <x v="2"/>
    <x v="1"/>
    <s v="Travel_Rarely"/>
    <n v="1138"/>
    <x v="0"/>
    <n v="6"/>
    <s v="Bachelor"/>
    <x v="4"/>
    <s v="Low"/>
    <x v="1"/>
    <n v="48"/>
    <s v="Medium"/>
    <x v="0"/>
    <s v="Laboratory Technician"/>
    <s v="Very High"/>
    <s v="Married"/>
    <n v="4627"/>
    <n v="23631"/>
    <n v="0"/>
    <s v="No"/>
    <n v="12"/>
    <s v="Excellent"/>
    <s v="Low"/>
    <n v="1"/>
    <n v="10"/>
    <n v="6"/>
    <s v="Better"/>
    <x v="7"/>
    <s v="5-10"/>
    <n v="2"/>
    <n v="6"/>
    <n v="7"/>
    <n v="942"/>
  </r>
  <r>
    <n v="36"/>
    <x v="0"/>
    <x v="1"/>
    <s v="Travel_Rarely"/>
    <n v="325"/>
    <x v="0"/>
    <n v="10"/>
    <s v="Master"/>
    <x v="4"/>
    <s v="Very High"/>
    <x v="1"/>
    <n v="63"/>
    <s v="High"/>
    <x v="2"/>
    <s v="Healthcare Representative"/>
    <s v="High"/>
    <s v="Married"/>
    <n v="7094"/>
    <n v="5747"/>
    <n v="3"/>
    <s v="No"/>
    <n v="12"/>
    <s v="Excellent"/>
    <s v="Low"/>
    <n v="0"/>
    <n v="10"/>
    <n v="0"/>
    <s v="Better"/>
    <x v="5"/>
    <s v="5-10"/>
    <n v="7"/>
    <n v="1"/>
    <n v="7"/>
    <n v="943"/>
  </r>
  <r>
    <n v="46"/>
    <x v="1"/>
    <x v="1"/>
    <s v="Travel_Rarely"/>
    <n v="991"/>
    <x v="2"/>
    <n v="1"/>
    <s v="College"/>
    <x v="0"/>
    <s v="Very High"/>
    <x v="1"/>
    <n v="44"/>
    <s v="High"/>
    <x v="1"/>
    <s v="Human Resources"/>
    <s v="Low"/>
    <s v="Single"/>
    <n v="3423"/>
    <n v="22957"/>
    <n v="6"/>
    <s v="No"/>
    <n v="12"/>
    <s v="Excellent"/>
    <s v="High"/>
    <n v="0"/>
    <n v="10"/>
    <n v="3"/>
    <s v="Best"/>
    <x v="5"/>
    <s v="5-10"/>
    <n v="6"/>
    <n v="5"/>
    <n v="7"/>
    <n v="944"/>
  </r>
  <r>
    <n v="28"/>
    <x v="2"/>
    <x v="1"/>
    <s v="Non-Travel"/>
    <n v="1476"/>
    <x v="0"/>
    <n v="1"/>
    <s v="Bachelor"/>
    <x v="0"/>
    <s v="High"/>
    <x v="1"/>
    <n v="55"/>
    <s v="Low"/>
    <x v="0"/>
    <s v="Laboratory Technician"/>
    <s v="Very High"/>
    <s v="Married"/>
    <n v="6674"/>
    <n v="16392"/>
    <n v="0"/>
    <s v="No"/>
    <n v="11"/>
    <s v="Excellent"/>
    <s v="Low"/>
    <n v="3"/>
    <n v="10"/>
    <n v="6"/>
    <s v="Better"/>
    <x v="7"/>
    <s v="5-10"/>
    <n v="8"/>
    <n v="7"/>
    <n v="5"/>
    <n v="945"/>
  </r>
  <r>
    <n v="50"/>
    <x v="1"/>
    <x v="1"/>
    <s v="Travel_Rarely"/>
    <n v="1322"/>
    <x v="0"/>
    <n v="28"/>
    <s v="Bachelor"/>
    <x v="0"/>
    <s v="Very High"/>
    <x v="1"/>
    <n v="43"/>
    <s v="High"/>
    <x v="3"/>
    <s v="Research Director"/>
    <s v="Low"/>
    <s v="Married"/>
    <n v="16880"/>
    <n v="22422"/>
    <n v="4"/>
    <s v="Yes"/>
    <n v="11"/>
    <s v="Excellent"/>
    <s v="Medium"/>
    <n v="0"/>
    <n v="25"/>
    <n v="2"/>
    <s v="Better"/>
    <x v="11"/>
    <s v="0-5"/>
    <n v="2"/>
    <n v="1"/>
    <n v="2"/>
    <n v="946"/>
  </r>
  <r>
    <n v="40"/>
    <x v="0"/>
    <x v="0"/>
    <s v="Travel_Rarely"/>
    <n v="299"/>
    <x v="1"/>
    <n v="25"/>
    <s v="Master"/>
    <x v="3"/>
    <s v="Very High"/>
    <x v="0"/>
    <n v="57"/>
    <s v="Medium"/>
    <x v="2"/>
    <s v="Sales Executive"/>
    <s v="Medium"/>
    <s v="Single"/>
    <n v="9094"/>
    <n v="17235"/>
    <n v="2"/>
    <s v="Yes"/>
    <n v="12"/>
    <s v="Excellent"/>
    <s v="High"/>
    <n v="0"/>
    <n v="9"/>
    <n v="2"/>
    <s v="Better"/>
    <x v="8"/>
    <s v="0-5"/>
    <n v="4"/>
    <n v="1"/>
    <n v="0"/>
    <n v="947"/>
  </r>
  <r>
    <n v="52"/>
    <x v="1"/>
    <x v="0"/>
    <s v="Travel_Rarely"/>
    <n v="1030"/>
    <x v="1"/>
    <n v="5"/>
    <s v="Bachelor"/>
    <x v="0"/>
    <s v="Medium"/>
    <x v="0"/>
    <n v="64"/>
    <s v="High"/>
    <x v="2"/>
    <s v="Sales Executive"/>
    <s v="Medium"/>
    <s v="Single"/>
    <n v="8446"/>
    <n v="21534"/>
    <n v="9"/>
    <s v="Yes"/>
    <n v="19"/>
    <s v="Excellent"/>
    <s v="High"/>
    <n v="0"/>
    <n v="10"/>
    <n v="2"/>
    <s v="Good"/>
    <x v="3"/>
    <s v="5-10"/>
    <n v="7"/>
    <n v="7"/>
    <n v="7"/>
    <n v="948"/>
  </r>
  <r>
    <n v="30"/>
    <x v="2"/>
    <x v="1"/>
    <s v="Travel_Rarely"/>
    <n v="634"/>
    <x v="0"/>
    <n v="17"/>
    <s v="Master"/>
    <x v="2"/>
    <s v="Medium"/>
    <x v="1"/>
    <n v="95"/>
    <s v="High"/>
    <x v="2"/>
    <s v="Manager"/>
    <s v="Low"/>
    <s v="Married"/>
    <n v="11916"/>
    <n v="25927"/>
    <n v="1"/>
    <s v="Yes"/>
    <n v="23"/>
    <s v="Outstanding"/>
    <s v="Very High"/>
    <n v="2"/>
    <n v="9"/>
    <n v="2"/>
    <s v="Better"/>
    <x v="7"/>
    <s v="5-10"/>
    <n v="1"/>
    <n v="0"/>
    <n v="8"/>
    <n v="949"/>
  </r>
  <r>
    <n v="39"/>
    <x v="0"/>
    <x v="1"/>
    <s v="Travel_Rarely"/>
    <n v="524"/>
    <x v="0"/>
    <n v="18"/>
    <s v="College"/>
    <x v="0"/>
    <s v="Low"/>
    <x v="0"/>
    <n v="32"/>
    <s v="High"/>
    <x v="0"/>
    <s v="Manufacturing Director"/>
    <s v="High"/>
    <s v="Single"/>
    <n v="4534"/>
    <n v="13352"/>
    <n v="0"/>
    <s v="No"/>
    <n v="11"/>
    <s v="Excellent"/>
    <s v="Low"/>
    <n v="0"/>
    <n v="9"/>
    <n v="6"/>
    <s v="Better"/>
    <x v="3"/>
    <s v="5-10"/>
    <n v="7"/>
    <n v="1"/>
    <n v="7"/>
    <n v="950"/>
  </r>
  <r>
    <n v="31"/>
    <x v="2"/>
    <x v="1"/>
    <s v="Non-Travel"/>
    <n v="587"/>
    <x v="1"/>
    <n v="2"/>
    <s v="Master"/>
    <x v="0"/>
    <s v="Very High"/>
    <x v="1"/>
    <n v="57"/>
    <s v="High"/>
    <x v="2"/>
    <s v="Sales Executive"/>
    <s v="High"/>
    <s v="Divorced"/>
    <n v="9852"/>
    <n v="8935"/>
    <n v="1"/>
    <s v="Yes"/>
    <n v="19"/>
    <s v="Excellent"/>
    <s v="Low"/>
    <n v="1"/>
    <n v="10"/>
    <n v="5"/>
    <s v="Good"/>
    <x v="1"/>
    <s v="5-10"/>
    <n v="8"/>
    <n v="9"/>
    <n v="6"/>
    <n v="951"/>
  </r>
  <r>
    <n v="41"/>
    <x v="0"/>
    <x v="1"/>
    <s v="Non-Travel"/>
    <n v="256"/>
    <x v="1"/>
    <n v="10"/>
    <s v="College"/>
    <x v="2"/>
    <s v="High"/>
    <x v="0"/>
    <n v="40"/>
    <s v="Low"/>
    <x v="0"/>
    <s v="Sales Executive"/>
    <s v="Medium"/>
    <s v="Single"/>
    <n v="6151"/>
    <n v="22074"/>
    <n v="1"/>
    <s v="No"/>
    <n v="13"/>
    <s v="Excellent"/>
    <s v="Low"/>
    <n v="0"/>
    <n v="19"/>
    <n v="4"/>
    <s v="Better"/>
    <x v="27"/>
    <s v="10-40"/>
    <n v="2"/>
    <n v="11"/>
    <n v="9"/>
    <n v="952"/>
  </r>
  <r>
    <n v="31"/>
    <x v="2"/>
    <x v="0"/>
    <s v="Travel_Frequently"/>
    <n v="1060"/>
    <x v="1"/>
    <n v="1"/>
    <s v="Bachelor"/>
    <x v="0"/>
    <s v="Very High"/>
    <x v="1"/>
    <n v="54"/>
    <s v="High"/>
    <x v="1"/>
    <s v="Sales Representative"/>
    <s v="Medium"/>
    <s v="Single"/>
    <n v="2302"/>
    <n v="8319"/>
    <n v="1"/>
    <s v="Yes"/>
    <n v="11"/>
    <s v="Excellent"/>
    <s v="Low"/>
    <n v="0"/>
    <n v="3"/>
    <n v="2"/>
    <s v="Best"/>
    <x v="11"/>
    <s v="0-5"/>
    <n v="2"/>
    <n v="2"/>
    <n v="2"/>
    <n v="953"/>
  </r>
  <r>
    <n v="44"/>
    <x v="0"/>
    <x v="0"/>
    <s v="Travel_Rarely"/>
    <n v="935"/>
    <x v="0"/>
    <n v="3"/>
    <s v="Bachelor"/>
    <x v="0"/>
    <s v="Low"/>
    <x v="0"/>
    <n v="89"/>
    <s v="High"/>
    <x v="1"/>
    <s v="Laboratory Technician"/>
    <s v="Low"/>
    <s v="Married"/>
    <n v="2362"/>
    <n v="14669"/>
    <n v="4"/>
    <s v="No"/>
    <n v="12"/>
    <s v="Excellent"/>
    <s v="High"/>
    <n v="0"/>
    <n v="10"/>
    <n v="4"/>
    <s v="Best"/>
    <x v="11"/>
    <s v="0-5"/>
    <n v="2"/>
    <n v="1"/>
    <n v="2"/>
    <n v="954"/>
  </r>
  <r>
    <n v="42"/>
    <x v="0"/>
    <x v="1"/>
    <s v="Non-Travel"/>
    <n v="495"/>
    <x v="0"/>
    <n v="2"/>
    <s v="Below College"/>
    <x v="0"/>
    <s v="High"/>
    <x v="0"/>
    <n v="37"/>
    <s v="High"/>
    <x v="3"/>
    <s v="Manager"/>
    <s v="High"/>
    <s v="Married"/>
    <n v="17861"/>
    <n v="26582"/>
    <n v="0"/>
    <s v="Yes"/>
    <n v="13"/>
    <s v="Excellent"/>
    <s v="Very High"/>
    <n v="0"/>
    <n v="21"/>
    <n v="3"/>
    <s v="Good"/>
    <x v="23"/>
    <s v="10-40"/>
    <n v="8"/>
    <n v="2"/>
    <n v="10"/>
    <n v="955"/>
  </r>
  <r>
    <n v="55"/>
    <x v="1"/>
    <x v="1"/>
    <s v="Travel_Rarely"/>
    <n v="282"/>
    <x v="0"/>
    <n v="2"/>
    <s v="College"/>
    <x v="2"/>
    <s v="Very High"/>
    <x v="1"/>
    <n v="58"/>
    <s v="Low"/>
    <x v="4"/>
    <s v="Manager"/>
    <s v="High"/>
    <s v="Married"/>
    <n v="19187"/>
    <n v="6992"/>
    <n v="4"/>
    <s v="No"/>
    <n v="14"/>
    <s v="Excellent"/>
    <s v="Very High"/>
    <n v="1"/>
    <n v="23"/>
    <n v="5"/>
    <s v="Better"/>
    <x v="27"/>
    <s v="10-40"/>
    <n v="9"/>
    <n v="9"/>
    <n v="11"/>
    <n v="956"/>
  </r>
  <r>
    <n v="56"/>
    <x v="3"/>
    <x v="1"/>
    <s v="Travel_Rarely"/>
    <n v="206"/>
    <x v="2"/>
    <n v="8"/>
    <s v="Master"/>
    <x v="0"/>
    <s v="Very High"/>
    <x v="0"/>
    <n v="99"/>
    <s v="High"/>
    <x v="4"/>
    <s v="Manager"/>
    <s v="Medium"/>
    <s v="Single"/>
    <n v="19717"/>
    <n v="4022"/>
    <n v="6"/>
    <s v="No"/>
    <n v="14"/>
    <s v="Excellent"/>
    <s v="Low"/>
    <n v="0"/>
    <n v="36"/>
    <n v="4"/>
    <s v="Better"/>
    <x v="5"/>
    <s v="5-10"/>
    <n v="3"/>
    <n v="7"/>
    <n v="7"/>
    <n v="957"/>
  </r>
  <r>
    <n v="40"/>
    <x v="0"/>
    <x v="1"/>
    <s v="Non-Travel"/>
    <n v="458"/>
    <x v="0"/>
    <n v="16"/>
    <s v="College"/>
    <x v="0"/>
    <s v="High"/>
    <x v="0"/>
    <n v="74"/>
    <s v="High"/>
    <x v="1"/>
    <s v="Research Scientist"/>
    <s v="High"/>
    <s v="Divorced"/>
    <n v="3544"/>
    <n v="8532"/>
    <n v="9"/>
    <s v="No"/>
    <n v="16"/>
    <s v="Excellent"/>
    <s v="Medium"/>
    <n v="1"/>
    <n v="6"/>
    <n v="0"/>
    <s v="Better"/>
    <x v="9"/>
    <s v="0-5"/>
    <n v="2"/>
    <n v="0"/>
    <n v="0"/>
    <n v="958"/>
  </r>
  <r>
    <n v="34"/>
    <x v="2"/>
    <x v="1"/>
    <s v="Travel_Rarely"/>
    <n v="943"/>
    <x v="0"/>
    <n v="9"/>
    <s v="Bachelor"/>
    <x v="0"/>
    <s v="Very High"/>
    <x v="0"/>
    <n v="86"/>
    <s v="High"/>
    <x v="2"/>
    <s v="Healthcare Representative"/>
    <s v="Very High"/>
    <s v="Divorced"/>
    <n v="8500"/>
    <n v="5494"/>
    <n v="0"/>
    <s v="No"/>
    <n v="11"/>
    <s v="Excellent"/>
    <s v="Very High"/>
    <n v="1"/>
    <n v="10"/>
    <n v="0"/>
    <s v="Good"/>
    <x v="7"/>
    <s v="5-10"/>
    <n v="7"/>
    <n v="1"/>
    <n v="6"/>
    <n v="959"/>
  </r>
  <r>
    <n v="40"/>
    <x v="0"/>
    <x v="1"/>
    <s v="Travel_Rarely"/>
    <n v="523"/>
    <x v="0"/>
    <n v="2"/>
    <s v="Bachelor"/>
    <x v="0"/>
    <s v="High"/>
    <x v="0"/>
    <n v="98"/>
    <s v="High"/>
    <x v="0"/>
    <s v="Research Scientist"/>
    <s v="Very High"/>
    <s v="Single"/>
    <n v="4661"/>
    <n v="22455"/>
    <n v="1"/>
    <s v="No"/>
    <n v="13"/>
    <s v="Excellent"/>
    <s v="High"/>
    <n v="0"/>
    <n v="9"/>
    <n v="4"/>
    <s v="Better"/>
    <x v="7"/>
    <s v="5-10"/>
    <n v="8"/>
    <n v="8"/>
    <n v="8"/>
    <n v="960"/>
  </r>
  <r>
    <n v="41"/>
    <x v="0"/>
    <x v="1"/>
    <s v="Travel_Frequently"/>
    <n v="1018"/>
    <x v="1"/>
    <n v="1"/>
    <s v="Bachelor"/>
    <x v="3"/>
    <s v="High"/>
    <x v="1"/>
    <n v="66"/>
    <s v="High"/>
    <x v="0"/>
    <s v="Sales Executive"/>
    <s v="Low"/>
    <s v="Divorced"/>
    <n v="4103"/>
    <n v="4297"/>
    <n v="0"/>
    <s v="No"/>
    <n v="17"/>
    <s v="Excellent"/>
    <s v="Very High"/>
    <n v="1"/>
    <n v="10"/>
    <n v="2"/>
    <s v="Better"/>
    <x v="7"/>
    <s v="5-10"/>
    <n v="3"/>
    <n v="1"/>
    <n v="7"/>
    <n v="961"/>
  </r>
  <r>
    <n v="35"/>
    <x v="2"/>
    <x v="1"/>
    <s v="Travel_Frequently"/>
    <n v="482"/>
    <x v="0"/>
    <n v="4"/>
    <s v="Master"/>
    <x v="0"/>
    <s v="High"/>
    <x v="0"/>
    <n v="87"/>
    <s v="High"/>
    <x v="0"/>
    <s v="Research Scientist"/>
    <s v="High"/>
    <s v="Single"/>
    <n v="4249"/>
    <n v="2690"/>
    <n v="1"/>
    <s v="Yes"/>
    <n v="11"/>
    <s v="Excellent"/>
    <s v="Medium"/>
    <n v="0"/>
    <n v="9"/>
    <n v="3"/>
    <s v="Better"/>
    <x v="7"/>
    <s v="5-10"/>
    <n v="6"/>
    <n v="1"/>
    <n v="1"/>
    <n v="962"/>
  </r>
  <r>
    <n v="51"/>
    <x v="1"/>
    <x v="1"/>
    <s v="Travel_Rarely"/>
    <n v="770"/>
    <x v="2"/>
    <n v="5"/>
    <s v="Bachelor"/>
    <x v="0"/>
    <s v="High"/>
    <x v="0"/>
    <n v="84"/>
    <s v="High"/>
    <x v="3"/>
    <s v="Manager"/>
    <s v="Medium"/>
    <s v="Divorced"/>
    <n v="14026"/>
    <n v="17588"/>
    <n v="1"/>
    <s v="Yes"/>
    <n v="11"/>
    <s v="Excellent"/>
    <s v="Medium"/>
    <n v="1"/>
    <n v="33"/>
    <n v="2"/>
    <s v="Better"/>
    <x v="26"/>
    <s v="10-40"/>
    <n v="9"/>
    <n v="0"/>
    <n v="10"/>
    <n v="963"/>
  </r>
  <r>
    <n v="38"/>
    <x v="0"/>
    <x v="1"/>
    <s v="Travel_Rarely"/>
    <n v="1009"/>
    <x v="1"/>
    <n v="2"/>
    <s v="College"/>
    <x v="0"/>
    <s v="Medium"/>
    <x v="1"/>
    <n v="31"/>
    <s v="High"/>
    <x v="0"/>
    <s v="Sales Executive"/>
    <s v="Low"/>
    <s v="Divorced"/>
    <n v="6893"/>
    <n v="19461"/>
    <n v="3"/>
    <s v="No"/>
    <n v="15"/>
    <s v="Excellent"/>
    <s v="Very High"/>
    <n v="1"/>
    <n v="11"/>
    <n v="3"/>
    <s v="Better"/>
    <x v="5"/>
    <s v="5-10"/>
    <n v="7"/>
    <n v="1"/>
    <n v="7"/>
    <n v="964"/>
  </r>
  <r>
    <n v="34"/>
    <x v="2"/>
    <x v="1"/>
    <s v="Travel_Rarely"/>
    <n v="507"/>
    <x v="1"/>
    <n v="15"/>
    <s v="College"/>
    <x v="2"/>
    <s v="High"/>
    <x v="1"/>
    <n v="66"/>
    <s v="High"/>
    <x v="0"/>
    <s v="Sales Executive"/>
    <s v="Low"/>
    <s v="Single"/>
    <n v="6125"/>
    <n v="23553"/>
    <n v="1"/>
    <s v="No"/>
    <n v="12"/>
    <s v="Excellent"/>
    <s v="Very High"/>
    <n v="0"/>
    <n v="10"/>
    <n v="6"/>
    <s v="Best"/>
    <x v="1"/>
    <s v="5-10"/>
    <n v="8"/>
    <n v="9"/>
    <n v="6"/>
    <n v="965"/>
  </r>
  <r>
    <n v="25"/>
    <x v="4"/>
    <x v="1"/>
    <s v="Travel_Rarely"/>
    <n v="882"/>
    <x v="0"/>
    <n v="19"/>
    <s v="Below College"/>
    <x v="2"/>
    <s v="Very High"/>
    <x v="0"/>
    <n v="67"/>
    <s v="High"/>
    <x v="1"/>
    <s v="Laboratory Technician"/>
    <s v="Very High"/>
    <s v="Married"/>
    <n v="3669"/>
    <n v="9075"/>
    <n v="3"/>
    <s v="No"/>
    <n v="11"/>
    <s v="Excellent"/>
    <s v="High"/>
    <n v="3"/>
    <n v="7"/>
    <n v="6"/>
    <s v="Good"/>
    <x v="11"/>
    <s v="0-5"/>
    <n v="2"/>
    <n v="1"/>
    <n v="2"/>
    <n v="966"/>
  </r>
  <r>
    <n v="58"/>
    <x v="3"/>
    <x v="0"/>
    <s v="Travel_Rarely"/>
    <n v="601"/>
    <x v="0"/>
    <n v="7"/>
    <s v="Master"/>
    <x v="2"/>
    <s v="High"/>
    <x v="1"/>
    <n v="53"/>
    <s v="Medium"/>
    <x v="2"/>
    <s v="Manufacturing Director"/>
    <s v="Low"/>
    <s v="Married"/>
    <n v="10008"/>
    <n v="12023"/>
    <n v="7"/>
    <s v="Yes"/>
    <n v="14"/>
    <s v="Excellent"/>
    <s v="Very High"/>
    <n v="0"/>
    <n v="31"/>
    <n v="0"/>
    <s v="Good"/>
    <x v="1"/>
    <s v="5-10"/>
    <n v="9"/>
    <n v="5"/>
    <n v="9"/>
    <n v="967"/>
  </r>
  <r>
    <n v="40"/>
    <x v="0"/>
    <x v="1"/>
    <s v="Travel_Rarely"/>
    <n v="329"/>
    <x v="0"/>
    <n v="1"/>
    <s v="Master"/>
    <x v="0"/>
    <s v="Medium"/>
    <x v="0"/>
    <n v="88"/>
    <s v="High"/>
    <x v="1"/>
    <s v="Laboratory Technician"/>
    <s v="Medium"/>
    <s v="Married"/>
    <n v="2387"/>
    <n v="6762"/>
    <n v="3"/>
    <s v="No"/>
    <n v="22"/>
    <s v="Outstanding"/>
    <s v="High"/>
    <n v="1"/>
    <n v="7"/>
    <n v="3"/>
    <s v="Better"/>
    <x v="9"/>
    <s v="0-5"/>
    <n v="2"/>
    <n v="0"/>
    <n v="3"/>
    <n v="968"/>
  </r>
  <r>
    <n v="36"/>
    <x v="0"/>
    <x v="1"/>
    <s v="Travel_Frequently"/>
    <n v="607"/>
    <x v="1"/>
    <n v="7"/>
    <s v="Bachelor"/>
    <x v="3"/>
    <s v="Low"/>
    <x v="1"/>
    <n v="83"/>
    <s v="Very High"/>
    <x v="0"/>
    <s v="Sales Executive"/>
    <s v="Low"/>
    <s v="Married"/>
    <n v="4639"/>
    <n v="2261"/>
    <n v="2"/>
    <s v="No"/>
    <n v="16"/>
    <s v="Excellent"/>
    <s v="Very High"/>
    <n v="1"/>
    <n v="17"/>
    <n v="2"/>
    <s v="Good"/>
    <x v="15"/>
    <s v="10-40"/>
    <n v="7"/>
    <n v="6"/>
    <n v="13"/>
    <n v="969"/>
  </r>
  <r>
    <n v="48"/>
    <x v="1"/>
    <x v="1"/>
    <s v="Travel_Rarely"/>
    <n v="855"/>
    <x v="0"/>
    <n v="4"/>
    <s v="Bachelor"/>
    <x v="0"/>
    <s v="Very High"/>
    <x v="0"/>
    <n v="54"/>
    <s v="High"/>
    <x v="2"/>
    <s v="Manufacturing Director"/>
    <s v="Very High"/>
    <s v="Single"/>
    <n v="7898"/>
    <n v="18706"/>
    <n v="1"/>
    <s v="No"/>
    <n v="11"/>
    <s v="Excellent"/>
    <s v="High"/>
    <n v="0"/>
    <n v="11"/>
    <n v="2"/>
    <s v="Better"/>
    <x v="1"/>
    <s v="5-10"/>
    <n v="9"/>
    <n v="0"/>
    <n v="8"/>
    <n v="970"/>
  </r>
  <r>
    <n v="27"/>
    <x v="2"/>
    <x v="1"/>
    <s v="Travel_Rarely"/>
    <n v="1291"/>
    <x v="1"/>
    <n v="11"/>
    <s v="Bachelor"/>
    <x v="2"/>
    <s v="High"/>
    <x v="1"/>
    <n v="98"/>
    <s v="Very High"/>
    <x v="1"/>
    <s v="Sales Representative"/>
    <s v="Very High"/>
    <s v="Married"/>
    <n v="2534"/>
    <n v="6527"/>
    <n v="8"/>
    <s v="No"/>
    <n v="14"/>
    <s v="Excellent"/>
    <s v="Medium"/>
    <n v="1"/>
    <n v="5"/>
    <n v="4"/>
    <s v="Better"/>
    <x v="6"/>
    <s v="0-5"/>
    <n v="0"/>
    <n v="0"/>
    <n v="0"/>
    <n v="971"/>
  </r>
  <r>
    <n v="51"/>
    <x v="1"/>
    <x v="1"/>
    <s v="Travel_Rarely"/>
    <n v="1405"/>
    <x v="0"/>
    <n v="11"/>
    <s v="College"/>
    <x v="4"/>
    <s v="Very High"/>
    <x v="1"/>
    <n v="82"/>
    <s v="Medium"/>
    <x v="3"/>
    <s v="Manufacturing Director"/>
    <s v="Medium"/>
    <s v="Single"/>
    <n v="13142"/>
    <n v="24439"/>
    <n v="3"/>
    <s v="No"/>
    <n v="16"/>
    <s v="Excellent"/>
    <s v="Medium"/>
    <n v="0"/>
    <n v="29"/>
    <n v="1"/>
    <s v="Good"/>
    <x v="8"/>
    <s v="0-5"/>
    <n v="2"/>
    <n v="0"/>
    <n v="3"/>
    <n v="972"/>
  </r>
  <r>
    <n v="18"/>
    <x v="4"/>
    <x v="1"/>
    <s v="Non-Travel"/>
    <n v="1124"/>
    <x v="0"/>
    <n v="1"/>
    <s v="Bachelor"/>
    <x v="0"/>
    <s v="Very High"/>
    <x v="1"/>
    <n v="97"/>
    <s v="High"/>
    <x v="1"/>
    <s v="Laboratory Technician"/>
    <s v="Very High"/>
    <s v="Single"/>
    <n v="1611"/>
    <n v="19305"/>
    <n v="1"/>
    <s v="No"/>
    <n v="15"/>
    <s v="Excellent"/>
    <s v="High"/>
    <n v="0"/>
    <n v="0"/>
    <n v="5"/>
    <s v="Best"/>
    <x v="2"/>
    <s v="0-5"/>
    <n v="0"/>
    <n v="0"/>
    <n v="0"/>
    <n v="973"/>
  </r>
  <r>
    <n v="35"/>
    <x v="2"/>
    <x v="1"/>
    <s v="Travel_Rarely"/>
    <n v="817"/>
    <x v="0"/>
    <n v="1"/>
    <s v="Bachelor"/>
    <x v="2"/>
    <s v="Very High"/>
    <x v="1"/>
    <n v="60"/>
    <s v="Medium"/>
    <x v="0"/>
    <s v="Laboratory Technician"/>
    <s v="Very High"/>
    <s v="Married"/>
    <n v="5363"/>
    <n v="10846"/>
    <n v="0"/>
    <s v="No"/>
    <n v="12"/>
    <s v="Excellent"/>
    <s v="Medium"/>
    <n v="1"/>
    <n v="10"/>
    <n v="0"/>
    <s v="Better"/>
    <x v="7"/>
    <s v="5-10"/>
    <n v="7"/>
    <n v="0"/>
    <n v="0"/>
    <n v="974"/>
  </r>
  <r>
    <n v="27"/>
    <x v="2"/>
    <x v="1"/>
    <s v="Travel_Frequently"/>
    <n v="793"/>
    <x v="1"/>
    <n v="2"/>
    <s v="Below College"/>
    <x v="0"/>
    <s v="Very High"/>
    <x v="0"/>
    <n v="43"/>
    <s v="Low"/>
    <x v="0"/>
    <s v="Sales Executive"/>
    <s v="Very High"/>
    <s v="Single"/>
    <n v="5071"/>
    <n v="20392"/>
    <n v="3"/>
    <s v="No"/>
    <n v="20"/>
    <s v="Outstanding"/>
    <s v="Medium"/>
    <n v="0"/>
    <n v="8"/>
    <n v="3"/>
    <s v="Better"/>
    <x v="0"/>
    <s v="5-10"/>
    <n v="2"/>
    <n v="0"/>
    <n v="0"/>
    <n v="975"/>
  </r>
  <r>
    <n v="55"/>
    <x v="1"/>
    <x v="0"/>
    <s v="Travel_Rarely"/>
    <n v="267"/>
    <x v="1"/>
    <n v="13"/>
    <s v="Master"/>
    <x v="3"/>
    <s v="Low"/>
    <x v="0"/>
    <n v="85"/>
    <s v="Very High"/>
    <x v="3"/>
    <s v="Sales Executive"/>
    <s v="High"/>
    <s v="Single"/>
    <n v="13695"/>
    <n v="9277"/>
    <n v="6"/>
    <s v="Yes"/>
    <n v="17"/>
    <s v="Excellent"/>
    <s v="High"/>
    <n v="0"/>
    <n v="24"/>
    <n v="2"/>
    <s v="Good"/>
    <x v="27"/>
    <s v="10-40"/>
    <n v="7"/>
    <n v="3"/>
    <n v="8"/>
    <n v="976"/>
  </r>
  <r>
    <n v="56"/>
    <x v="3"/>
    <x v="1"/>
    <s v="Travel_Rarely"/>
    <n v="1369"/>
    <x v="0"/>
    <n v="23"/>
    <s v="Bachelor"/>
    <x v="0"/>
    <s v="Very High"/>
    <x v="0"/>
    <n v="68"/>
    <s v="High"/>
    <x v="3"/>
    <s v="Manufacturing Director"/>
    <s v="Medium"/>
    <s v="Married"/>
    <n v="13402"/>
    <n v="18235"/>
    <n v="4"/>
    <s v="Yes"/>
    <n v="12"/>
    <s v="Excellent"/>
    <s v="Low"/>
    <n v="1"/>
    <n v="33"/>
    <n v="0"/>
    <s v="Better"/>
    <x v="27"/>
    <s v="10-40"/>
    <n v="16"/>
    <n v="15"/>
    <n v="9"/>
    <n v="977"/>
  </r>
  <r>
    <n v="34"/>
    <x v="2"/>
    <x v="1"/>
    <s v="Non-Travel"/>
    <n v="999"/>
    <x v="0"/>
    <n v="26"/>
    <s v="Below College"/>
    <x v="4"/>
    <s v="Low"/>
    <x v="1"/>
    <n v="92"/>
    <s v="Medium"/>
    <x v="1"/>
    <s v="Research Scientist"/>
    <s v="High"/>
    <s v="Divorced"/>
    <n v="2029"/>
    <n v="15891"/>
    <n v="1"/>
    <s v="No"/>
    <n v="20"/>
    <s v="Outstanding"/>
    <s v="High"/>
    <n v="3"/>
    <n v="5"/>
    <n v="2"/>
    <s v="Better"/>
    <x v="8"/>
    <s v="0-5"/>
    <n v="4"/>
    <n v="0"/>
    <n v="0"/>
    <n v="978"/>
  </r>
  <r>
    <n v="40"/>
    <x v="0"/>
    <x v="1"/>
    <s v="Travel_Rarely"/>
    <n v="1202"/>
    <x v="0"/>
    <n v="2"/>
    <s v="Below College"/>
    <x v="2"/>
    <s v="Medium"/>
    <x v="1"/>
    <n v="89"/>
    <s v="Very High"/>
    <x v="0"/>
    <s v="Healthcare Representative"/>
    <s v="High"/>
    <s v="Divorced"/>
    <n v="6377"/>
    <n v="13888"/>
    <n v="5"/>
    <s v="No"/>
    <n v="20"/>
    <s v="Outstanding"/>
    <s v="Medium"/>
    <n v="3"/>
    <n v="15"/>
    <n v="0"/>
    <s v="Better"/>
    <x v="12"/>
    <s v="10-40"/>
    <n v="11"/>
    <n v="11"/>
    <n v="8"/>
    <n v="979"/>
  </r>
  <r>
    <n v="34"/>
    <x v="2"/>
    <x v="1"/>
    <s v="Travel_Rarely"/>
    <n v="285"/>
    <x v="0"/>
    <n v="29"/>
    <s v="Bachelor"/>
    <x v="2"/>
    <s v="Medium"/>
    <x v="0"/>
    <n v="86"/>
    <s v="High"/>
    <x v="0"/>
    <s v="Laboratory Technician"/>
    <s v="High"/>
    <s v="Married"/>
    <n v="5429"/>
    <n v="17491"/>
    <n v="4"/>
    <s v="No"/>
    <n v="13"/>
    <s v="Excellent"/>
    <s v="Low"/>
    <n v="2"/>
    <n v="10"/>
    <n v="1"/>
    <s v="Better"/>
    <x v="3"/>
    <s v="5-10"/>
    <n v="7"/>
    <n v="7"/>
    <n v="7"/>
    <n v="980"/>
  </r>
  <r>
    <n v="31"/>
    <x v="2"/>
    <x v="0"/>
    <s v="Travel_Frequently"/>
    <n v="703"/>
    <x v="1"/>
    <n v="2"/>
    <s v="Bachelor"/>
    <x v="0"/>
    <s v="High"/>
    <x v="1"/>
    <n v="90"/>
    <s v="Medium"/>
    <x v="1"/>
    <s v="Sales Representative"/>
    <s v="Very High"/>
    <s v="Single"/>
    <n v="2785"/>
    <n v="11882"/>
    <n v="7"/>
    <s v="No"/>
    <n v="14"/>
    <s v="Excellent"/>
    <s v="High"/>
    <n v="0"/>
    <n v="3"/>
    <n v="3"/>
    <s v="Best"/>
    <x v="6"/>
    <s v="0-5"/>
    <n v="0"/>
    <n v="0"/>
    <n v="0"/>
    <n v="981"/>
  </r>
  <r>
    <n v="35"/>
    <x v="2"/>
    <x v="0"/>
    <s v="Travel_Frequently"/>
    <n v="662"/>
    <x v="1"/>
    <n v="18"/>
    <s v="Master"/>
    <x v="3"/>
    <s v="Very High"/>
    <x v="1"/>
    <n v="67"/>
    <s v="High"/>
    <x v="0"/>
    <s v="Sales Executive"/>
    <s v="High"/>
    <s v="Married"/>
    <n v="4614"/>
    <n v="23288"/>
    <n v="0"/>
    <s v="Yes"/>
    <n v="18"/>
    <s v="Excellent"/>
    <s v="High"/>
    <n v="1"/>
    <n v="5"/>
    <n v="0"/>
    <s v="Good"/>
    <x v="9"/>
    <s v="0-5"/>
    <n v="2"/>
    <n v="3"/>
    <n v="2"/>
    <n v="982"/>
  </r>
  <r>
    <n v="38"/>
    <x v="0"/>
    <x v="1"/>
    <s v="Travel_Frequently"/>
    <n v="693"/>
    <x v="0"/>
    <n v="7"/>
    <s v="Bachelor"/>
    <x v="0"/>
    <s v="Very High"/>
    <x v="0"/>
    <n v="57"/>
    <s v="Very High"/>
    <x v="1"/>
    <s v="Research Scientist"/>
    <s v="High"/>
    <s v="Divorced"/>
    <n v="2610"/>
    <n v="15748"/>
    <n v="1"/>
    <s v="No"/>
    <n v="11"/>
    <s v="Excellent"/>
    <s v="Very High"/>
    <n v="3"/>
    <n v="4"/>
    <n v="2"/>
    <s v="Better"/>
    <x v="9"/>
    <s v="0-5"/>
    <n v="2"/>
    <n v="0"/>
    <n v="3"/>
    <n v="983"/>
  </r>
  <r>
    <n v="34"/>
    <x v="2"/>
    <x v="1"/>
    <s v="Travel_Rarely"/>
    <n v="404"/>
    <x v="0"/>
    <n v="2"/>
    <s v="Master"/>
    <x v="4"/>
    <s v="High"/>
    <x v="1"/>
    <n v="98"/>
    <s v="High"/>
    <x v="0"/>
    <s v="Healthcare Representative"/>
    <s v="Very High"/>
    <s v="Single"/>
    <n v="6687"/>
    <n v="6163"/>
    <n v="1"/>
    <s v="No"/>
    <n v="11"/>
    <s v="Excellent"/>
    <s v="Very High"/>
    <n v="0"/>
    <n v="14"/>
    <n v="2"/>
    <s v="Best"/>
    <x v="13"/>
    <s v="10-40"/>
    <n v="11"/>
    <n v="4"/>
    <n v="11"/>
    <n v="984"/>
  </r>
  <r>
    <n v="28"/>
    <x v="2"/>
    <x v="1"/>
    <s v="Travel_Rarely"/>
    <n v="736"/>
    <x v="1"/>
    <n v="26"/>
    <s v="Bachelor"/>
    <x v="0"/>
    <s v="High"/>
    <x v="0"/>
    <n v="48"/>
    <s v="Medium"/>
    <x v="0"/>
    <s v="Sales Executive"/>
    <s v="Low"/>
    <s v="Married"/>
    <n v="4724"/>
    <n v="24232"/>
    <n v="1"/>
    <s v="No"/>
    <n v="11"/>
    <s v="Excellent"/>
    <s v="High"/>
    <n v="1"/>
    <n v="5"/>
    <n v="0"/>
    <s v="Better"/>
    <x v="8"/>
    <s v="0-5"/>
    <n v="3"/>
    <n v="0"/>
    <n v="4"/>
    <n v="985"/>
  </r>
  <r>
    <n v="31"/>
    <x v="2"/>
    <x v="0"/>
    <s v="Travel_Rarely"/>
    <n v="330"/>
    <x v="0"/>
    <n v="22"/>
    <s v="Master"/>
    <x v="2"/>
    <s v="Very High"/>
    <x v="0"/>
    <n v="98"/>
    <s v="High"/>
    <x v="0"/>
    <s v="Manufacturing Director"/>
    <s v="High"/>
    <s v="Married"/>
    <n v="6179"/>
    <n v="21057"/>
    <n v="1"/>
    <s v="Yes"/>
    <n v="15"/>
    <s v="Excellent"/>
    <s v="Very High"/>
    <n v="2"/>
    <n v="10"/>
    <n v="3"/>
    <s v="Good"/>
    <x v="1"/>
    <s v="5-10"/>
    <n v="2"/>
    <n v="6"/>
    <n v="7"/>
    <n v="986"/>
  </r>
  <r>
    <n v="39"/>
    <x v="0"/>
    <x v="1"/>
    <s v="Travel_Rarely"/>
    <n v="1498"/>
    <x v="1"/>
    <n v="21"/>
    <s v="Master"/>
    <x v="0"/>
    <s v="Low"/>
    <x v="0"/>
    <n v="44"/>
    <s v="Medium"/>
    <x v="0"/>
    <s v="Sales Executive"/>
    <s v="Very High"/>
    <s v="Married"/>
    <n v="6120"/>
    <n v="3567"/>
    <n v="3"/>
    <s v="Yes"/>
    <n v="12"/>
    <s v="Excellent"/>
    <s v="Very High"/>
    <n v="2"/>
    <n v="8"/>
    <n v="2"/>
    <s v="Best"/>
    <x v="8"/>
    <s v="0-5"/>
    <n v="4"/>
    <n v="1"/>
    <n v="4"/>
    <n v="987"/>
  </r>
  <r>
    <n v="51"/>
    <x v="1"/>
    <x v="1"/>
    <s v="Travel_Frequently"/>
    <n v="541"/>
    <x v="1"/>
    <n v="2"/>
    <s v="Bachelor"/>
    <x v="3"/>
    <s v="Medium"/>
    <x v="0"/>
    <n v="52"/>
    <s v="High"/>
    <x v="2"/>
    <s v="Sales Executive"/>
    <s v="Medium"/>
    <s v="Married"/>
    <n v="10596"/>
    <n v="15395"/>
    <n v="2"/>
    <s v="No"/>
    <n v="11"/>
    <s v="Excellent"/>
    <s v="Medium"/>
    <n v="0"/>
    <n v="14"/>
    <n v="5"/>
    <s v="Better"/>
    <x v="9"/>
    <s v="0-5"/>
    <n v="2"/>
    <n v="3"/>
    <n v="2"/>
    <n v="988"/>
  </r>
  <r>
    <n v="41"/>
    <x v="0"/>
    <x v="1"/>
    <s v="Travel_Frequently"/>
    <n v="1200"/>
    <x v="0"/>
    <n v="22"/>
    <s v="Bachelor"/>
    <x v="0"/>
    <s v="Very High"/>
    <x v="1"/>
    <n v="75"/>
    <s v="High"/>
    <x v="0"/>
    <s v="Research Scientist"/>
    <s v="Very High"/>
    <s v="Divorced"/>
    <n v="5467"/>
    <n v="13953"/>
    <n v="3"/>
    <s v="Yes"/>
    <n v="14"/>
    <s v="Excellent"/>
    <s v="Low"/>
    <n v="2"/>
    <n v="12"/>
    <n v="4"/>
    <s v="Good"/>
    <x v="0"/>
    <s v="5-10"/>
    <n v="2"/>
    <n v="3"/>
    <n v="3"/>
    <n v="989"/>
  </r>
  <r>
    <n v="37"/>
    <x v="0"/>
    <x v="1"/>
    <s v="Travel_Rarely"/>
    <n v="1439"/>
    <x v="0"/>
    <n v="4"/>
    <s v="Below College"/>
    <x v="0"/>
    <s v="High"/>
    <x v="0"/>
    <n v="54"/>
    <s v="High"/>
    <x v="1"/>
    <s v="Research Scientist"/>
    <s v="High"/>
    <s v="Married"/>
    <n v="2996"/>
    <n v="5182"/>
    <n v="7"/>
    <s v="Yes"/>
    <n v="15"/>
    <s v="Excellent"/>
    <s v="Very High"/>
    <n v="0"/>
    <n v="8"/>
    <n v="2"/>
    <s v="Better"/>
    <x v="0"/>
    <s v="5-10"/>
    <n v="4"/>
    <n v="1"/>
    <n v="3"/>
    <n v="990"/>
  </r>
  <r>
    <n v="33"/>
    <x v="2"/>
    <x v="1"/>
    <s v="Travel_Frequently"/>
    <n v="1111"/>
    <x v="1"/>
    <n v="5"/>
    <s v="Below College"/>
    <x v="0"/>
    <s v="Medium"/>
    <x v="0"/>
    <n v="61"/>
    <s v="High"/>
    <x v="0"/>
    <s v="Sales Executive"/>
    <s v="Very High"/>
    <s v="Married"/>
    <n v="9998"/>
    <n v="19293"/>
    <n v="6"/>
    <s v="No"/>
    <n v="13"/>
    <s v="Excellent"/>
    <s v="Low"/>
    <n v="0"/>
    <n v="8"/>
    <n v="2"/>
    <s v="Best"/>
    <x v="8"/>
    <s v="0-5"/>
    <n v="4"/>
    <n v="1"/>
    <n v="2"/>
    <n v="991"/>
  </r>
  <r>
    <n v="32"/>
    <x v="2"/>
    <x v="1"/>
    <s v="Travel_Rarely"/>
    <n v="499"/>
    <x v="1"/>
    <n v="2"/>
    <s v="Below College"/>
    <x v="3"/>
    <s v="High"/>
    <x v="0"/>
    <n v="36"/>
    <s v="High"/>
    <x v="0"/>
    <s v="Sales Executive"/>
    <s v="Medium"/>
    <s v="Married"/>
    <n v="4078"/>
    <n v="20497"/>
    <n v="0"/>
    <s v="Yes"/>
    <n v="13"/>
    <s v="Excellent"/>
    <s v="Low"/>
    <n v="3"/>
    <n v="4"/>
    <n v="3"/>
    <s v="Good"/>
    <x v="11"/>
    <s v="0-5"/>
    <n v="2"/>
    <n v="1"/>
    <n v="2"/>
    <n v="992"/>
  </r>
  <r>
    <n v="39"/>
    <x v="0"/>
    <x v="1"/>
    <s v="Non-Travel"/>
    <n v="1485"/>
    <x v="0"/>
    <n v="25"/>
    <s v="College"/>
    <x v="0"/>
    <s v="High"/>
    <x v="0"/>
    <n v="71"/>
    <s v="High"/>
    <x v="2"/>
    <s v="Healthcare Representative"/>
    <s v="High"/>
    <s v="Married"/>
    <n v="10920"/>
    <n v="3449"/>
    <n v="3"/>
    <s v="No"/>
    <n v="21"/>
    <s v="Outstanding"/>
    <s v="Medium"/>
    <n v="1"/>
    <n v="13"/>
    <n v="2"/>
    <s v="Better"/>
    <x v="0"/>
    <s v="5-10"/>
    <n v="4"/>
    <n v="0"/>
    <n v="5"/>
    <n v="993"/>
  </r>
  <r>
    <n v="25"/>
    <x v="4"/>
    <x v="1"/>
    <s v="Travel_Rarely"/>
    <n v="1372"/>
    <x v="1"/>
    <n v="18"/>
    <s v="Below College"/>
    <x v="0"/>
    <s v="Low"/>
    <x v="0"/>
    <n v="93"/>
    <s v="Very High"/>
    <x v="0"/>
    <s v="Sales Executive"/>
    <s v="High"/>
    <s v="Married"/>
    <n v="6232"/>
    <n v="12477"/>
    <n v="2"/>
    <s v="No"/>
    <n v="11"/>
    <s v="Excellent"/>
    <s v="Medium"/>
    <n v="0"/>
    <n v="6"/>
    <n v="3"/>
    <s v="Good"/>
    <x v="11"/>
    <s v="0-5"/>
    <n v="2"/>
    <n v="1"/>
    <n v="2"/>
    <n v="994"/>
  </r>
  <r>
    <n v="52"/>
    <x v="1"/>
    <x v="1"/>
    <s v="Travel_Frequently"/>
    <n v="322"/>
    <x v="0"/>
    <n v="28"/>
    <s v="College"/>
    <x v="2"/>
    <s v="Very High"/>
    <x v="1"/>
    <n v="59"/>
    <s v="Very High"/>
    <x v="3"/>
    <s v="Manufacturing Director"/>
    <s v="High"/>
    <s v="Married"/>
    <n v="13247"/>
    <n v="9731"/>
    <n v="2"/>
    <s v="Yes"/>
    <n v="11"/>
    <s v="Excellent"/>
    <s v="Medium"/>
    <n v="1"/>
    <n v="24"/>
    <n v="3"/>
    <s v="Good"/>
    <x v="8"/>
    <s v="0-5"/>
    <n v="3"/>
    <n v="0"/>
    <n v="2"/>
    <n v="995"/>
  </r>
  <r>
    <n v="43"/>
    <x v="0"/>
    <x v="1"/>
    <s v="Travel_Rarely"/>
    <n v="930"/>
    <x v="0"/>
    <n v="6"/>
    <s v="Bachelor"/>
    <x v="2"/>
    <s v="Low"/>
    <x v="1"/>
    <n v="73"/>
    <s v="Medium"/>
    <x v="0"/>
    <s v="Research Scientist"/>
    <s v="High"/>
    <s v="Single"/>
    <n v="4081"/>
    <n v="20003"/>
    <n v="1"/>
    <s v="Yes"/>
    <n v="14"/>
    <s v="Excellent"/>
    <s v="Low"/>
    <n v="0"/>
    <n v="20"/>
    <n v="3"/>
    <s v="Bad"/>
    <x v="23"/>
    <s v="10-40"/>
    <n v="7"/>
    <n v="1"/>
    <n v="8"/>
    <n v="996"/>
  </r>
  <r>
    <n v="27"/>
    <x v="2"/>
    <x v="1"/>
    <s v="Travel_Rarely"/>
    <n v="205"/>
    <x v="1"/>
    <n v="10"/>
    <s v="Bachelor"/>
    <x v="3"/>
    <s v="Very High"/>
    <x v="1"/>
    <n v="98"/>
    <s v="Medium"/>
    <x v="0"/>
    <s v="Sales Executive"/>
    <s v="Very High"/>
    <s v="Married"/>
    <n v="5769"/>
    <n v="7100"/>
    <n v="1"/>
    <s v="Yes"/>
    <n v="11"/>
    <s v="Excellent"/>
    <s v="Very High"/>
    <n v="0"/>
    <n v="6"/>
    <n v="3"/>
    <s v="Better"/>
    <x v="0"/>
    <s v="5-10"/>
    <n v="2"/>
    <n v="4"/>
    <n v="4"/>
    <n v="997"/>
  </r>
  <r>
    <n v="27"/>
    <x v="2"/>
    <x v="0"/>
    <s v="Travel_Rarely"/>
    <n v="135"/>
    <x v="0"/>
    <n v="17"/>
    <s v="Master"/>
    <x v="0"/>
    <s v="Very High"/>
    <x v="1"/>
    <n v="51"/>
    <s v="High"/>
    <x v="1"/>
    <s v="Research Scientist"/>
    <s v="High"/>
    <s v="Single"/>
    <n v="2394"/>
    <n v="25681"/>
    <n v="1"/>
    <s v="Yes"/>
    <n v="13"/>
    <s v="Excellent"/>
    <s v="Very High"/>
    <n v="0"/>
    <n v="8"/>
    <n v="2"/>
    <s v="Better"/>
    <x v="3"/>
    <s v="5-10"/>
    <n v="2"/>
    <n v="7"/>
    <n v="7"/>
    <n v="998"/>
  </r>
  <r>
    <n v="26"/>
    <x v="2"/>
    <x v="1"/>
    <s v="Travel_Rarely"/>
    <n v="683"/>
    <x v="0"/>
    <n v="2"/>
    <s v="Below College"/>
    <x v="2"/>
    <s v="Low"/>
    <x v="0"/>
    <n v="36"/>
    <s v="Medium"/>
    <x v="1"/>
    <s v="Research Scientist"/>
    <s v="Very High"/>
    <s v="Single"/>
    <n v="3904"/>
    <n v="4050"/>
    <n v="0"/>
    <s v="No"/>
    <n v="12"/>
    <s v="Excellent"/>
    <s v="Very High"/>
    <n v="0"/>
    <n v="5"/>
    <n v="2"/>
    <s v="Better"/>
    <x v="9"/>
    <s v="0-5"/>
    <n v="3"/>
    <n v="1"/>
    <n v="1"/>
    <n v="999"/>
  </r>
  <r>
    <n v="42"/>
    <x v="0"/>
    <x v="1"/>
    <s v="Travel_Rarely"/>
    <n v="1147"/>
    <x v="2"/>
    <n v="10"/>
    <s v="Bachelor"/>
    <x v="5"/>
    <s v="High"/>
    <x v="1"/>
    <n v="31"/>
    <s v="High"/>
    <x v="3"/>
    <s v="Manager"/>
    <s v="Low"/>
    <s v="Married"/>
    <n v="16799"/>
    <n v="16616"/>
    <n v="0"/>
    <s v="No"/>
    <n v="14"/>
    <s v="Excellent"/>
    <s v="High"/>
    <n v="1"/>
    <n v="21"/>
    <n v="5"/>
    <s v="Better"/>
    <x v="23"/>
    <s v="10-40"/>
    <n v="7"/>
    <n v="0"/>
    <n v="9"/>
    <n v="1000"/>
  </r>
  <r>
    <n v="52"/>
    <x v="1"/>
    <x v="1"/>
    <s v="Travel_Rarely"/>
    <n v="258"/>
    <x v="0"/>
    <n v="8"/>
    <s v="Master"/>
    <x v="1"/>
    <s v="High"/>
    <x v="1"/>
    <n v="54"/>
    <s v="High"/>
    <x v="1"/>
    <s v="Laboratory Technician"/>
    <s v="Low"/>
    <s v="Married"/>
    <n v="2950"/>
    <n v="17363"/>
    <n v="9"/>
    <s v="No"/>
    <n v="13"/>
    <s v="Excellent"/>
    <s v="High"/>
    <n v="0"/>
    <n v="12"/>
    <n v="2"/>
    <s v="Bad"/>
    <x v="8"/>
    <s v="0-5"/>
    <n v="4"/>
    <n v="0"/>
    <n v="4"/>
    <n v="1001"/>
  </r>
  <r>
    <n v="37"/>
    <x v="0"/>
    <x v="1"/>
    <s v="Travel_Rarely"/>
    <n v="1462"/>
    <x v="0"/>
    <n v="11"/>
    <s v="Bachelor"/>
    <x v="2"/>
    <s v="Low"/>
    <x v="1"/>
    <n v="94"/>
    <s v="High"/>
    <x v="1"/>
    <s v="Laboratory Technician"/>
    <s v="High"/>
    <s v="Single"/>
    <n v="3629"/>
    <n v="19106"/>
    <n v="4"/>
    <s v="No"/>
    <n v="18"/>
    <s v="Excellent"/>
    <s v="Low"/>
    <n v="0"/>
    <n v="8"/>
    <n v="6"/>
    <s v="Better"/>
    <x v="11"/>
    <s v="0-5"/>
    <n v="2"/>
    <n v="0"/>
    <n v="2"/>
    <n v="1002"/>
  </r>
  <r>
    <n v="35"/>
    <x v="2"/>
    <x v="1"/>
    <s v="Travel_Frequently"/>
    <n v="200"/>
    <x v="0"/>
    <n v="18"/>
    <s v="College"/>
    <x v="0"/>
    <s v="High"/>
    <x v="0"/>
    <n v="60"/>
    <s v="High"/>
    <x v="2"/>
    <s v="Manufacturing Director"/>
    <s v="Very High"/>
    <s v="Single"/>
    <n v="9362"/>
    <n v="19944"/>
    <n v="2"/>
    <s v="No"/>
    <n v="11"/>
    <s v="Excellent"/>
    <s v="High"/>
    <n v="0"/>
    <n v="10"/>
    <n v="2"/>
    <s v="Better"/>
    <x v="4"/>
    <s v="0-5"/>
    <n v="2"/>
    <n v="2"/>
    <n v="2"/>
    <n v="1003"/>
  </r>
  <r>
    <n v="25"/>
    <x v="4"/>
    <x v="1"/>
    <s v="Travel_Rarely"/>
    <n v="949"/>
    <x v="0"/>
    <n v="1"/>
    <s v="Bachelor"/>
    <x v="4"/>
    <s v="Low"/>
    <x v="0"/>
    <n v="81"/>
    <s v="High"/>
    <x v="1"/>
    <s v="Laboratory Technician"/>
    <s v="Very High"/>
    <s v="Married"/>
    <n v="3229"/>
    <n v="4910"/>
    <n v="4"/>
    <s v="No"/>
    <n v="11"/>
    <s v="Excellent"/>
    <s v="Medium"/>
    <n v="1"/>
    <n v="7"/>
    <n v="2"/>
    <s v="Good"/>
    <x v="11"/>
    <s v="0-5"/>
    <n v="2"/>
    <n v="0"/>
    <n v="2"/>
    <n v="1004"/>
  </r>
  <r>
    <n v="26"/>
    <x v="2"/>
    <x v="1"/>
    <s v="Travel_Rarely"/>
    <n v="652"/>
    <x v="0"/>
    <n v="7"/>
    <s v="Bachelor"/>
    <x v="1"/>
    <s v="High"/>
    <x v="0"/>
    <n v="100"/>
    <s v="Very High"/>
    <x v="1"/>
    <s v="Laboratory Technician"/>
    <s v="Low"/>
    <s v="Single"/>
    <n v="3578"/>
    <n v="23577"/>
    <n v="0"/>
    <s v="No"/>
    <n v="12"/>
    <s v="Excellent"/>
    <s v="Very High"/>
    <n v="0"/>
    <n v="8"/>
    <n v="2"/>
    <s v="Better"/>
    <x v="5"/>
    <s v="5-10"/>
    <n v="7"/>
    <n v="0"/>
    <n v="7"/>
    <n v="1005"/>
  </r>
  <r>
    <n v="29"/>
    <x v="2"/>
    <x v="1"/>
    <s v="Travel_Rarely"/>
    <n v="332"/>
    <x v="2"/>
    <n v="17"/>
    <s v="Bachelor"/>
    <x v="1"/>
    <s v="Medium"/>
    <x v="0"/>
    <n v="51"/>
    <s v="Medium"/>
    <x v="2"/>
    <s v="Human Resources"/>
    <s v="Low"/>
    <s v="Single"/>
    <n v="7988"/>
    <n v="9769"/>
    <n v="1"/>
    <s v="No"/>
    <n v="13"/>
    <s v="Excellent"/>
    <s v="Low"/>
    <n v="0"/>
    <n v="10"/>
    <n v="3"/>
    <s v="Good"/>
    <x v="1"/>
    <s v="5-10"/>
    <n v="9"/>
    <n v="0"/>
    <n v="9"/>
    <n v="1006"/>
  </r>
  <r>
    <n v="49"/>
    <x v="1"/>
    <x v="0"/>
    <s v="Travel_Frequently"/>
    <n v="1475"/>
    <x v="0"/>
    <n v="28"/>
    <s v="College"/>
    <x v="0"/>
    <s v="Low"/>
    <x v="0"/>
    <n v="97"/>
    <s v="Medium"/>
    <x v="0"/>
    <s v="Laboratory Technician"/>
    <s v="Low"/>
    <s v="Single"/>
    <n v="4284"/>
    <n v="22710"/>
    <n v="3"/>
    <s v="No"/>
    <n v="20"/>
    <s v="Outstanding"/>
    <s v="Low"/>
    <n v="0"/>
    <n v="20"/>
    <n v="2"/>
    <s v="Better"/>
    <x v="9"/>
    <s v="0-5"/>
    <n v="3"/>
    <n v="1"/>
    <n v="3"/>
    <n v="1007"/>
  </r>
  <r>
    <n v="29"/>
    <x v="2"/>
    <x v="0"/>
    <s v="Travel_Frequently"/>
    <n v="337"/>
    <x v="0"/>
    <n v="14"/>
    <s v="Below College"/>
    <x v="1"/>
    <s v="High"/>
    <x v="1"/>
    <n v="84"/>
    <s v="High"/>
    <x v="2"/>
    <s v="Healthcare Representative"/>
    <s v="Very High"/>
    <s v="Single"/>
    <n v="7553"/>
    <n v="22930"/>
    <n v="0"/>
    <s v="Yes"/>
    <n v="12"/>
    <s v="Excellent"/>
    <s v="Low"/>
    <n v="0"/>
    <n v="9"/>
    <n v="1"/>
    <s v="Better"/>
    <x v="3"/>
    <s v="5-10"/>
    <n v="7"/>
    <n v="7"/>
    <n v="7"/>
    <n v="1008"/>
  </r>
  <r>
    <n v="54"/>
    <x v="1"/>
    <x v="1"/>
    <s v="Travel_Rarely"/>
    <n v="971"/>
    <x v="0"/>
    <n v="1"/>
    <s v="Bachelor"/>
    <x v="2"/>
    <s v="Very High"/>
    <x v="1"/>
    <n v="54"/>
    <s v="High"/>
    <x v="3"/>
    <s v="Research Director"/>
    <s v="Very High"/>
    <s v="Single"/>
    <n v="17328"/>
    <n v="5652"/>
    <n v="6"/>
    <s v="No"/>
    <n v="19"/>
    <s v="Excellent"/>
    <s v="Very High"/>
    <n v="0"/>
    <n v="29"/>
    <n v="3"/>
    <s v="Good"/>
    <x v="23"/>
    <s v="10-40"/>
    <n v="7"/>
    <n v="12"/>
    <n v="7"/>
    <n v="1009"/>
  </r>
  <r>
    <n v="58"/>
    <x v="3"/>
    <x v="1"/>
    <s v="Travel_Rarely"/>
    <n v="1055"/>
    <x v="0"/>
    <n v="1"/>
    <s v="Bachelor"/>
    <x v="2"/>
    <s v="Very High"/>
    <x v="1"/>
    <n v="76"/>
    <s v="High"/>
    <x v="4"/>
    <s v="Research Director"/>
    <s v="Low"/>
    <s v="Married"/>
    <n v="19701"/>
    <n v="22456"/>
    <n v="3"/>
    <s v="Yes"/>
    <n v="21"/>
    <s v="Outstanding"/>
    <s v="High"/>
    <n v="1"/>
    <n v="32"/>
    <n v="3"/>
    <s v="Better"/>
    <x v="7"/>
    <s v="5-10"/>
    <n v="8"/>
    <n v="1"/>
    <n v="5"/>
    <n v="1010"/>
  </r>
  <r>
    <n v="55"/>
    <x v="1"/>
    <x v="1"/>
    <s v="Travel_Rarely"/>
    <n v="1136"/>
    <x v="0"/>
    <n v="1"/>
    <s v="Master"/>
    <x v="2"/>
    <s v="Medium"/>
    <x v="0"/>
    <n v="81"/>
    <s v="Very High"/>
    <x v="3"/>
    <s v="Research Director"/>
    <s v="Very High"/>
    <s v="Divorced"/>
    <n v="14732"/>
    <n v="12414"/>
    <n v="2"/>
    <s v="No"/>
    <n v="13"/>
    <s v="Excellent"/>
    <s v="Very High"/>
    <n v="2"/>
    <n v="31"/>
    <n v="4"/>
    <s v="Best"/>
    <x v="5"/>
    <s v="5-10"/>
    <n v="7"/>
    <n v="0"/>
    <n v="0"/>
    <n v="1011"/>
  </r>
  <r>
    <n v="36"/>
    <x v="0"/>
    <x v="1"/>
    <s v="Travel_Rarely"/>
    <n v="1174"/>
    <x v="1"/>
    <n v="3"/>
    <s v="Master"/>
    <x v="3"/>
    <s v="Low"/>
    <x v="1"/>
    <n v="99"/>
    <s v="High"/>
    <x v="0"/>
    <s v="Sales Executive"/>
    <s v="Medium"/>
    <s v="Single"/>
    <n v="9278"/>
    <n v="20763"/>
    <n v="3"/>
    <s v="Yes"/>
    <n v="16"/>
    <s v="Excellent"/>
    <s v="Very High"/>
    <n v="0"/>
    <n v="15"/>
    <n v="3"/>
    <s v="Better"/>
    <x v="8"/>
    <s v="0-5"/>
    <n v="4"/>
    <n v="0"/>
    <n v="1"/>
    <n v="1012"/>
  </r>
  <r>
    <n v="31"/>
    <x v="2"/>
    <x v="0"/>
    <s v="Travel_Frequently"/>
    <n v="667"/>
    <x v="1"/>
    <n v="1"/>
    <s v="Master"/>
    <x v="0"/>
    <s v="Medium"/>
    <x v="1"/>
    <n v="50"/>
    <s v="Low"/>
    <x v="1"/>
    <s v="Sales Representative"/>
    <s v="High"/>
    <s v="Single"/>
    <n v="1359"/>
    <n v="16154"/>
    <n v="1"/>
    <s v="No"/>
    <n v="12"/>
    <s v="Excellent"/>
    <s v="Medium"/>
    <n v="0"/>
    <n v="1"/>
    <n v="3"/>
    <s v="Better"/>
    <x v="6"/>
    <s v="0-5"/>
    <n v="0"/>
    <n v="0"/>
    <n v="0"/>
    <n v="1013"/>
  </r>
  <r>
    <n v="30"/>
    <x v="2"/>
    <x v="1"/>
    <s v="Travel_Rarely"/>
    <n v="855"/>
    <x v="1"/>
    <n v="7"/>
    <s v="Master"/>
    <x v="3"/>
    <s v="Very High"/>
    <x v="1"/>
    <n v="73"/>
    <s v="High"/>
    <x v="0"/>
    <s v="Sales Executive"/>
    <s v="Low"/>
    <s v="Divorced"/>
    <n v="4779"/>
    <n v="12761"/>
    <n v="7"/>
    <s v="No"/>
    <n v="14"/>
    <s v="Excellent"/>
    <s v="Medium"/>
    <n v="2"/>
    <n v="8"/>
    <n v="3"/>
    <s v="Better"/>
    <x v="11"/>
    <s v="0-5"/>
    <n v="2"/>
    <n v="0"/>
    <n v="2"/>
    <n v="1014"/>
  </r>
  <r>
    <n v="31"/>
    <x v="2"/>
    <x v="1"/>
    <s v="Travel_Rarely"/>
    <n v="182"/>
    <x v="0"/>
    <n v="8"/>
    <s v="Doctor"/>
    <x v="0"/>
    <s v="Low"/>
    <x v="1"/>
    <n v="93"/>
    <s v="High"/>
    <x v="3"/>
    <s v="Research Director"/>
    <s v="Medium"/>
    <s v="Single"/>
    <n v="16422"/>
    <n v="8847"/>
    <n v="3"/>
    <s v="No"/>
    <n v="11"/>
    <s v="Excellent"/>
    <s v="High"/>
    <n v="0"/>
    <n v="9"/>
    <n v="3"/>
    <s v="Best"/>
    <x v="11"/>
    <s v="0-5"/>
    <n v="2"/>
    <n v="1"/>
    <n v="0"/>
    <n v="1015"/>
  </r>
  <r>
    <n v="34"/>
    <x v="2"/>
    <x v="1"/>
    <s v="Travel_Frequently"/>
    <n v="560"/>
    <x v="0"/>
    <n v="1"/>
    <s v="Master"/>
    <x v="1"/>
    <s v="Very High"/>
    <x v="0"/>
    <n v="91"/>
    <s v="High"/>
    <x v="1"/>
    <s v="Research Scientist"/>
    <s v="Low"/>
    <s v="Divorced"/>
    <n v="2996"/>
    <n v="20284"/>
    <n v="5"/>
    <s v="No"/>
    <n v="14"/>
    <s v="Excellent"/>
    <s v="High"/>
    <n v="2"/>
    <n v="10"/>
    <n v="2"/>
    <s v="Better"/>
    <x v="9"/>
    <s v="0-5"/>
    <n v="3"/>
    <n v="1"/>
    <n v="3"/>
    <n v="1016"/>
  </r>
  <r>
    <n v="31"/>
    <x v="2"/>
    <x v="0"/>
    <s v="Travel_Rarely"/>
    <n v="202"/>
    <x v="0"/>
    <n v="8"/>
    <s v="Bachelor"/>
    <x v="0"/>
    <s v="Low"/>
    <x v="1"/>
    <n v="34"/>
    <s v="Medium"/>
    <x v="1"/>
    <s v="Research Scientist"/>
    <s v="Medium"/>
    <s v="Single"/>
    <n v="1261"/>
    <n v="22262"/>
    <n v="1"/>
    <s v="No"/>
    <n v="12"/>
    <s v="Excellent"/>
    <s v="High"/>
    <n v="0"/>
    <n v="1"/>
    <n v="3"/>
    <s v="Best"/>
    <x v="6"/>
    <s v="0-5"/>
    <n v="0"/>
    <n v="0"/>
    <n v="0"/>
    <n v="1017"/>
  </r>
  <r>
    <n v="27"/>
    <x v="2"/>
    <x v="1"/>
    <s v="Travel_Rarely"/>
    <n v="1377"/>
    <x v="0"/>
    <n v="11"/>
    <s v="Below College"/>
    <x v="0"/>
    <s v="Medium"/>
    <x v="0"/>
    <n v="91"/>
    <s v="High"/>
    <x v="1"/>
    <s v="Laboratory Technician"/>
    <s v="Low"/>
    <s v="Married"/>
    <n v="2099"/>
    <n v="7679"/>
    <n v="0"/>
    <s v="No"/>
    <n v="14"/>
    <s v="Excellent"/>
    <s v="Medium"/>
    <n v="0"/>
    <n v="6"/>
    <n v="3"/>
    <s v="Best"/>
    <x v="8"/>
    <s v="0-5"/>
    <n v="0"/>
    <n v="1"/>
    <n v="4"/>
    <n v="1018"/>
  </r>
  <r>
    <n v="36"/>
    <x v="0"/>
    <x v="1"/>
    <s v="Travel_Rarely"/>
    <n v="172"/>
    <x v="0"/>
    <n v="4"/>
    <s v="Master"/>
    <x v="0"/>
    <s v="Low"/>
    <x v="0"/>
    <n v="37"/>
    <s v="Medium"/>
    <x v="0"/>
    <s v="Laboratory Technician"/>
    <s v="Very High"/>
    <s v="Single"/>
    <n v="5810"/>
    <n v="22604"/>
    <n v="1"/>
    <s v="No"/>
    <n v="16"/>
    <s v="Excellent"/>
    <s v="High"/>
    <n v="0"/>
    <n v="10"/>
    <n v="2"/>
    <s v="Good"/>
    <x v="1"/>
    <s v="5-10"/>
    <n v="4"/>
    <n v="1"/>
    <n v="8"/>
    <n v="1019"/>
  </r>
  <r>
    <n v="36"/>
    <x v="0"/>
    <x v="1"/>
    <s v="Travel_Rarely"/>
    <n v="329"/>
    <x v="1"/>
    <n v="16"/>
    <s v="Master"/>
    <x v="3"/>
    <s v="High"/>
    <x v="1"/>
    <n v="98"/>
    <s v="Medium"/>
    <x v="0"/>
    <s v="Sales Executive"/>
    <s v="Low"/>
    <s v="Married"/>
    <n v="5647"/>
    <n v="13494"/>
    <n v="4"/>
    <s v="No"/>
    <n v="13"/>
    <s v="Excellent"/>
    <s v="Low"/>
    <n v="2"/>
    <n v="11"/>
    <n v="3"/>
    <s v="Good"/>
    <x v="11"/>
    <s v="0-5"/>
    <n v="2"/>
    <n v="0"/>
    <n v="2"/>
    <n v="1020"/>
  </r>
  <r>
    <n v="47"/>
    <x v="1"/>
    <x v="1"/>
    <s v="Travel_Rarely"/>
    <n v="465"/>
    <x v="0"/>
    <n v="1"/>
    <s v="Bachelor"/>
    <x v="4"/>
    <s v="Low"/>
    <x v="0"/>
    <n v="74"/>
    <s v="High"/>
    <x v="1"/>
    <s v="Research Scientist"/>
    <s v="Very High"/>
    <s v="Married"/>
    <n v="3420"/>
    <n v="10205"/>
    <n v="7"/>
    <s v="No"/>
    <n v="12"/>
    <s v="Excellent"/>
    <s v="High"/>
    <n v="1"/>
    <n v="17"/>
    <n v="2"/>
    <s v="Good"/>
    <x v="0"/>
    <s v="5-10"/>
    <n v="5"/>
    <n v="1"/>
    <n v="2"/>
    <n v="1021"/>
  </r>
  <r>
    <n v="25"/>
    <x v="4"/>
    <x v="0"/>
    <s v="Travel_Rarely"/>
    <n v="383"/>
    <x v="1"/>
    <n v="9"/>
    <s v="College"/>
    <x v="0"/>
    <s v="Low"/>
    <x v="0"/>
    <n v="68"/>
    <s v="Medium"/>
    <x v="1"/>
    <s v="Sales Representative"/>
    <s v="Low"/>
    <s v="Married"/>
    <n v="4400"/>
    <n v="15182"/>
    <n v="3"/>
    <s v="No"/>
    <n v="12"/>
    <s v="Excellent"/>
    <s v="Low"/>
    <n v="0"/>
    <n v="6"/>
    <n v="2"/>
    <s v="Better"/>
    <x v="11"/>
    <s v="0-5"/>
    <n v="2"/>
    <n v="2"/>
    <n v="2"/>
    <n v="1022"/>
  </r>
  <r>
    <n v="37"/>
    <x v="0"/>
    <x v="1"/>
    <s v="Non-Travel"/>
    <n v="1413"/>
    <x v="0"/>
    <n v="5"/>
    <s v="College"/>
    <x v="4"/>
    <s v="High"/>
    <x v="0"/>
    <n v="84"/>
    <s v="Very High"/>
    <x v="1"/>
    <s v="Laboratory Technician"/>
    <s v="High"/>
    <s v="Single"/>
    <n v="3500"/>
    <n v="25470"/>
    <n v="0"/>
    <s v="No"/>
    <n v="14"/>
    <s v="Excellent"/>
    <s v="Low"/>
    <n v="0"/>
    <n v="7"/>
    <n v="2"/>
    <s v="Bad"/>
    <x v="0"/>
    <s v="5-10"/>
    <n v="5"/>
    <n v="1"/>
    <n v="3"/>
    <n v="1023"/>
  </r>
  <r>
    <n v="56"/>
    <x v="3"/>
    <x v="1"/>
    <s v="Travel_Rarely"/>
    <n v="1255"/>
    <x v="0"/>
    <n v="1"/>
    <s v="College"/>
    <x v="0"/>
    <s v="Low"/>
    <x v="1"/>
    <n v="90"/>
    <s v="High"/>
    <x v="1"/>
    <s v="Research Scientist"/>
    <s v="Low"/>
    <s v="Married"/>
    <n v="2066"/>
    <n v="10494"/>
    <n v="2"/>
    <s v="No"/>
    <n v="22"/>
    <s v="Outstanding"/>
    <s v="Very High"/>
    <n v="1"/>
    <n v="5"/>
    <n v="3"/>
    <s v="Best"/>
    <x v="11"/>
    <s v="0-5"/>
    <n v="2"/>
    <n v="1"/>
    <n v="0"/>
    <n v="1024"/>
  </r>
  <r>
    <n v="47"/>
    <x v="1"/>
    <x v="1"/>
    <s v="Travel_Rarely"/>
    <n v="359"/>
    <x v="0"/>
    <n v="2"/>
    <s v="Master"/>
    <x v="2"/>
    <s v="Low"/>
    <x v="1"/>
    <n v="82"/>
    <s v="High"/>
    <x v="3"/>
    <s v="Research Director"/>
    <s v="High"/>
    <s v="Married"/>
    <n v="17169"/>
    <n v="26703"/>
    <n v="3"/>
    <s v="No"/>
    <n v="19"/>
    <s v="Excellent"/>
    <s v="Medium"/>
    <n v="2"/>
    <n v="26"/>
    <n v="2"/>
    <s v="Best"/>
    <x v="23"/>
    <s v="10-40"/>
    <n v="17"/>
    <n v="5"/>
    <n v="6"/>
    <n v="1025"/>
  </r>
  <r>
    <n v="24"/>
    <x v="4"/>
    <x v="1"/>
    <s v="Travel_Rarely"/>
    <n v="1476"/>
    <x v="1"/>
    <n v="4"/>
    <s v="Below College"/>
    <x v="2"/>
    <s v="Very High"/>
    <x v="1"/>
    <n v="42"/>
    <s v="High"/>
    <x v="0"/>
    <s v="Sales Executive"/>
    <s v="High"/>
    <s v="Married"/>
    <n v="4162"/>
    <n v="15211"/>
    <n v="1"/>
    <s v="Yes"/>
    <n v="12"/>
    <s v="Excellent"/>
    <s v="High"/>
    <n v="2"/>
    <n v="5"/>
    <n v="3"/>
    <s v="Better"/>
    <x v="8"/>
    <s v="0-5"/>
    <n v="4"/>
    <n v="0"/>
    <n v="3"/>
    <n v="1026"/>
  </r>
  <r>
    <n v="32"/>
    <x v="2"/>
    <x v="1"/>
    <s v="Travel_Rarely"/>
    <n v="601"/>
    <x v="1"/>
    <n v="7"/>
    <s v="Doctor"/>
    <x v="3"/>
    <s v="Very High"/>
    <x v="0"/>
    <n v="97"/>
    <s v="High"/>
    <x v="0"/>
    <s v="Sales Executive"/>
    <s v="Very High"/>
    <s v="Married"/>
    <n v="9204"/>
    <n v="23343"/>
    <n v="4"/>
    <s v="No"/>
    <n v="12"/>
    <s v="Excellent"/>
    <s v="High"/>
    <n v="1"/>
    <n v="7"/>
    <n v="3"/>
    <s v="Good"/>
    <x v="9"/>
    <s v="0-5"/>
    <n v="3"/>
    <n v="0"/>
    <n v="3"/>
    <n v="1027"/>
  </r>
  <r>
    <n v="34"/>
    <x v="2"/>
    <x v="1"/>
    <s v="Travel_Rarely"/>
    <n v="401"/>
    <x v="0"/>
    <n v="1"/>
    <s v="Bachelor"/>
    <x v="0"/>
    <s v="Very High"/>
    <x v="1"/>
    <n v="86"/>
    <s v="Medium"/>
    <x v="1"/>
    <s v="Laboratory Technician"/>
    <s v="Medium"/>
    <s v="Married"/>
    <n v="3294"/>
    <n v="3708"/>
    <n v="5"/>
    <s v="No"/>
    <n v="17"/>
    <s v="Excellent"/>
    <s v="Low"/>
    <n v="1"/>
    <n v="7"/>
    <n v="2"/>
    <s v="Good"/>
    <x v="8"/>
    <s v="0-5"/>
    <n v="4"/>
    <n v="0"/>
    <n v="2"/>
    <n v="1028"/>
  </r>
  <r>
    <n v="41"/>
    <x v="0"/>
    <x v="1"/>
    <s v="Travel_Rarely"/>
    <n v="1283"/>
    <x v="0"/>
    <n v="5"/>
    <s v="Doctor"/>
    <x v="2"/>
    <s v="Medium"/>
    <x v="0"/>
    <n v="90"/>
    <s v="Very High"/>
    <x v="1"/>
    <s v="Research Scientist"/>
    <s v="High"/>
    <s v="Married"/>
    <n v="2127"/>
    <n v="5561"/>
    <n v="2"/>
    <s v="Yes"/>
    <n v="12"/>
    <s v="Excellent"/>
    <s v="Low"/>
    <n v="0"/>
    <n v="7"/>
    <n v="5"/>
    <s v="Good"/>
    <x v="9"/>
    <s v="0-5"/>
    <n v="2"/>
    <n v="0"/>
    <n v="3"/>
    <n v="1029"/>
  </r>
  <r>
    <n v="40"/>
    <x v="0"/>
    <x v="1"/>
    <s v="Non-Travel"/>
    <n v="663"/>
    <x v="0"/>
    <n v="9"/>
    <s v="Master"/>
    <x v="1"/>
    <s v="High"/>
    <x v="0"/>
    <n v="81"/>
    <s v="High"/>
    <x v="0"/>
    <s v="Laboratory Technician"/>
    <s v="High"/>
    <s v="Divorced"/>
    <n v="3975"/>
    <n v="23099"/>
    <n v="3"/>
    <s v="No"/>
    <n v="11"/>
    <s v="Excellent"/>
    <s v="High"/>
    <n v="2"/>
    <n v="11"/>
    <n v="2"/>
    <s v="Best"/>
    <x v="3"/>
    <s v="5-10"/>
    <n v="7"/>
    <n v="0"/>
    <n v="7"/>
    <n v="1030"/>
  </r>
  <r>
    <n v="31"/>
    <x v="2"/>
    <x v="1"/>
    <s v="Travel_Rarely"/>
    <n v="326"/>
    <x v="1"/>
    <n v="8"/>
    <s v="College"/>
    <x v="0"/>
    <s v="Low"/>
    <x v="0"/>
    <n v="31"/>
    <s v="High"/>
    <x v="2"/>
    <s v="Sales Executive"/>
    <s v="Very High"/>
    <s v="Divorced"/>
    <n v="10793"/>
    <n v="8386"/>
    <n v="1"/>
    <s v="No"/>
    <n v="18"/>
    <s v="Excellent"/>
    <s v="Low"/>
    <n v="1"/>
    <n v="13"/>
    <n v="5"/>
    <s v="Better"/>
    <x v="20"/>
    <s v="10-40"/>
    <n v="7"/>
    <n v="9"/>
    <n v="9"/>
    <n v="1031"/>
  </r>
  <r>
    <n v="46"/>
    <x v="1"/>
    <x v="0"/>
    <s v="Travel_Rarely"/>
    <n v="377"/>
    <x v="1"/>
    <n v="9"/>
    <s v="Bachelor"/>
    <x v="3"/>
    <s v="Low"/>
    <x v="0"/>
    <n v="52"/>
    <s v="High"/>
    <x v="2"/>
    <s v="Sales Executive"/>
    <s v="Very High"/>
    <s v="Divorced"/>
    <n v="10096"/>
    <n v="15986"/>
    <n v="4"/>
    <s v="No"/>
    <n v="11"/>
    <s v="Excellent"/>
    <s v="Low"/>
    <n v="1"/>
    <n v="28"/>
    <n v="1"/>
    <s v="Best"/>
    <x v="5"/>
    <s v="5-10"/>
    <n v="7"/>
    <n v="4"/>
    <n v="3"/>
    <n v="1032"/>
  </r>
  <r>
    <n v="39"/>
    <x v="0"/>
    <x v="0"/>
    <s v="Non-Travel"/>
    <n v="592"/>
    <x v="0"/>
    <n v="2"/>
    <s v="Bachelor"/>
    <x v="0"/>
    <s v="Low"/>
    <x v="1"/>
    <n v="54"/>
    <s v="Medium"/>
    <x v="1"/>
    <s v="Laboratory Technician"/>
    <s v="Low"/>
    <s v="Single"/>
    <n v="3646"/>
    <n v="17181"/>
    <n v="2"/>
    <s v="Yes"/>
    <n v="23"/>
    <s v="Outstanding"/>
    <s v="Medium"/>
    <n v="0"/>
    <n v="11"/>
    <n v="2"/>
    <s v="Best"/>
    <x v="6"/>
    <s v="0-5"/>
    <n v="0"/>
    <n v="0"/>
    <n v="0"/>
    <n v="1033"/>
  </r>
  <r>
    <n v="31"/>
    <x v="2"/>
    <x v="0"/>
    <s v="Travel_Frequently"/>
    <n v="1445"/>
    <x v="0"/>
    <n v="1"/>
    <s v="Doctor"/>
    <x v="0"/>
    <s v="High"/>
    <x v="1"/>
    <n v="100"/>
    <s v="Very High"/>
    <x v="2"/>
    <s v="Manufacturing Director"/>
    <s v="Medium"/>
    <s v="Single"/>
    <n v="7446"/>
    <n v="8931"/>
    <n v="1"/>
    <s v="No"/>
    <n v="11"/>
    <s v="Excellent"/>
    <s v="Low"/>
    <n v="0"/>
    <n v="10"/>
    <n v="2"/>
    <s v="Better"/>
    <x v="1"/>
    <s v="5-10"/>
    <n v="8"/>
    <n v="4"/>
    <n v="7"/>
    <n v="1034"/>
  </r>
  <r>
    <n v="45"/>
    <x v="0"/>
    <x v="1"/>
    <s v="Travel_Rarely"/>
    <n v="1038"/>
    <x v="0"/>
    <n v="20"/>
    <s v="Bachelor"/>
    <x v="2"/>
    <s v="Medium"/>
    <x v="0"/>
    <n v="95"/>
    <s v="Low"/>
    <x v="2"/>
    <s v="Healthcare Representative"/>
    <s v="Low"/>
    <s v="Divorced"/>
    <n v="10851"/>
    <n v="19863"/>
    <n v="2"/>
    <s v="Yes"/>
    <n v="18"/>
    <s v="Excellent"/>
    <s v="Medium"/>
    <n v="1"/>
    <n v="24"/>
    <n v="2"/>
    <s v="Better"/>
    <x v="5"/>
    <s v="5-10"/>
    <n v="7"/>
    <n v="0"/>
    <n v="7"/>
    <n v="1035"/>
  </r>
  <r>
    <n v="31"/>
    <x v="2"/>
    <x v="1"/>
    <s v="Travel_Rarely"/>
    <n v="1398"/>
    <x v="2"/>
    <n v="8"/>
    <s v="College"/>
    <x v="2"/>
    <s v="Very High"/>
    <x v="1"/>
    <n v="96"/>
    <s v="Very High"/>
    <x v="1"/>
    <s v="Human Resources"/>
    <s v="Medium"/>
    <s v="Single"/>
    <n v="2109"/>
    <n v="24609"/>
    <n v="9"/>
    <s v="No"/>
    <n v="18"/>
    <s v="Excellent"/>
    <s v="Very High"/>
    <n v="0"/>
    <n v="8"/>
    <n v="3"/>
    <s v="Better"/>
    <x v="11"/>
    <s v="0-5"/>
    <n v="2"/>
    <n v="0"/>
    <n v="2"/>
    <n v="1036"/>
  </r>
  <r>
    <n v="31"/>
    <x v="2"/>
    <x v="0"/>
    <s v="Travel_Frequently"/>
    <n v="523"/>
    <x v="0"/>
    <n v="2"/>
    <s v="Bachelor"/>
    <x v="0"/>
    <s v="Medium"/>
    <x v="0"/>
    <n v="94"/>
    <s v="High"/>
    <x v="1"/>
    <s v="Laboratory Technician"/>
    <s v="Very High"/>
    <s v="Married"/>
    <n v="3722"/>
    <n v="21081"/>
    <n v="6"/>
    <s v="Yes"/>
    <n v="13"/>
    <s v="Excellent"/>
    <s v="High"/>
    <n v="1"/>
    <n v="7"/>
    <n v="2"/>
    <s v="Bad"/>
    <x v="4"/>
    <s v="0-5"/>
    <n v="2"/>
    <n v="2"/>
    <n v="2"/>
    <n v="1037"/>
  </r>
  <r>
    <n v="45"/>
    <x v="0"/>
    <x v="1"/>
    <s v="Travel_Rarely"/>
    <n v="1448"/>
    <x v="0"/>
    <n v="29"/>
    <s v="Bachelor"/>
    <x v="4"/>
    <s v="Medium"/>
    <x v="0"/>
    <n v="55"/>
    <s v="High"/>
    <x v="2"/>
    <s v="Manufacturing Director"/>
    <s v="Very High"/>
    <s v="Married"/>
    <n v="9380"/>
    <n v="14720"/>
    <n v="4"/>
    <s v="Yes"/>
    <n v="18"/>
    <s v="Excellent"/>
    <s v="Very High"/>
    <n v="2"/>
    <n v="10"/>
    <n v="4"/>
    <s v="Best"/>
    <x v="11"/>
    <s v="0-5"/>
    <n v="1"/>
    <n v="1"/>
    <n v="2"/>
    <n v="1038"/>
  </r>
  <r>
    <n v="48"/>
    <x v="1"/>
    <x v="1"/>
    <s v="Travel_Rarely"/>
    <n v="1221"/>
    <x v="1"/>
    <n v="7"/>
    <s v="Bachelor"/>
    <x v="3"/>
    <s v="High"/>
    <x v="0"/>
    <n v="96"/>
    <s v="High"/>
    <x v="0"/>
    <s v="Sales Executive"/>
    <s v="Low"/>
    <s v="Divorced"/>
    <n v="5486"/>
    <n v="24795"/>
    <n v="4"/>
    <s v="No"/>
    <n v="11"/>
    <s v="Excellent"/>
    <s v="Low"/>
    <n v="3"/>
    <n v="15"/>
    <n v="3"/>
    <s v="Better"/>
    <x v="4"/>
    <s v="0-5"/>
    <n v="2"/>
    <n v="2"/>
    <n v="2"/>
    <n v="1039"/>
  </r>
  <r>
    <n v="34"/>
    <x v="2"/>
    <x v="0"/>
    <s v="Travel_Rarely"/>
    <n v="1107"/>
    <x v="2"/>
    <n v="9"/>
    <s v="Master"/>
    <x v="4"/>
    <s v="Low"/>
    <x v="1"/>
    <n v="52"/>
    <s v="High"/>
    <x v="1"/>
    <s v="Human Resources"/>
    <s v="High"/>
    <s v="Married"/>
    <n v="2742"/>
    <n v="3072"/>
    <n v="1"/>
    <s v="No"/>
    <n v="15"/>
    <s v="Excellent"/>
    <s v="Very High"/>
    <n v="0"/>
    <n v="2"/>
    <n v="0"/>
    <s v="Better"/>
    <x v="4"/>
    <s v="0-5"/>
    <n v="2"/>
    <n v="2"/>
    <n v="2"/>
    <n v="1040"/>
  </r>
  <r>
    <n v="40"/>
    <x v="0"/>
    <x v="1"/>
    <s v="Non-Travel"/>
    <n v="218"/>
    <x v="0"/>
    <n v="8"/>
    <s v="Below College"/>
    <x v="2"/>
    <s v="Very High"/>
    <x v="0"/>
    <n v="55"/>
    <s v="Medium"/>
    <x v="2"/>
    <s v="Research Director"/>
    <s v="Medium"/>
    <s v="Divorced"/>
    <n v="13757"/>
    <n v="25178"/>
    <n v="2"/>
    <s v="No"/>
    <n v="11"/>
    <s v="Excellent"/>
    <s v="High"/>
    <n v="1"/>
    <n v="16"/>
    <n v="5"/>
    <s v="Better"/>
    <x v="7"/>
    <s v="5-10"/>
    <n v="8"/>
    <n v="4"/>
    <n v="8"/>
    <n v="1041"/>
  </r>
  <r>
    <n v="28"/>
    <x v="2"/>
    <x v="1"/>
    <s v="Travel_Rarely"/>
    <n v="866"/>
    <x v="1"/>
    <n v="5"/>
    <s v="Bachelor"/>
    <x v="2"/>
    <s v="Very High"/>
    <x v="0"/>
    <n v="84"/>
    <s v="High"/>
    <x v="0"/>
    <s v="Sales Executive"/>
    <s v="Low"/>
    <s v="Single"/>
    <n v="8463"/>
    <n v="23490"/>
    <n v="0"/>
    <s v="No"/>
    <n v="18"/>
    <s v="Excellent"/>
    <s v="Very High"/>
    <n v="0"/>
    <n v="6"/>
    <n v="4"/>
    <s v="Better"/>
    <x v="8"/>
    <s v="0-5"/>
    <n v="4"/>
    <n v="1"/>
    <n v="3"/>
    <n v="1042"/>
  </r>
  <r>
    <n v="44"/>
    <x v="0"/>
    <x v="1"/>
    <s v="Non-Travel"/>
    <n v="981"/>
    <x v="0"/>
    <n v="5"/>
    <s v="Bachelor"/>
    <x v="0"/>
    <s v="High"/>
    <x v="0"/>
    <n v="90"/>
    <s v="Medium"/>
    <x v="1"/>
    <s v="Laboratory Technician"/>
    <s v="High"/>
    <s v="Single"/>
    <n v="3162"/>
    <n v="7973"/>
    <n v="3"/>
    <s v="No"/>
    <n v="14"/>
    <s v="Excellent"/>
    <s v="Very High"/>
    <n v="0"/>
    <n v="7"/>
    <n v="5"/>
    <s v="Better"/>
    <x v="8"/>
    <s v="0-5"/>
    <n v="2"/>
    <n v="0"/>
    <n v="3"/>
    <n v="1043"/>
  </r>
  <r>
    <n v="53"/>
    <x v="1"/>
    <x v="1"/>
    <s v="Travel_Rarely"/>
    <n v="447"/>
    <x v="0"/>
    <n v="2"/>
    <s v="Bachelor"/>
    <x v="2"/>
    <s v="Very High"/>
    <x v="0"/>
    <n v="39"/>
    <s v="Very High"/>
    <x v="3"/>
    <s v="Research Director"/>
    <s v="Medium"/>
    <s v="Single"/>
    <n v="16598"/>
    <n v="19764"/>
    <n v="4"/>
    <s v="No"/>
    <n v="12"/>
    <s v="Excellent"/>
    <s v="Medium"/>
    <n v="0"/>
    <n v="35"/>
    <n v="2"/>
    <s v="Good"/>
    <x v="7"/>
    <s v="5-10"/>
    <n v="8"/>
    <n v="8"/>
    <n v="8"/>
    <n v="1044"/>
  </r>
  <r>
    <n v="49"/>
    <x v="1"/>
    <x v="1"/>
    <s v="Travel_Rarely"/>
    <n v="1495"/>
    <x v="0"/>
    <n v="5"/>
    <s v="Master"/>
    <x v="4"/>
    <s v="Low"/>
    <x v="0"/>
    <n v="96"/>
    <s v="High"/>
    <x v="0"/>
    <s v="Healthcare Representative"/>
    <s v="High"/>
    <s v="Married"/>
    <n v="6651"/>
    <n v="21534"/>
    <n v="2"/>
    <s v="No"/>
    <n v="14"/>
    <s v="Excellent"/>
    <s v="Medium"/>
    <n v="1"/>
    <n v="20"/>
    <n v="0"/>
    <s v="Good"/>
    <x v="11"/>
    <s v="0-5"/>
    <n v="2"/>
    <n v="1"/>
    <n v="2"/>
    <n v="1045"/>
  </r>
  <r>
    <n v="40"/>
    <x v="0"/>
    <x v="1"/>
    <s v="Travel_Rarely"/>
    <n v="896"/>
    <x v="0"/>
    <n v="2"/>
    <s v="Bachelor"/>
    <x v="2"/>
    <s v="High"/>
    <x v="0"/>
    <n v="68"/>
    <s v="High"/>
    <x v="1"/>
    <s v="Research Scientist"/>
    <s v="High"/>
    <s v="Divorced"/>
    <n v="2345"/>
    <n v="8045"/>
    <n v="2"/>
    <s v="No"/>
    <n v="14"/>
    <s v="Excellent"/>
    <s v="High"/>
    <n v="1"/>
    <n v="8"/>
    <n v="3"/>
    <s v="Best"/>
    <x v="11"/>
    <s v="0-5"/>
    <n v="1"/>
    <n v="1"/>
    <n v="2"/>
    <n v="1046"/>
  </r>
  <r>
    <n v="44"/>
    <x v="0"/>
    <x v="1"/>
    <s v="Travel_Rarely"/>
    <n v="1467"/>
    <x v="0"/>
    <n v="20"/>
    <s v="Bachelor"/>
    <x v="0"/>
    <s v="Very High"/>
    <x v="0"/>
    <n v="49"/>
    <s v="High"/>
    <x v="1"/>
    <s v="Research Scientist"/>
    <s v="Medium"/>
    <s v="Single"/>
    <n v="3420"/>
    <n v="21158"/>
    <n v="1"/>
    <s v="No"/>
    <n v="13"/>
    <s v="Excellent"/>
    <s v="High"/>
    <n v="0"/>
    <n v="6"/>
    <n v="3"/>
    <s v="Good"/>
    <x v="8"/>
    <s v="0-5"/>
    <n v="2"/>
    <n v="1"/>
    <n v="3"/>
    <n v="1047"/>
  </r>
  <r>
    <n v="33"/>
    <x v="2"/>
    <x v="1"/>
    <s v="Travel_Frequently"/>
    <n v="430"/>
    <x v="1"/>
    <n v="7"/>
    <s v="Bachelor"/>
    <x v="2"/>
    <s v="Very High"/>
    <x v="0"/>
    <n v="54"/>
    <s v="High"/>
    <x v="0"/>
    <s v="Sales Executive"/>
    <s v="Low"/>
    <s v="Married"/>
    <n v="4373"/>
    <n v="17456"/>
    <n v="0"/>
    <s v="No"/>
    <n v="14"/>
    <s v="Excellent"/>
    <s v="Low"/>
    <n v="2"/>
    <n v="5"/>
    <n v="2"/>
    <s v="Better"/>
    <x v="9"/>
    <s v="0-5"/>
    <n v="3"/>
    <n v="0"/>
    <n v="3"/>
    <n v="1048"/>
  </r>
  <r>
    <n v="34"/>
    <x v="2"/>
    <x v="1"/>
    <s v="Travel_Rarely"/>
    <n v="1326"/>
    <x v="1"/>
    <n v="3"/>
    <s v="Bachelor"/>
    <x v="1"/>
    <s v="Very High"/>
    <x v="0"/>
    <n v="81"/>
    <s v="Low"/>
    <x v="0"/>
    <s v="Sales Executive"/>
    <s v="Low"/>
    <s v="Single"/>
    <n v="4759"/>
    <n v="15891"/>
    <n v="3"/>
    <s v="No"/>
    <n v="18"/>
    <s v="Excellent"/>
    <s v="Very High"/>
    <n v="0"/>
    <n v="15"/>
    <n v="2"/>
    <s v="Better"/>
    <x v="20"/>
    <s v="10-40"/>
    <n v="9"/>
    <n v="3"/>
    <n v="12"/>
    <n v="1049"/>
  </r>
  <r>
    <n v="30"/>
    <x v="2"/>
    <x v="1"/>
    <s v="Travel_Rarely"/>
    <n v="1358"/>
    <x v="1"/>
    <n v="16"/>
    <s v="Below College"/>
    <x v="0"/>
    <s v="Very High"/>
    <x v="0"/>
    <n v="96"/>
    <s v="High"/>
    <x v="0"/>
    <s v="Sales Executive"/>
    <s v="High"/>
    <s v="Married"/>
    <n v="5301"/>
    <n v="2939"/>
    <n v="8"/>
    <s v="No"/>
    <n v="15"/>
    <s v="Excellent"/>
    <s v="High"/>
    <n v="2"/>
    <n v="4"/>
    <n v="2"/>
    <s v="Good"/>
    <x v="4"/>
    <s v="0-5"/>
    <n v="1"/>
    <n v="2"/>
    <n v="2"/>
    <n v="1050"/>
  </r>
  <r>
    <n v="42"/>
    <x v="0"/>
    <x v="1"/>
    <s v="Travel_Frequently"/>
    <n v="748"/>
    <x v="0"/>
    <n v="9"/>
    <s v="College"/>
    <x v="2"/>
    <s v="Low"/>
    <x v="1"/>
    <n v="74"/>
    <s v="High"/>
    <x v="1"/>
    <s v="Laboratory Technician"/>
    <s v="Very High"/>
    <s v="Single"/>
    <n v="3673"/>
    <n v="16458"/>
    <n v="1"/>
    <s v="No"/>
    <n v="13"/>
    <s v="Excellent"/>
    <s v="High"/>
    <n v="0"/>
    <n v="12"/>
    <n v="3"/>
    <s v="Better"/>
    <x v="12"/>
    <s v="10-40"/>
    <n v="9"/>
    <n v="5"/>
    <n v="8"/>
    <n v="1051"/>
  </r>
  <r>
    <n v="44"/>
    <x v="0"/>
    <x v="1"/>
    <s v="Travel_Frequently"/>
    <n v="383"/>
    <x v="1"/>
    <n v="1"/>
    <s v="Doctor"/>
    <x v="3"/>
    <s v="Low"/>
    <x v="1"/>
    <n v="79"/>
    <s v="High"/>
    <x v="0"/>
    <s v="Sales Executive"/>
    <s v="High"/>
    <s v="Married"/>
    <n v="4768"/>
    <n v="9282"/>
    <n v="7"/>
    <s v="No"/>
    <n v="12"/>
    <s v="Excellent"/>
    <s v="High"/>
    <n v="1"/>
    <n v="11"/>
    <n v="4"/>
    <s v="Good"/>
    <x v="6"/>
    <s v="0-5"/>
    <n v="0"/>
    <n v="0"/>
    <n v="0"/>
    <n v="1052"/>
  </r>
  <r>
    <n v="30"/>
    <x v="2"/>
    <x v="1"/>
    <s v="Non-Travel"/>
    <n v="990"/>
    <x v="0"/>
    <n v="7"/>
    <s v="Bachelor"/>
    <x v="4"/>
    <s v="High"/>
    <x v="0"/>
    <n v="64"/>
    <s v="High"/>
    <x v="1"/>
    <s v="Research Scientist"/>
    <s v="High"/>
    <s v="Divorced"/>
    <n v="1274"/>
    <n v="7152"/>
    <n v="1"/>
    <s v="No"/>
    <n v="13"/>
    <s v="Excellent"/>
    <s v="Medium"/>
    <n v="2"/>
    <n v="1"/>
    <n v="2"/>
    <s v="Good"/>
    <x v="6"/>
    <s v="0-5"/>
    <n v="0"/>
    <n v="0"/>
    <n v="0"/>
    <n v="1053"/>
  </r>
  <r>
    <n v="57"/>
    <x v="3"/>
    <x v="1"/>
    <s v="Travel_Rarely"/>
    <n v="405"/>
    <x v="0"/>
    <n v="1"/>
    <s v="College"/>
    <x v="0"/>
    <s v="Medium"/>
    <x v="0"/>
    <n v="93"/>
    <s v="Very High"/>
    <x v="0"/>
    <s v="Research Scientist"/>
    <s v="High"/>
    <s v="Married"/>
    <n v="4900"/>
    <n v="2721"/>
    <n v="0"/>
    <s v="No"/>
    <n v="24"/>
    <s v="Outstanding"/>
    <s v="Low"/>
    <n v="1"/>
    <n v="13"/>
    <n v="2"/>
    <s v="Good"/>
    <x v="12"/>
    <s v="10-40"/>
    <n v="9"/>
    <n v="2"/>
    <n v="8"/>
    <n v="1054"/>
  </r>
  <r>
    <n v="49"/>
    <x v="1"/>
    <x v="1"/>
    <s v="Travel_Rarely"/>
    <n v="1490"/>
    <x v="0"/>
    <n v="7"/>
    <s v="Master"/>
    <x v="0"/>
    <s v="High"/>
    <x v="0"/>
    <n v="35"/>
    <s v="High"/>
    <x v="2"/>
    <s v="Healthcare Representative"/>
    <s v="Medium"/>
    <s v="Divorced"/>
    <n v="10466"/>
    <n v="20948"/>
    <n v="3"/>
    <s v="No"/>
    <n v="14"/>
    <s v="Excellent"/>
    <s v="Medium"/>
    <n v="2"/>
    <n v="29"/>
    <n v="3"/>
    <s v="Better"/>
    <x v="3"/>
    <s v="5-10"/>
    <n v="7"/>
    <n v="0"/>
    <n v="7"/>
    <n v="1055"/>
  </r>
  <r>
    <n v="34"/>
    <x v="2"/>
    <x v="1"/>
    <s v="Travel_Frequently"/>
    <n v="829"/>
    <x v="0"/>
    <n v="15"/>
    <s v="Bachelor"/>
    <x v="2"/>
    <s v="Medium"/>
    <x v="0"/>
    <n v="71"/>
    <s v="High"/>
    <x v="3"/>
    <s v="Research Director"/>
    <s v="Low"/>
    <s v="Divorced"/>
    <n v="17007"/>
    <n v="11929"/>
    <n v="7"/>
    <s v="No"/>
    <n v="14"/>
    <s v="Excellent"/>
    <s v="Very High"/>
    <n v="2"/>
    <n v="16"/>
    <n v="3"/>
    <s v="Good"/>
    <x v="13"/>
    <s v="10-40"/>
    <n v="8"/>
    <n v="6"/>
    <n v="9"/>
    <n v="1056"/>
  </r>
  <r>
    <n v="28"/>
    <x v="2"/>
    <x v="0"/>
    <s v="Travel_Frequently"/>
    <n v="1496"/>
    <x v="1"/>
    <n v="1"/>
    <s v="Bachelor"/>
    <x v="4"/>
    <s v="Low"/>
    <x v="0"/>
    <n v="92"/>
    <s v="High"/>
    <x v="1"/>
    <s v="Sales Representative"/>
    <s v="High"/>
    <s v="Married"/>
    <n v="2909"/>
    <n v="15747"/>
    <n v="3"/>
    <s v="No"/>
    <n v="15"/>
    <s v="Excellent"/>
    <s v="Very High"/>
    <n v="1"/>
    <n v="5"/>
    <n v="3"/>
    <s v="Best"/>
    <x v="11"/>
    <s v="0-5"/>
    <n v="2"/>
    <n v="1"/>
    <n v="2"/>
    <n v="1057"/>
  </r>
  <r>
    <n v="29"/>
    <x v="2"/>
    <x v="0"/>
    <s v="Travel_Frequently"/>
    <n v="115"/>
    <x v="1"/>
    <n v="13"/>
    <s v="Bachelor"/>
    <x v="4"/>
    <s v="Low"/>
    <x v="1"/>
    <n v="51"/>
    <s v="High"/>
    <x v="0"/>
    <s v="Sales Executive"/>
    <s v="Medium"/>
    <s v="Single"/>
    <n v="5765"/>
    <n v="17485"/>
    <n v="5"/>
    <s v="No"/>
    <n v="11"/>
    <s v="Excellent"/>
    <s v="Low"/>
    <n v="0"/>
    <n v="7"/>
    <n v="4"/>
    <s v="Bad"/>
    <x v="8"/>
    <s v="0-5"/>
    <n v="3"/>
    <n v="0"/>
    <n v="0"/>
    <n v="1058"/>
  </r>
  <r>
    <n v="34"/>
    <x v="2"/>
    <x v="0"/>
    <s v="Travel_Rarely"/>
    <n v="790"/>
    <x v="1"/>
    <n v="24"/>
    <s v="Master"/>
    <x v="2"/>
    <s v="Low"/>
    <x v="1"/>
    <n v="40"/>
    <s v="Medium"/>
    <x v="0"/>
    <s v="Sales Executive"/>
    <s v="Medium"/>
    <s v="Single"/>
    <n v="4599"/>
    <n v="7815"/>
    <n v="0"/>
    <s v="Yes"/>
    <n v="23"/>
    <s v="Outstanding"/>
    <s v="High"/>
    <n v="0"/>
    <n v="16"/>
    <n v="2"/>
    <s v="Best"/>
    <x v="15"/>
    <s v="10-40"/>
    <n v="9"/>
    <n v="10"/>
    <n v="10"/>
    <n v="1059"/>
  </r>
  <r>
    <n v="35"/>
    <x v="2"/>
    <x v="1"/>
    <s v="Travel_Rarely"/>
    <n v="660"/>
    <x v="1"/>
    <n v="7"/>
    <s v="Below College"/>
    <x v="0"/>
    <s v="Very High"/>
    <x v="0"/>
    <n v="76"/>
    <s v="High"/>
    <x v="1"/>
    <s v="Sales Representative"/>
    <s v="High"/>
    <s v="Married"/>
    <n v="2404"/>
    <n v="16192"/>
    <n v="1"/>
    <s v="No"/>
    <n v="13"/>
    <s v="Excellent"/>
    <s v="Low"/>
    <n v="1"/>
    <n v="1"/>
    <n v="3"/>
    <s v="Better"/>
    <x v="6"/>
    <s v="0-5"/>
    <n v="0"/>
    <n v="0"/>
    <n v="0"/>
    <n v="1060"/>
  </r>
  <r>
    <n v="24"/>
    <x v="4"/>
    <x v="0"/>
    <s v="Travel_Frequently"/>
    <n v="381"/>
    <x v="0"/>
    <n v="9"/>
    <s v="Bachelor"/>
    <x v="2"/>
    <s v="Medium"/>
    <x v="0"/>
    <n v="89"/>
    <s v="High"/>
    <x v="1"/>
    <s v="Laboratory Technician"/>
    <s v="Low"/>
    <s v="Single"/>
    <n v="3172"/>
    <n v="16998"/>
    <n v="2"/>
    <s v="Yes"/>
    <n v="11"/>
    <s v="Excellent"/>
    <s v="High"/>
    <n v="0"/>
    <n v="4"/>
    <n v="2"/>
    <s v="Good"/>
    <x v="2"/>
    <s v="0-5"/>
    <n v="0"/>
    <n v="0"/>
    <n v="0"/>
    <n v="1061"/>
  </r>
  <r>
    <n v="24"/>
    <x v="4"/>
    <x v="1"/>
    <s v="Non-Travel"/>
    <n v="830"/>
    <x v="1"/>
    <n v="13"/>
    <s v="College"/>
    <x v="0"/>
    <s v="Very High"/>
    <x v="1"/>
    <n v="78"/>
    <s v="High"/>
    <x v="1"/>
    <s v="Sales Representative"/>
    <s v="Medium"/>
    <s v="Married"/>
    <n v="2033"/>
    <n v="7103"/>
    <n v="1"/>
    <s v="No"/>
    <n v="13"/>
    <s v="Excellent"/>
    <s v="High"/>
    <n v="1"/>
    <n v="1"/>
    <n v="2"/>
    <s v="Better"/>
    <x v="6"/>
    <s v="0-5"/>
    <n v="0"/>
    <n v="0"/>
    <n v="0"/>
    <n v="1062"/>
  </r>
  <r>
    <n v="44"/>
    <x v="0"/>
    <x v="1"/>
    <s v="Travel_Frequently"/>
    <n v="1193"/>
    <x v="0"/>
    <n v="2"/>
    <s v="Below College"/>
    <x v="2"/>
    <s v="Medium"/>
    <x v="0"/>
    <n v="86"/>
    <s v="High"/>
    <x v="2"/>
    <s v="Manufacturing Director"/>
    <s v="High"/>
    <s v="Single"/>
    <n v="10209"/>
    <n v="19719"/>
    <n v="5"/>
    <s v="Yes"/>
    <n v="18"/>
    <s v="Excellent"/>
    <s v="Medium"/>
    <n v="0"/>
    <n v="16"/>
    <n v="2"/>
    <s v="Good"/>
    <x v="4"/>
    <s v="0-5"/>
    <n v="2"/>
    <n v="2"/>
    <n v="2"/>
    <n v="1063"/>
  </r>
  <r>
    <n v="29"/>
    <x v="2"/>
    <x v="1"/>
    <s v="Travel_Rarely"/>
    <n v="1246"/>
    <x v="1"/>
    <n v="19"/>
    <s v="Bachelor"/>
    <x v="0"/>
    <s v="High"/>
    <x v="0"/>
    <n v="77"/>
    <s v="Medium"/>
    <x v="0"/>
    <s v="Sales Executive"/>
    <s v="High"/>
    <s v="Divorced"/>
    <n v="8620"/>
    <n v="23757"/>
    <n v="1"/>
    <s v="No"/>
    <n v="14"/>
    <s v="Excellent"/>
    <s v="High"/>
    <n v="2"/>
    <n v="10"/>
    <n v="3"/>
    <s v="Better"/>
    <x v="1"/>
    <s v="5-10"/>
    <n v="7"/>
    <n v="0"/>
    <n v="4"/>
    <n v="1064"/>
  </r>
  <r>
    <n v="30"/>
    <x v="2"/>
    <x v="1"/>
    <s v="Travel_Rarely"/>
    <n v="330"/>
    <x v="2"/>
    <n v="1"/>
    <s v="Bachelor"/>
    <x v="0"/>
    <s v="High"/>
    <x v="0"/>
    <n v="46"/>
    <s v="High"/>
    <x v="1"/>
    <s v="Human Resources"/>
    <s v="High"/>
    <s v="Divorced"/>
    <n v="2064"/>
    <n v="15428"/>
    <n v="0"/>
    <s v="No"/>
    <n v="21"/>
    <s v="Outstanding"/>
    <s v="Low"/>
    <n v="1"/>
    <n v="6"/>
    <n v="3"/>
    <s v="Best"/>
    <x v="8"/>
    <s v="0-5"/>
    <n v="3"/>
    <n v="1"/>
    <n v="3"/>
    <n v="1065"/>
  </r>
  <r>
    <n v="55"/>
    <x v="1"/>
    <x v="1"/>
    <s v="Travel_Rarely"/>
    <n v="1229"/>
    <x v="0"/>
    <n v="4"/>
    <s v="Master"/>
    <x v="0"/>
    <s v="Very High"/>
    <x v="0"/>
    <n v="30"/>
    <s v="High"/>
    <x v="0"/>
    <s v="Healthcare Representative"/>
    <s v="High"/>
    <s v="Married"/>
    <n v="4035"/>
    <n v="16143"/>
    <n v="0"/>
    <s v="Yes"/>
    <n v="16"/>
    <s v="Excellent"/>
    <s v="Medium"/>
    <n v="0"/>
    <n v="4"/>
    <n v="2"/>
    <s v="Better"/>
    <x v="11"/>
    <s v="0-5"/>
    <n v="2"/>
    <n v="1"/>
    <n v="2"/>
    <n v="1066"/>
  </r>
  <r>
    <n v="33"/>
    <x v="2"/>
    <x v="1"/>
    <s v="Travel_Rarely"/>
    <n v="1099"/>
    <x v="0"/>
    <n v="4"/>
    <s v="Master"/>
    <x v="2"/>
    <s v="Low"/>
    <x v="1"/>
    <n v="82"/>
    <s v="Medium"/>
    <x v="1"/>
    <s v="Laboratory Technician"/>
    <s v="Medium"/>
    <s v="Married"/>
    <n v="3838"/>
    <n v="8192"/>
    <n v="8"/>
    <s v="No"/>
    <n v="11"/>
    <s v="Excellent"/>
    <s v="Very High"/>
    <n v="0"/>
    <n v="8"/>
    <n v="5"/>
    <s v="Better"/>
    <x v="8"/>
    <s v="0-5"/>
    <n v="4"/>
    <n v="0"/>
    <n v="2"/>
    <n v="1067"/>
  </r>
  <r>
    <n v="47"/>
    <x v="1"/>
    <x v="1"/>
    <s v="Travel_Rarely"/>
    <n v="571"/>
    <x v="1"/>
    <n v="14"/>
    <s v="Bachelor"/>
    <x v="2"/>
    <s v="High"/>
    <x v="1"/>
    <n v="78"/>
    <s v="High"/>
    <x v="0"/>
    <s v="Sales Executive"/>
    <s v="High"/>
    <s v="Married"/>
    <n v="4591"/>
    <n v="24200"/>
    <n v="3"/>
    <s v="Yes"/>
    <n v="17"/>
    <s v="Excellent"/>
    <s v="High"/>
    <n v="1"/>
    <n v="11"/>
    <n v="4"/>
    <s v="Good"/>
    <x v="8"/>
    <s v="0-5"/>
    <n v="4"/>
    <n v="1"/>
    <n v="2"/>
    <n v="1068"/>
  </r>
  <r>
    <n v="28"/>
    <x v="2"/>
    <x v="0"/>
    <s v="Travel_Frequently"/>
    <n v="289"/>
    <x v="0"/>
    <n v="2"/>
    <s v="College"/>
    <x v="2"/>
    <s v="High"/>
    <x v="0"/>
    <n v="38"/>
    <s v="Medium"/>
    <x v="1"/>
    <s v="Laboratory Technician"/>
    <s v="Low"/>
    <s v="Single"/>
    <n v="2561"/>
    <n v="5355"/>
    <n v="7"/>
    <s v="No"/>
    <n v="11"/>
    <s v="Excellent"/>
    <s v="High"/>
    <n v="0"/>
    <n v="8"/>
    <n v="2"/>
    <s v="Good"/>
    <x v="2"/>
    <s v="0-5"/>
    <n v="0"/>
    <n v="0"/>
    <n v="0"/>
    <n v="1069"/>
  </r>
  <r>
    <n v="28"/>
    <x v="2"/>
    <x v="1"/>
    <s v="Travel_Rarely"/>
    <n v="1423"/>
    <x v="0"/>
    <n v="1"/>
    <s v="Bachelor"/>
    <x v="0"/>
    <s v="Low"/>
    <x v="0"/>
    <n v="72"/>
    <s v="Medium"/>
    <x v="1"/>
    <s v="Research Scientist"/>
    <s v="High"/>
    <s v="Divorced"/>
    <n v="1563"/>
    <n v="12530"/>
    <n v="1"/>
    <s v="No"/>
    <n v="14"/>
    <s v="Excellent"/>
    <s v="Very High"/>
    <n v="1"/>
    <n v="1"/>
    <n v="2"/>
    <s v="Bad"/>
    <x v="6"/>
    <s v="0-5"/>
    <n v="0"/>
    <n v="0"/>
    <n v="0"/>
    <n v="1070"/>
  </r>
  <r>
    <n v="28"/>
    <x v="2"/>
    <x v="1"/>
    <s v="Travel_Frequently"/>
    <n v="467"/>
    <x v="1"/>
    <n v="7"/>
    <s v="Bachelor"/>
    <x v="0"/>
    <s v="High"/>
    <x v="0"/>
    <n v="55"/>
    <s v="High"/>
    <x v="0"/>
    <s v="Sales Executive"/>
    <s v="Low"/>
    <s v="Single"/>
    <n v="4898"/>
    <n v="11827"/>
    <n v="0"/>
    <s v="No"/>
    <n v="14"/>
    <s v="Excellent"/>
    <s v="Very High"/>
    <n v="0"/>
    <n v="5"/>
    <n v="5"/>
    <s v="Better"/>
    <x v="9"/>
    <s v="0-5"/>
    <n v="2"/>
    <n v="1"/>
    <n v="3"/>
    <n v="1071"/>
  </r>
  <r>
    <n v="49"/>
    <x v="1"/>
    <x v="1"/>
    <s v="Travel_Rarely"/>
    <n v="271"/>
    <x v="0"/>
    <n v="3"/>
    <s v="College"/>
    <x v="2"/>
    <s v="High"/>
    <x v="1"/>
    <n v="43"/>
    <s v="Medium"/>
    <x v="0"/>
    <s v="Laboratory Technician"/>
    <s v="Low"/>
    <s v="Married"/>
    <n v="4789"/>
    <n v="23070"/>
    <n v="4"/>
    <s v="No"/>
    <n v="25"/>
    <s v="Outstanding"/>
    <s v="Low"/>
    <n v="1"/>
    <n v="10"/>
    <n v="3"/>
    <s v="Better"/>
    <x v="11"/>
    <s v="0-5"/>
    <n v="2"/>
    <n v="1"/>
    <n v="2"/>
    <n v="1072"/>
  </r>
  <r>
    <n v="29"/>
    <x v="2"/>
    <x v="1"/>
    <s v="Travel_Frequently"/>
    <n v="410"/>
    <x v="0"/>
    <n v="2"/>
    <s v="Below College"/>
    <x v="0"/>
    <s v="Very High"/>
    <x v="1"/>
    <n v="97"/>
    <s v="High"/>
    <x v="1"/>
    <s v="Laboratory Technician"/>
    <s v="Medium"/>
    <s v="Married"/>
    <n v="3180"/>
    <n v="4668"/>
    <n v="0"/>
    <s v="No"/>
    <n v="13"/>
    <s v="Excellent"/>
    <s v="High"/>
    <n v="3"/>
    <n v="4"/>
    <n v="3"/>
    <s v="Better"/>
    <x v="11"/>
    <s v="0-5"/>
    <n v="2"/>
    <n v="0"/>
    <n v="2"/>
    <n v="1073"/>
  </r>
  <r>
    <n v="28"/>
    <x v="2"/>
    <x v="1"/>
    <s v="Travel_Rarely"/>
    <n v="1083"/>
    <x v="0"/>
    <n v="29"/>
    <s v="Below College"/>
    <x v="0"/>
    <s v="High"/>
    <x v="0"/>
    <n v="96"/>
    <s v="Low"/>
    <x v="0"/>
    <s v="Manufacturing Director"/>
    <s v="Medium"/>
    <s v="Married"/>
    <n v="6549"/>
    <n v="3173"/>
    <n v="1"/>
    <s v="No"/>
    <n v="14"/>
    <s v="Excellent"/>
    <s v="Medium"/>
    <n v="2"/>
    <n v="8"/>
    <n v="2"/>
    <s v="Good"/>
    <x v="3"/>
    <s v="5-10"/>
    <n v="6"/>
    <n v="1"/>
    <n v="7"/>
    <n v="1074"/>
  </r>
  <r>
    <n v="33"/>
    <x v="2"/>
    <x v="1"/>
    <s v="Travel_Rarely"/>
    <n v="516"/>
    <x v="0"/>
    <n v="8"/>
    <s v="Doctor"/>
    <x v="0"/>
    <s v="Very High"/>
    <x v="0"/>
    <n v="69"/>
    <s v="High"/>
    <x v="0"/>
    <s v="Healthcare Representative"/>
    <s v="High"/>
    <s v="Single"/>
    <n v="6388"/>
    <n v="22049"/>
    <n v="2"/>
    <s v="Yes"/>
    <n v="17"/>
    <s v="Excellent"/>
    <s v="Low"/>
    <n v="0"/>
    <n v="14"/>
    <n v="6"/>
    <s v="Better"/>
    <x v="2"/>
    <s v="0-5"/>
    <n v="0"/>
    <n v="0"/>
    <n v="0"/>
    <n v="1075"/>
  </r>
  <r>
    <n v="32"/>
    <x v="2"/>
    <x v="1"/>
    <s v="Travel_Rarely"/>
    <n v="495"/>
    <x v="0"/>
    <n v="10"/>
    <s v="Bachelor"/>
    <x v="2"/>
    <s v="High"/>
    <x v="0"/>
    <n v="64"/>
    <s v="High"/>
    <x v="2"/>
    <s v="Manager"/>
    <s v="Very High"/>
    <s v="Single"/>
    <n v="11244"/>
    <n v="21072"/>
    <n v="2"/>
    <s v="No"/>
    <n v="25"/>
    <s v="Outstanding"/>
    <s v="Medium"/>
    <n v="0"/>
    <n v="10"/>
    <n v="5"/>
    <s v="Best"/>
    <x v="8"/>
    <s v="0-5"/>
    <n v="2"/>
    <n v="0"/>
    <n v="0"/>
    <n v="1076"/>
  </r>
  <r>
    <n v="54"/>
    <x v="1"/>
    <x v="1"/>
    <s v="Travel_Frequently"/>
    <n v="1050"/>
    <x v="0"/>
    <n v="11"/>
    <s v="Master"/>
    <x v="2"/>
    <s v="Medium"/>
    <x v="1"/>
    <n v="87"/>
    <s v="High"/>
    <x v="3"/>
    <s v="Manager"/>
    <s v="Very High"/>
    <s v="Divorced"/>
    <n v="16032"/>
    <n v="24456"/>
    <n v="3"/>
    <s v="No"/>
    <n v="20"/>
    <s v="Outstanding"/>
    <s v="Low"/>
    <n v="1"/>
    <n v="26"/>
    <n v="2"/>
    <s v="Better"/>
    <x v="13"/>
    <s v="10-40"/>
    <n v="9"/>
    <n v="1"/>
    <n v="12"/>
    <n v="1077"/>
  </r>
  <r>
    <n v="29"/>
    <x v="2"/>
    <x v="0"/>
    <s v="Travel_Rarely"/>
    <n v="224"/>
    <x v="0"/>
    <n v="1"/>
    <s v="Master"/>
    <x v="4"/>
    <s v="Low"/>
    <x v="0"/>
    <n v="100"/>
    <s v="Medium"/>
    <x v="1"/>
    <s v="Research Scientist"/>
    <s v="Low"/>
    <s v="Single"/>
    <n v="2362"/>
    <n v="7568"/>
    <n v="6"/>
    <s v="No"/>
    <n v="13"/>
    <s v="Excellent"/>
    <s v="High"/>
    <n v="0"/>
    <n v="11"/>
    <n v="2"/>
    <s v="Bad"/>
    <x v="7"/>
    <s v="5-10"/>
    <n v="7"/>
    <n v="0"/>
    <n v="7"/>
    <n v="1078"/>
  </r>
  <r>
    <n v="44"/>
    <x v="0"/>
    <x v="1"/>
    <s v="Travel_Rarely"/>
    <n v="136"/>
    <x v="0"/>
    <n v="28"/>
    <s v="Bachelor"/>
    <x v="0"/>
    <s v="Very High"/>
    <x v="0"/>
    <n v="32"/>
    <s v="High"/>
    <x v="3"/>
    <s v="Research Director"/>
    <s v="Low"/>
    <s v="Married"/>
    <n v="16328"/>
    <n v="22074"/>
    <n v="3"/>
    <s v="No"/>
    <n v="13"/>
    <s v="Excellent"/>
    <s v="High"/>
    <n v="1"/>
    <n v="24"/>
    <n v="1"/>
    <s v="Best"/>
    <x v="23"/>
    <s v="10-40"/>
    <n v="6"/>
    <n v="14"/>
    <n v="17"/>
    <n v="1079"/>
  </r>
  <r>
    <n v="39"/>
    <x v="0"/>
    <x v="1"/>
    <s v="Travel_Rarely"/>
    <n v="1089"/>
    <x v="0"/>
    <n v="6"/>
    <s v="Bachelor"/>
    <x v="0"/>
    <s v="Medium"/>
    <x v="1"/>
    <n v="32"/>
    <s v="High"/>
    <x v="2"/>
    <s v="Manufacturing Director"/>
    <s v="Medium"/>
    <s v="Single"/>
    <n v="8376"/>
    <n v="9150"/>
    <n v="4"/>
    <s v="No"/>
    <n v="18"/>
    <s v="Excellent"/>
    <s v="Very High"/>
    <n v="0"/>
    <n v="9"/>
    <n v="3"/>
    <s v="Better"/>
    <x v="4"/>
    <s v="0-5"/>
    <n v="0"/>
    <n v="2"/>
    <n v="2"/>
    <n v="1080"/>
  </r>
  <r>
    <n v="46"/>
    <x v="1"/>
    <x v="1"/>
    <s v="Travel_Rarely"/>
    <n v="228"/>
    <x v="1"/>
    <n v="3"/>
    <s v="Bachelor"/>
    <x v="0"/>
    <s v="High"/>
    <x v="1"/>
    <n v="51"/>
    <s v="High"/>
    <x v="3"/>
    <s v="Manager"/>
    <s v="Medium"/>
    <s v="Married"/>
    <n v="16606"/>
    <n v="11380"/>
    <n v="8"/>
    <s v="No"/>
    <n v="12"/>
    <s v="Excellent"/>
    <s v="Very High"/>
    <n v="1"/>
    <n v="23"/>
    <n v="2"/>
    <s v="Best"/>
    <x v="20"/>
    <s v="10-40"/>
    <n v="12"/>
    <n v="5"/>
    <n v="1"/>
    <n v="1081"/>
  </r>
  <r>
    <n v="35"/>
    <x v="2"/>
    <x v="1"/>
    <s v="Travel_Rarely"/>
    <n v="1029"/>
    <x v="0"/>
    <n v="16"/>
    <s v="Bachelor"/>
    <x v="0"/>
    <s v="Very High"/>
    <x v="1"/>
    <n v="91"/>
    <s v="Medium"/>
    <x v="2"/>
    <s v="Healthcare Representative"/>
    <s v="Medium"/>
    <s v="Single"/>
    <n v="8606"/>
    <n v="21195"/>
    <n v="1"/>
    <s v="No"/>
    <n v="19"/>
    <s v="Excellent"/>
    <s v="Very High"/>
    <n v="0"/>
    <n v="11"/>
    <n v="3"/>
    <s v="Bad"/>
    <x v="19"/>
    <s v="10-40"/>
    <n v="8"/>
    <n v="3"/>
    <n v="3"/>
    <n v="1082"/>
  </r>
  <r>
    <n v="23"/>
    <x v="4"/>
    <x v="1"/>
    <s v="Travel_Rarely"/>
    <n v="507"/>
    <x v="0"/>
    <n v="20"/>
    <s v="Below College"/>
    <x v="0"/>
    <s v="Low"/>
    <x v="0"/>
    <n v="97"/>
    <s v="High"/>
    <x v="0"/>
    <s v="Laboratory Technician"/>
    <s v="High"/>
    <s v="Single"/>
    <n v="2272"/>
    <n v="24812"/>
    <n v="0"/>
    <s v="No"/>
    <n v="14"/>
    <s v="Excellent"/>
    <s v="Medium"/>
    <n v="0"/>
    <n v="5"/>
    <n v="2"/>
    <s v="Better"/>
    <x v="9"/>
    <s v="0-5"/>
    <n v="3"/>
    <n v="1"/>
    <n v="2"/>
    <n v="1083"/>
  </r>
  <r>
    <n v="40"/>
    <x v="0"/>
    <x v="0"/>
    <s v="Travel_Rarely"/>
    <n v="676"/>
    <x v="0"/>
    <n v="9"/>
    <s v="Master"/>
    <x v="0"/>
    <s v="Very High"/>
    <x v="0"/>
    <n v="86"/>
    <s v="High"/>
    <x v="1"/>
    <s v="Laboratory Technician"/>
    <s v="Low"/>
    <s v="Single"/>
    <n v="2018"/>
    <n v="21831"/>
    <n v="3"/>
    <s v="No"/>
    <n v="14"/>
    <s v="Excellent"/>
    <s v="Medium"/>
    <n v="0"/>
    <n v="15"/>
    <n v="3"/>
    <s v="Bad"/>
    <x v="8"/>
    <s v="0-5"/>
    <n v="4"/>
    <n v="1"/>
    <n v="0"/>
    <n v="1084"/>
  </r>
  <r>
    <n v="34"/>
    <x v="2"/>
    <x v="1"/>
    <s v="Travel_Rarely"/>
    <n v="971"/>
    <x v="1"/>
    <n v="1"/>
    <s v="Bachelor"/>
    <x v="4"/>
    <s v="Very High"/>
    <x v="0"/>
    <n v="64"/>
    <s v="Medium"/>
    <x v="2"/>
    <s v="Sales Executive"/>
    <s v="High"/>
    <s v="Married"/>
    <n v="7083"/>
    <n v="12288"/>
    <n v="1"/>
    <s v="Yes"/>
    <n v="14"/>
    <s v="Excellent"/>
    <s v="Very High"/>
    <n v="0"/>
    <n v="10"/>
    <n v="3"/>
    <s v="Better"/>
    <x v="1"/>
    <s v="5-10"/>
    <n v="9"/>
    <n v="8"/>
    <n v="6"/>
    <n v="1085"/>
  </r>
  <r>
    <n v="31"/>
    <x v="2"/>
    <x v="0"/>
    <s v="Travel_Frequently"/>
    <n v="561"/>
    <x v="0"/>
    <n v="3"/>
    <s v="Bachelor"/>
    <x v="0"/>
    <s v="Very High"/>
    <x v="1"/>
    <n v="33"/>
    <s v="High"/>
    <x v="1"/>
    <s v="Research Scientist"/>
    <s v="High"/>
    <s v="Single"/>
    <n v="4084"/>
    <n v="4156"/>
    <n v="1"/>
    <s v="No"/>
    <n v="12"/>
    <s v="Excellent"/>
    <s v="Low"/>
    <n v="0"/>
    <n v="7"/>
    <n v="2"/>
    <s v="Bad"/>
    <x v="5"/>
    <s v="5-10"/>
    <n v="2"/>
    <n v="7"/>
    <n v="7"/>
    <n v="1086"/>
  </r>
  <r>
    <n v="50"/>
    <x v="1"/>
    <x v="1"/>
    <s v="Travel_Frequently"/>
    <n v="333"/>
    <x v="0"/>
    <n v="22"/>
    <s v="Doctor"/>
    <x v="2"/>
    <s v="High"/>
    <x v="0"/>
    <n v="88"/>
    <s v="Low"/>
    <x v="3"/>
    <s v="Research Director"/>
    <s v="Very High"/>
    <s v="Single"/>
    <n v="14411"/>
    <n v="24450"/>
    <n v="1"/>
    <s v="Yes"/>
    <n v="13"/>
    <s v="Excellent"/>
    <s v="Very High"/>
    <n v="0"/>
    <n v="32"/>
    <n v="2"/>
    <s v="Better"/>
    <x v="32"/>
    <s v="10-40"/>
    <n v="6"/>
    <n v="13"/>
    <n v="9"/>
    <n v="1087"/>
  </r>
  <r>
    <n v="34"/>
    <x v="2"/>
    <x v="1"/>
    <s v="Travel_Rarely"/>
    <n v="1440"/>
    <x v="1"/>
    <n v="7"/>
    <s v="College"/>
    <x v="4"/>
    <s v="Medium"/>
    <x v="0"/>
    <n v="55"/>
    <s v="High"/>
    <x v="1"/>
    <s v="Sales Representative"/>
    <s v="High"/>
    <s v="Married"/>
    <n v="2308"/>
    <n v="4944"/>
    <n v="0"/>
    <s v="Yes"/>
    <n v="25"/>
    <s v="Outstanding"/>
    <s v="Medium"/>
    <n v="1"/>
    <n v="12"/>
    <n v="4"/>
    <s v="Better"/>
    <x v="19"/>
    <s v="10-40"/>
    <n v="10"/>
    <n v="5"/>
    <n v="7"/>
    <n v="1088"/>
  </r>
  <r>
    <n v="42"/>
    <x v="0"/>
    <x v="1"/>
    <s v="Travel_Rarely"/>
    <n v="1210"/>
    <x v="0"/>
    <n v="2"/>
    <s v="Bachelor"/>
    <x v="2"/>
    <s v="High"/>
    <x v="0"/>
    <n v="68"/>
    <s v="Medium"/>
    <x v="1"/>
    <s v="Laboratory Technician"/>
    <s v="Medium"/>
    <s v="Married"/>
    <n v="4841"/>
    <n v="24052"/>
    <n v="4"/>
    <s v="No"/>
    <n v="14"/>
    <s v="Excellent"/>
    <s v="Medium"/>
    <n v="1"/>
    <n v="4"/>
    <n v="3"/>
    <s v="Better"/>
    <x v="6"/>
    <s v="0-5"/>
    <n v="0"/>
    <n v="0"/>
    <n v="0"/>
    <n v="1089"/>
  </r>
  <r>
    <n v="37"/>
    <x v="0"/>
    <x v="1"/>
    <s v="Travel_Rarely"/>
    <n v="674"/>
    <x v="0"/>
    <n v="13"/>
    <s v="Bachelor"/>
    <x v="2"/>
    <s v="Low"/>
    <x v="0"/>
    <n v="47"/>
    <s v="High"/>
    <x v="0"/>
    <s v="Research Scientist"/>
    <s v="Very High"/>
    <s v="Married"/>
    <n v="4285"/>
    <n v="3031"/>
    <n v="1"/>
    <s v="No"/>
    <n v="17"/>
    <s v="Excellent"/>
    <s v="Low"/>
    <n v="0"/>
    <n v="10"/>
    <n v="2"/>
    <s v="Better"/>
    <x v="1"/>
    <s v="5-10"/>
    <n v="8"/>
    <n v="3"/>
    <n v="7"/>
    <n v="1090"/>
  </r>
  <r>
    <n v="29"/>
    <x v="2"/>
    <x v="1"/>
    <s v="Travel_Rarely"/>
    <n v="441"/>
    <x v="0"/>
    <n v="8"/>
    <s v="Below College"/>
    <x v="1"/>
    <s v="High"/>
    <x v="1"/>
    <n v="39"/>
    <s v="Low"/>
    <x v="0"/>
    <s v="Healthcare Representative"/>
    <s v="Low"/>
    <s v="Married"/>
    <n v="9715"/>
    <n v="7288"/>
    <n v="3"/>
    <s v="No"/>
    <n v="13"/>
    <s v="Excellent"/>
    <s v="High"/>
    <n v="1"/>
    <n v="9"/>
    <n v="3"/>
    <s v="Better"/>
    <x v="5"/>
    <s v="5-10"/>
    <n v="7"/>
    <n v="0"/>
    <n v="7"/>
    <n v="1091"/>
  </r>
  <r>
    <n v="33"/>
    <x v="2"/>
    <x v="1"/>
    <s v="Travel_Rarely"/>
    <n v="575"/>
    <x v="0"/>
    <n v="25"/>
    <s v="Bachelor"/>
    <x v="0"/>
    <s v="Very High"/>
    <x v="0"/>
    <n v="44"/>
    <s v="Medium"/>
    <x v="0"/>
    <s v="Manufacturing Director"/>
    <s v="Medium"/>
    <s v="Single"/>
    <n v="4320"/>
    <n v="24152"/>
    <n v="1"/>
    <s v="No"/>
    <n v="13"/>
    <s v="Excellent"/>
    <s v="Very High"/>
    <n v="0"/>
    <n v="5"/>
    <n v="2"/>
    <s v="Better"/>
    <x v="8"/>
    <s v="0-5"/>
    <n v="3"/>
    <n v="0"/>
    <n v="2"/>
    <n v="1092"/>
  </r>
  <r>
    <n v="45"/>
    <x v="0"/>
    <x v="1"/>
    <s v="Travel_Rarely"/>
    <n v="950"/>
    <x v="0"/>
    <n v="28"/>
    <s v="Bachelor"/>
    <x v="4"/>
    <s v="Very High"/>
    <x v="0"/>
    <n v="97"/>
    <s v="High"/>
    <x v="1"/>
    <s v="Research Scientist"/>
    <s v="Very High"/>
    <s v="Married"/>
    <n v="2132"/>
    <n v="4585"/>
    <n v="4"/>
    <s v="No"/>
    <n v="20"/>
    <s v="Outstanding"/>
    <s v="Very High"/>
    <n v="1"/>
    <n v="8"/>
    <n v="3"/>
    <s v="Better"/>
    <x v="8"/>
    <s v="0-5"/>
    <n v="4"/>
    <n v="0"/>
    <n v="3"/>
    <n v="1093"/>
  </r>
  <r>
    <n v="42"/>
    <x v="0"/>
    <x v="1"/>
    <s v="Travel_Frequently"/>
    <n v="288"/>
    <x v="0"/>
    <n v="2"/>
    <s v="Bachelor"/>
    <x v="0"/>
    <s v="Very High"/>
    <x v="0"/>
    <n v="40"/>
    <s v="High"/>
    <x v="2"/>
    <s v="Healthcare Representative"/>
    <s v="Very High"/>
    <s v="Married"/>
    <n v="10124"/>
    <n v="18611"/>
    <n v="2"/>
    <s v="Yes"/>
    <n v="14"/>
    <s v="Excellent"/>
    <s v="High"/>
    <n v="1"/>
    <n v="24"/>
    <n v="3"/>
    <s v="Bad"/>
    <x v="23"/>
    <s v="10-40"/>
    <n v="8"/>
    <n v="13"/>
    <n v="9"/>
    <n v="1094"/>
  </r>
  <r>
    <n v="40"/>
    <x v="0"/>
    <x v="1"/>
    <s v="Travel_Rarely"/>
    <n v="1342"/>
    <x v="1"/>
    <n v="9"/>
    <s v="College"/>
    <x v="2"/>
    <s v="Low"/>
    <x v="0"/>
    <n v="47"/>
    <s v="High"/>
    <x v="0"/>
    <s v="Sales Executive"/>
    <s v="Low"/>
    <s v="Married"/>
    <n v="5473"/>
    <n v="19345"/>
    <n v="0"/>
    <s v="No"/>
    <n v="12"/>
    <s v="Excellent"/>
    <s v="Very High"/>
    <n v="0"/>
    <n v="9"/>
    <n v="5"/>
    <s v="Best"/>
    <x v="3"/>
    <s v="5-10"/>
    <n v="4"/>
    <n v="7"/>
    <n v="1"/>
    <n v="1095"/>
  </r>
  <r>
    <n v="33"/>
    <x v="2"/>
    <x v="1"/>
    <s v="Travel_Rarely"/>
    <n v="589"/>
    <x v="0"/>
    <n v="28"/>
    <s v="Master"/>
    <x v="0"/>
    <s v="Medium"/>
    <x v="0"/>
    <n v="79"/>
    <s v="High"/>
    <x v="0"/>
    <s v="Laboratory Technician"/>
    <s v="High"/>
    <s v="Married"/>
    <n v="5207"/>
    <n v="22949"/>
    <n v="1"/>
    <s v="Yes"/>
    <n v="12"/>
    <s v="Excellent"/>
    <s v="Medium"/>
    <n v="1"/>
    <n v="15"/>
    <n v="3"/>
    <s v="Better"/>
    <x v="15"/>
    <s v="10-40"/>
    <n v="14"/>
    <n v="5"/>
    <n v="7"/>
    <n v="1096"/>
  </r>
  <r>
    <n v="40"/>
    <x v="0"/>
    <x v="1"/>
    <s v="Travel_Rarely"/>
    <n v="898"/>
    <x v="2"/>
    <n v="6"/>
    <s v="College"/>
    <x v="2"/>
    <s v="High"/>
    <x v="0"/>
    <n v="38"/>
    <s v="High"/>
    <x v="3"/>
    <s v="Manager"/>
    <s v="Very High"/>
    <s v="Single"/>
    <n v="16437"/>
    <n v="17381"/>
    <n v="1"/>
    <s v="Yes"/>
    <n v="21"/>
    <s v="Outstanding"/>
    <s v="Very High"/>
    <n v="0"/>
    <n v="21"/>
    <n v="2"/>
    <s v="Better"/>
    <x v="17"/>
    <s v="10-40"/>
    <n v="7"/>
    <n v="7"/>
    <n v="7"/>
    <n v="1097"/>
  </r>
  <r>
    <n v="24"/>
    <x v="4"/>
    <x v="1"/>
    <s v="Travel_Rarely"/>
    <n v="350"/>
    <x v="0"/>
    <n v="21"/>
    <s v="College"/>
    <x v="4"/>
    <s v="High"/>
    <x v="0"/>
    <n v="57"/>
    <s v="Medium"/>
    <x v="1"/>
    <s v="Laboratory Technician"/>
    <s v="Low"/>
    <s v="Divorced"/>
    <n v="2296"/>
    <n v="10036"/>
    <n v="0"/>
    <s v="No"/>
    <n v="14"/>
    <s v="Excellent"/>
    <s v="Medium"/>
    <n v="3"/>
    <n v="2"/>
    <n v="3"/>
    <s v="Better"/>
    <x v="6"/>
    <s v="0-5"/>
    <n v="1"/>
    <n v="0"/>
    <n v="0"/>
    <n v="1098"/>
  </r>
  <r>
    <n v="40"/>
    <x v="0"/>
    <x v="1"/>
    <s v="Non-Travel"/>
    <n v="1142"/>
    <x v="0"/>
    <n v="8"/>
    <s v="College"/>
    <x v="0"/>
    <s v="Very High"/>
    <x v="0"/>
    <n v="72"/>
    <s v="High"/>
    <x v="0"/>
    <s v="Healthcare Representative"/>
    <s v="Very High"/>
    <s v="Divorced"/>
    <n v="4069"/>
    <n v="8841"/>
    <n v="3"/>
    <s v="Yes"/>
    <n v="18"/>
    <s v="Excellent"/>
    <s v="High"/>
    <n v="0"/>
    <n v="8"/>
    <n v="2"/>
    <s v="Better"/>
    <x v="4"/>
    <s v="0-5"/>
    <n v="2"/>
    <n v="2"/>
    <n v="2"/>
    <n v="1099"/>
  </r>
  <r>
    <n v="45"/>
    <x v="0"/>
    <x v="1"/>
    <s v="Travel_Rarely"/>
    <n v="538"/>
    <x v="0"/>
    <n v="1"/>
    <s v="Master"/>
    <x v="4"/>
    <s v="Low"/>
    <x v="0"/>
    <n v="66"/>
    <s v="High"/>
    <x v="2"/>
    <s v="Healthcare Representative"/>
    <s v="Medium"/>
    <s v="Divorced"/>
    <n v="7441"/>
    <n v="20933"/>
    <n v="1"/>
    <s v="No"/>
    <n v="12"/>
    <s v="Excellent"/>
    <s v="Low"/>
    <n v="3"/>
    <n v="10"/>
    <n v="4"/>
    <s v="Better"/>
    <x v="1"/>
    <s v="5-10"/>
    <n v="8"/>
    <n v="7"/>
    <n v="7"/>
    <n v="1100"/>
  </r>
  <r>
    <n v="35"/>
    <x v="2"/>
    <x v="1"/>
    <s v="Travel_Rarely"/>
    <n v="1402"/>
    <x v="1"/>
    <n v="28"/>
    <s v="Master"/>
    <x v="0"/>
    <s v="Medium"/>
    <x v="1"/>
    <n v="98"/>
    <s v="Medium"/>
    <x v="1"/>
    <s v="Sales Representative"/>
    <s v="High"/>
    <s v="Married"/>
    <n v="2430"/>
    <n v="26204"/>
    <n v="0"/>
    <s v="No"/>
    <n v="23"/>
    <s v="Outstanding"/>
    <s v="Low"/>
    <n v="2"/>
    <n v="6"/>
    <n v="5"/>
    <s v="Better"/>
    <x v="8"/>
    <s v="0-5"/>
    <n v="3"/>
    <n v="4"/>
    <n v="2"/>
    <n v="1101"/>
  </r>
  <r>
    <n v="32"/>
    <x v="2"/>
    <x v="1"/>
    <s v="Travel_Rarely"/>
    <n v="824"/>
    <x v="0"/>
    <n v="5"/>
    <s v="College"/>
    <x v="0"/>
    <s v="Very High"/>
    <x v="1"/>
    <n v="67"/>
    <s v="Medium"/>
    <x v="0"/>
    <s v="Research Scientist"/>
    <s v="Medium"/>
    <s v="Married"/>
    <n v="5878"/>
    <n v="15624"/>
    <n v="3"/>
    <s v="No"/>
    <n v="12"/>
    <s v="Excellent"/>
    <s v="Low"/>
    <n v="1"/>
    <n v="12"/>
    <n v="2"/>
    <s v="Better"/>
    <x v="5"/>
    <s v="5-10"/>
    <n v="1"/>
    <n v="2"/>
    <n v="5"/>
    <n v="1102"/>
  </r>
  <r>
    <n v="36"/>
    <x v="0"/>
    <x v="1"/>
    <s v="Travel_Rarely"/>
    <n v="1157"/>
    <x v="1"/>
    <n v="2"/>
    <s v="Master"/>
    <x v="0"/>
    <s v="High"/>
    <x v="0"/>
    <n v="70"/>
    <s v="High"/>
    <x v="1"/>
    <s v="Sales Representative"/>
    <s v="Very High"/>
    <s v="Single"/>
    <n v="2644"/>
    <n v="17001"/>
    <n v="3"/>
    <s v="Yes"/>
    <n v="21"/>
    <s v="Outstanding"/>
    <s v="Very High"/>
    <n v="0"/>
    <n v="7"/>
    <n v="3"/>
    <s v="Good"/>
    <x v="11"/>
    <s v="0-5"/>
    <n v="2"/>
    <n v="1"/>
    <n v="2"/>
    <n v="1103"/>
  </r>
  <r>
    <n v="48"/>
    <x v="1"/>
    <x v="1"/>
    <s v="Travel_Rarely"/>
    <n v="492"/>
    <x v="1"/>
    <n v="16"/>
    <s v="Master"/>
    <x v="0"/>
    <s v="High"/>
    <x v="1"/>
    <n v="96"/>
    <s v="High"/>
    <x v="0"/>
    <s v="Sales Executive"/>
    <s v="High"/>
    <s v="Divorced"/>
    <n v="6439"/>
    <n v="13693"/>
    <n v="8"/>
    <s v="No"/>
    <n v="14"/>
    <s v="Excellent"/>
    <s v="High"/>
    <n v="1"/>
    <n v="18"/>
    <n v="2"/>
    <s v="Better"/>
    <x v="3"/>
    <s v="5-10"/>
    <n v="7"/>
    <n v="7"/>
    <n v="7"/>
    <n v="1104"/>
  </r>
  <r>
    <n v="29"/>
    <x v="2"/>
    <x v="1"/>
    <s v="Travel_Rarely"/>
    <n v="598"/>
    <x v="0"/>
    <n v="9"/>
    <s v="Bachelor"/>
    <x v="0"/>
    <s v="High"/>
    <x v="0"/>
    <n v="91"/>
    <s v="Very High"/>
    <x v="1"/>
    <s v="Research Scientist"/>
    <s v="High"/>
    <s v="Married"/>
    <n v="2451"/>
    <n v="22376"/>
    <n v="6"/>
    <s v="No"/>
    <n v="18"/>
    <s v="Excellent"/>
    <s v="Low"/>
    <n v="2"/>
    <n v="5"/>
    <n v="2"/>
    <s v="Good"/>
    <x v="6"/>
    <s v="0-5"/>
    <n v="0"/>
    <n v="0"/>
    <n v="0"/>
    <n v="1105"/>
  </r>
  <r>
    <n v="33"/>
    <x v="2"/>
    <x v="1"/>
    <s v="Travel_Rarely"/>
    <n v="1242"/>
    <x v="1"/>
    <n v="8"/>
    <s v="Master"/>
    <x v="0"/>
    <s v="Low"/>
    <x v="0"/>
    <n v="46"/>
    <s v="High"/>
    <x v="0"/>
    <s v="Sales Executive"/>
    <s v="Low"/>
    <s v="Married"/>
    <n v="6392"/>
    <n v="10589"/>
    <n v="2"/>
    <s v="No"/>
    <n v="13"/>
    <s v="Excellent"/>
    <s v="Very High"/>
    <n v="1"/>
    <n v="8"/>
    <n v="6"/>
    <s v="Bad"/>
    <x v="4"/>
    <s v="0-5"/>
    <n v="2"/>
    <n v="2"/>
    <n v="2"/>
    <n v="1106"/>
  </r>
  <r>
    <n v="30"/>
    <x v="2"/>
    <x v="0"/>
    <s v="Travel_Rarely"/>
    <n v="740"/>
    <x v="1"/>
    <n v="1"/>
    <s v="Bachelor"/>
    <x v="0"/>
    <s v="Medium"/>
    <x v="0"/>
    <n v="64"/>
    <s v="Medium"/>
    <x v="0"/>
    <s v="Sales Executive"/>
    <s v="Low"/>
    <s v="Married"/>
    <n v="9714"/>
    <n v="5323"/>
    <n v="1"/>
    <s v="No"/>
    <n v="11"/>
    <s v="Excellent"/>
    <s v="Very High"/>
    <n v="1"/>
    <n v="10"/>
    <n v="4"/>
    <s v="Better"/>
    <x v="1"/>
    <s v="5-10"/>
    <n v="8"/>
    <n v="6"/>
    <n v="7"/>
    <n v="1107"/>
  </r>
  <r>
    <n v="38"/>
    <x v="0"/>
    <x v="1"/>
    <s v="Travel_Frequently"/>
    <n v="888"/>
    <x v="2"/>
    <n v="10"/>
    <s v="Master"/>
    <x v="5"/>
    <s v="High"/>
    <x v="0"/>
    <n v="71"/>
    <s v="High"/>
    <x v="0"/>
    <s v="Human Resources"/>
    <s v="High"/>
    <s v="Married"/>
    <n v="6077"/>
    <n v="14814"/>
    <n v="3"/>
    <s v="No"/>
    <n v="11"/>
    <s v="Excellent"/>
    <s v="High"/>
    <n v="0"/>
    <n v="10"/>
    <n v="2"/>
    <s v="Better"/>
    <x v="0"/>
    <s v="5-10"/>
    <n v="3"/>
    <n v="1"/>
    <n v="2"/>
    <n v="1108"/>
  </r>
  <r>
    <n v="35"/>
    <x v="2"/>
    <x v="1"/>
    <s v="Travel_Rarely"/>
    <n v="992"/>
    <x v="0"/>
    <n v="1"/>
    <s v="Bachelor"/>
    <x v="2"/>
    <s v="Very High"/>
    <x v="0"/>
    <n v="68"/>
    <s v="Medium"/>
    <x v="1"/>
    <s v="Laboratory Technician"/>
    <s v="Low"/>
    <s v="Single"/>
    <n v="2450"/>
    <n v="21731"/>
    <n v="1"/>
    <s v="No"/>
    <n v="19"/>
    <s v="Excellent"/>
    <s v="Medium"/>
    <n v="0"/>
    <n v="3"/>
    <n v="3"/>
    <s v="Better"/>
    <x v="11"/>
    <s v="0-5"/>
    <n v="0"/>
    <n v="1"/>
    <n v="2"/>
    <n v="1109"/>
  </r>
  <r>
    <n v="30"/>
    <x v="2"/>
    <x v="1"/>
    <s v="Travel_Rarely"/>
    <n v="1288"/>
    <x v="1"/>
    <n v="29"/>
    <s v="Master"/>
    <x v="4"/>
    <s v="High"/>
    <x v="0"/>
    <n v="33"/>
    <s v="High"/>
    <x v="2"/>
    <s v="Sales Executive"/>
    <s v="Medium"/>
    <s v="Married"/>
    <n v="9250"/>
    <n v="17799"/>
    <n v="3"/>
    <s v="No"/>
    <n v="12"/>
    <s v="Excellent"/>
    <s v="Medium"/>
    <n v="1"/>
    <n v="9"/>
    <n v="3"/>
    <s v="Better"/>
    <x v="9"/>
    <s v="0-5"/>
    <n v="2"/>
    <n v="1"/>
    <n v="3"/>
    <n v="1110"/>
  </r>
  <r>
    <n v="35"/>
    <x v="2"/>
    <x v="0"/>
    <s v="Travel_Rarely"/>
    <n v="104"/>
    <x v="0"/>
    <n v="2"/>
    <s v="Bachelor"/>
    <x v="0"/>
    <s v="Low"/>
    <x v="1"/>
    <n v="69"/>
    <s v="High"/>
    <x v="1"/>
    <s v="Laboratory Technician"/>
    <s v="Low"/>
    <s v="Divorced"/>
    <n v="2074"/>
    <n v="26619"/>
    <n v="1"/>
    <s v="Yes"/>
    <n v="12"/>
    <s v="Excellent"/>
    <s v="Very High"/>
    <n v="1"/>
    <n v="1"/>
    <n v="2"/>
    <s v="Better"/>
    <x v="6"/>
    <s v="0-5"/>
    <n v="0"/>
    <n v="0"/>
    <n v="0"/>
    <n v="1111"/>
  </r>
  <r>
    <n v="53"/>
    <x v="1"/>
    <x v="0"/>
    <s v="Travel_Rarely"/>
    <n v="607"/>
    <x v="0"/>
    <n v="2"/>
    <s v="Doctor"/>
    <x v="4"/>
    <s v="High"/>
    <x v="1"/>
    <n v="78"/>
    <s v="Medium"/>
    <x v="2"/>
    <s v="Manufacturing Director"/>
    <s v="Very High"/>
    <s v="Married"/>
    <n v="10169"/>
    <n v="14618"/>
    <n v="0"/>
    <s v="No"/>
    <n v="16"/>
    <s v="Excellent"/>
    <s v="Medium"/>
    <n v="1"/>
    <n v="34"/>
    <n v="4"/>
    <s v="Better"/>
    <x v="26"/>
    <s v="10-40"/>
    <n v="7"/>
    <n v="1"/>
    <n v="9"/>
    <n v="1112"/>
  </r>
  <r>
    <n v="38"/>
    <x v="0"/>
    <x v="0"/>
    <s v="Travel_Rarely"/>
    <n v="903"/>
    <x v="0"/>
    <n v="2"/>
    <s v="Bachelor"/>
    <x v="2"/>
    <s v="High"/>
    <x v="0"/>
    <n v="81"/>
    <s v="High"/>
    <x v="0"/>
    <s v="Manufacturing Director"/>
    <s v="Medium"/>
    <s v="Married"/>
    <n v="4855"/>
    <n v="7653"/>
    <n v="4"/>
    <s v="No"/>
    <n v="11"/>
    <s v="Excellent"/>
    <s v="Low"/>
    <n v="2"/>
    <n v="7"/>
    <n v="2"/>
    <s v="Better"/>
    <x v="8"/>
    <s v="0-5"/>
    <n v="2"/>
    <n v="1"/>
    <n v="4"/>
    <n v="1113"/>
  </r>
  <r>
    <n v="32"/>
    <x v="2"/>
    <x v="1"/>
    <s v="Non-Travel"/>
    <n v="1200"/>
    <x v="0"/>
    <n v="1"/>
    <s v="Master"/>
    <x v="4"/>
    <s v="Very High"/>
    <x v="0"/>
    <n v="62"/>
    <s v="High"/>
    <x v="0"/>
    <s v="Research Scientist"/>
    <s v="Low"/>
    <s v="Married"/>
    <n v="4087"/>
    <n v="25174"/>
    <n v="4"/>
    <s v="No"/>
    <n v="14"/>
    <s v="Excellent"/>
    <s v="Medium"/>
    <n v="1"/>
    <n v="9"/>
    <n v="3"/>
    <s v="Good"/>
    <x v="0"/>
    <s v="5-10"/>
    <n v="5"/>
    <n v="1"/>
    <n v="2"/>
    <n v="1114"/>
  </r>
  <r>
    <n v="48"/>
    <x v="1"/>
    <x v="1"/>
    <s v="Travel_Rarely"/>
    <n v="1108"/>
    <x v="0"/>
    <n v="15"/>
    <s v="Master"/>
    <x v="1"/>
    <s v="High"/>
    <x v="1"/>
    <n v="65"/>
    <s v="High"/>
    <x v="1"/>
    <s v="Research Scientist"/>
    <s v="Low"/>
    <s v="Married"/>
    <n v="2367"/>
    <n v="16530"/>
    <n v="8"/>
    <s v="No"/>
    <n v="12"/>
    <s v="Excellent"/>
    <s v="Very High"/>
    <n v="1"/>
    <n v="10"/>
    <n v="3"/>
    <s v="Good"/>
    <x v="3"/>
    <s v="5-10"/>
    <n v="2"/>
    <n v="7"/>
    <n v="6"/>
    <n v="1115"/>
  </r>
  <r>
    <n v="34"/>
    <x v="2"/>
    <x v="1"/>
    <s v="Travel_Rarely"/>
    <n v="479"/>
    <x v="0"/>
    <n v="7"/>
    <s v="Master"/>
    <x v="2"/>
    <s v="Low"/>
    <x v="0"/>
    <n v="35"/>
    <s v="High"/>
    <x v="1"/>
    <s v="Research Scientist"/>
    <s v="Very High"/>
    <s v="Single"/>
    <n v="2972"/>
    <n v="22061"/>
    <n v="1"/>
    <s v="No"/>
    <n v="13"/>
    <s v="Excellent"/>
    <s v="High"/>
    <n v="0"/>
    <n v="1"/>
    <n v="4"/>
    <s v="Bad"/>
    <x v="6"/>
    <s v="0-5"/>
    <n v="0"/>
    <n v="0"/>
    <n v="0"/>
    <n v="1116"/>
  </r>
  <r>
    <n v="55"/>
    <x v="1"/>
    <x v="1"/>
    <s v="Travel_Rarely"/>
    <n v="685"/>
    <x v="1"/>
    <n v="26"/>
    <s v="Doctor"/>
    <x v="3"/>
    <s v="High"/>
    <x v="0"/>
    <n v="60"/>
    <s v="Medium"/>
    <x v="4"/>
    <s v="Manager"/>
    <s v="Very High"/>
    <s v="Married"/>
    <n v="19586"/>
    <n v="23037"/>
    <n v="1"/>
    <s v="No"/>
    <n v="21"/>
    <s v="Outstanding"/>
    <s v="High"/>
    <n v="1"/>
    <n v="36"/>
    <n v="3"/>
    <s v="Better"/>
    <x v="28"/>
    <s v="10-40"/>
    <n v="6"/>
    <n v="2"/>
    <n v="13"/>
    <n v="1117"/>
  </r>
  <r>
    <n v="34"/>
    <x v="2"/>
    <x v="1"/>
    <s v="Travel_Rarely"/>
    <n v="1351"/>
    <x v="0"/>
    <n v="1"/>
    <s v="Master"/>
    <x v="0"/>
    <s v="Medium"/>
    <x v="0"/>
    <n v="45"/>
    <s v="High"/>
    <x v="0"/>
    <s v="Research Scientist"/>
    <s v="Very High"/>
    <s v="Married"/>
    <n v="5484"/>
    <n v="13008"/>
    <n v="9"/>
    <s v="No"/>
    <n v="17"/>
    <s v="Excellent"/>
    <s v="Medium"/>
    <n v="1"/>
    <n v="9"/>
    <n v="3"/>
    <s v="Good"/>
    <x v="4"/>
    <s v="0-5"/>
    <n v="2"/>
    <n v="2"/>
    <n v="1"/>
    <n v="1118"/>
  </r>
  <r>
    <n v="26"/>
    <x v="2"/>
    <x v="1"/>
    <s v="Travel_Rarely"/>
    <n v="474"/>
    <x v="0"/>
    <n v="3"/>
    <s v="Bachelor"/>
    <x v="0"/>
    <s v="Low"/>
    <x v="1"/>
    <n v="89"/>
    <s v="High"/>
    <x v="1"/>
    <s v="Research Scientist"/>
    <s v="Very High"/>
    <s v="Married"/>
    <n v="2061"/>
    <n v="11133"/>
    <n v="1"/>
    <s v="No"/>
    <n v="21"/>
    <s v="Outstanding"/>
    <s v="Low"/>
    <n v="0"/>
    <n v="1"/>
    <n v="5"/>
    <s v="Better"/>
    <x v="6"/>
    <s v="0-5"/>
    <n v="0"/>
    <n v="0"/>
    <n v="0"/>
    <n v="1119"/>
  </r>
  <r>
    <n v="38"/>
    <x v="0"/>
    <x v="1"/>
    <s v="Travel_Rarely"/>
    <n v="1245"/>
    <x v="1"/>
    <n v="14"/>
    <s v="Bachelor"/>
    <x v="0"/>
    <s v="High"/>
    <x v="0"/>
    <n v="80"/>
    <s v="High"/>
    <x v="0"/>
    <s v="Sales Executive"/>
    <s v="Medium"/>
    <s v="Married"/>
    <n v="9924"/>
    <n v="12355"/>
    <n v="0"/>
    <s v="No"/>
    <n v="11"/>
    <s v="Excellent"/>
    <s v="Very High"/>
    <n v="1"/>
    <n v="10"/>
    <n v="3"/>
    <s v="Better"/>
    <x v="7"/>
    <s v="5-10"/>
    <n v="8"/>
    <n v="7"/>
    <n v="7"/>
    <n v="1120"/>
  </r>
  <r>
    <n v="38"/>
    <x v="0"/>
    <x v="1"/>
    <s v="Travel_Rarely"/>
    <n v="437"/>
    <x v="1"/>
    <n v="16"/>
    <s v="Bachelor"/>
    <x v="0"/>
    <s v="Medium"/>
    <x v="1"/>
    <n v="90"/>
    <s v="High"/>
    <x v="0"/>
    <s v="Sales Executive"/>
    <s v="Medium"/>
    <s v="Single"/>
    <n v="4198"/>
    <n v="16379"/>
    <n v="2"/>
    <s v="No"/>
    <n v="12"/>
    <s v="Excellent"/>
    <s v="Medium"/>
    <n v="0"/>
    <n v="8"/>
    <n v="5"/>
    <s v="Best"/>
    <x v="11"/>
    <s v="0-5"/>
    <n v="2"/>
    <n v="1"/>
    <n v="2"/>
    <n v="1121"/>
  </r>
  <r>
    <n v="36"/>
    <x v="0"/>
    <x v="1"/>
    <s v="Travel_Rarely"/>
    <n v="884"/>
    <x v="1"/>
    <n v="1"/>
    <s v="Master"/>
    <x v="0"/>
    <s v="Medium"/>
    <x v="1"/>
    <n v="73"/>
    <s v="High"/>
    <x v="0"/>
    <s v="Sales Executive"/>
    <s v="High"/>
    <s v="Single"/>
    <n v="6815"/>
    <n v="21447"/>
    <n v="6"/>
    <s v="No"/>
    <n v="13"/>
    <s v="Excellent"/>
    <s v="Low"/>
    <n v="0"/>
    <n v="15"/>
    <n v="5"/>
    <s v="Better"/>
    <x v="6"/>
    <s v="0-5"/>
    <n v="0"/>
    <n v="0"/>
    <n v="0"/>
    <n v="1122"/>
  </r>
  <r>
    <n v="29"/>
    <x v="2"/>
    <x v="1"/>
    <s v="Travel_Rarely"/>
    <n v="1370"/>
    <x v="0"/>
    <n v="3"/>
    <s v="Below College"/>
    <x v="2"/>
    <s v="Medium"/>
    <x v="0"/>
    <n v="87"/>
    <s v="High"/>
    <x v="1"/>
    <s v="Laboratory Technician"/>
    <s v="Low"/>
    <s v="Single"/>
    <n v="4723"/>
    <n v="16213"/>
    <n v="1"/>
    <s v="Yes"/>
    <n v="18"/>
    <s v="Excellent"/>
    <s v="Very High"/>
    <n v="0"/>
    <n v="10"/>
    <n v="3"/>
    <s v="Better"/>
    <x v="1"/>
    <s v="5-10"/>
    <n v="9"/>
    <n v="1"/>
    <n v="5"/>
    <n v="1123"/>
  </r>
  <r>
    <n v="35"/>
    <x v="2"/>
    <x v="1"/>
    <s v="Travel_Rarely"/>
    <n v="670"/>
    <x v="0"/>
    <n v="10"/>
    <s v="Master"/>
    <x v="2"/>
    <s v="Low"/>
    <x v="1"/>
    <n v="51"/>
    <s v="High"/>
    <x v="0"/>
    <s v="Healthcare Representative"/>
    <s v="High"/>
    <s v="Single"/>
    <n v="6142"/>
    <n v="4223"/>
    <n v="3"/>
    <s v="Yes"/>
    <n v="16"/>
    <s v="Excellent"/>
    <s v="High"/>
    <n v="0"/>
    <n v="10"/>
    <n v="4"/>
    <s v="Better"/>
    <x v="8"/>
    <s v="0-5"/>
    <n v="2"/>
    <n v="0"/>
    <n v="4"/>
    <n v="1124"/>
  </r>
  <r>
    <n v="39"/>
    <x v="0"/>
    <x v="1"/>
    <s v="Travel_Rarely"/>
    <n v="1462"/>
    <x v="1"/>
    <n v="6"/>
    <s v="Bachelor"/>
    <x v="2"/>
    <s v="Very High"/>
    <x v="0"/>
    <n v="38"/>
    <s v="Very High"/>
    <x v="2"/>
    <s v="Sales Executive"/>
    <s v="High"/>
    <s v="Married"/>
    <n v="8237"/>
    <n v="4658"/>
    <n v="2"/>
    <s v="No"/>
    <n v="11"/>
    <s v="Excellent"/>
    <s v="Low"/>
    <n v="1"/>
    <n v="11"/>
    <n v="3"/>
    <s v="Better"/>
    <x v="5"/>
    <s v="5-10"/>
    <n v="6"/>
    <n v="7"/>
    <n v="6"/>
    <n v="1125"/>
  </r>
  <r>
    <n v="29"/>
    <x v="2"/>
    <x v="1"/>
    <s v="Travel_Frequently"/>
    <n v="995"/>
    <x v="0"/>
    <n v="2"/>
    <s v="Below College"/>
    <x v="0"/>
    <s v="Low"/>
    <x v="0"/>
    <n v="87"/>
    <s v="High"/>
    <x v="0"/>
    <s v="Healthcare Representative"/>
    <s v="Very High"/>
    <s v="Divorced"/>
    <n v="8853"/>
    <n v="24483"/>
    <n v="1"/>
    <s v="No"/>
    <n v="19"/>
    <s v="Excellent"/>
    <s v="Very High"/>
    <n v="1"/>
    <n v="6"/>
    <n v="0"/>
    <s v="Best"/>
    <x v="0"/>
    <s v="5-10"/>
    <n v="4"/>
    <n v="1"/>
    <n v="3"/>
    <n v="1126"/>
  </r>
  <r>
    <n v="50"/>
    <x v="1"/>
    <x v="1"/>
    <s v="Travel_Rarely"/>
    <n v="264"/>
    <x v="1"/>
    <n v="9"/>
    <s v="Bachelor"/>
    <x v="3"/>
    <s v="High"/>
    <x v="0"/>
    <n v="59"/>
    <s v="High"/>
    <x v="4"/>
    <s v="Manager"/>
    <s v="High"/>
    <s v="Married"/>
    <n v="19331"/>
    <n v="19519"/>
    <n v="4"/>
    <s v="Yes"/>
    <n v="16"/>
    <s v="Excellent"/>
    <s v="High"/>
    <n v="1"/>
    <n v="27"/>
    <n v="2"/>
    <s v="Better"/>
    <x v="6"/>
    <s v="0-5"/>
    <n v="0"/>
    <n v="0"/>
    <n v="0"/>
    <n v="1127"/>
  </r>
  <r>
    <n v="23"/>
    <x v="4"/>
    <x v="1"/>
    <s v="Travel_Rarely"/>
    <n v="977"/>
    <x v="0"/>
    <n v="10"/>
    <s v="Bachelor"/>
    <x v="4"/>
    <s v="Very High"/>
    <x v="0"/>
    <n v="45"/>
    <s v="Very High"/>
    <x v="1"/>
    <s v="Research Scientist"/>
    <s v="High"/>
    <s v="Married"/>
    <n v="2073"/>
    <n v="12826"/>
    <n v="2"/>
    <s v="No"/>
    <n v="16"/>
    <s v="Excellent"/>
    <s v="Very High"/>
    <n v="1"/>
    <n v="4"/>
    <n v="2"/>
    <s v="Better"/>
    <x v="4"/>
    <s v="0-5"/>
    <n v="2"/>
    <n v="2"/>
    <n v="2"/>
    <n v="1128"/>
  </r>
  <r>
    <n v="36"/>
    <x v="0"/>
    <x v="1"/>
    <s v="Travel_Frequently"/>
    <n v="1302"/>
    <x v="0"/>
    <n v="6"/>
    <s v="Master"/>
    <x v="0"/>
    <s v="Low"/>
    <x v="0"/>
    <n v="80"/>
    <s v="Very High"/>
    <x v="0"/>
    <s v="Laboratory Technician"/>
    <s v="Low"/>
    <s v="Married"/>
    <n v="5562"/>
    <n v="19711"/>
    <n v="3"/>
    <s v="Yes"/>
    <n v="13"/>
    <s v="Excellent"/>
    <s v="Very High"/>
    <n v="1"/>
    <n v="9"/>
    <n v="3"/>
    <s v="Better"/>
    <x v="11"/>
    <s v="0-5"/>
    <n v="2"/>
    <n v="0"/>
    <n v="2"/>
    <n v="1129"/>
  </r>
  <r>
    <n v="42"/>
    <x v="0"/>
    <x v="1"/>
    <s v="Travel_Rarely"/>
    <n v="1059"/>
    <x v="0"/>
    <n v="9"/>
    <s v="College"/>
    <x v="1"/>
    <s v="Very High"/>
    <x v="0"/>
    <n v="93"/>
    <s v="Medium"/>
    <x v="4"/>
    <s v="Manager"/>
    <s v="Very High"/>
    <s v="Single"/>
    <n v="19613"/>
    <n v="26362"/>
    <n v="8"/>
    <s v="No"/>
    <n v="22"/>
    <s v="Outstanding"/>
    <s v="Very High"/>
    <n v="0"/>
    <n v="24"/>
    <n v="2"/>
    <s v="Better"/>
    <x v="6"/>
    <s v="0-5"/>
    <n v="0"/>
    <n v="0"/>
    <n v="1"/>
    <n v="1130"/>
  </r>
  <r>
    <n v="35"/>
    <x v="2"/>
    <x v="1"/>
    <s v="Travel_Rarely"/>
    <n v="750"/>
    <x v="0"/>
    <n v="28"/>
    <s v="Bachelor"/>
    <x v="0"/>
    <s v="Medium"/>
    <x v="0"/>
    <n v="46"/>
    <s v="Very High"/>
    <x v="0"/>
    <s v="Laboratory Technician"/>
    <s v="High"/>
    <s v="Married"/>
    <n v="3407"/>
    <n v="25348"/>
    <n v="1"/>
    <s v="No"/>
    <n v="17"/>
    <s v="Excellent"/>
    <s v="Very High"/>
    <n v="2"/>
    <n v="10"/>
    <n v="3"/>
    <s v="Good"/>
    <x v="1"/>
    <s v="5-10"/>
    <n v="9"/>
    <n v="6"/>
    <n v="8"/>
    <n v="1131"/>
  </r>
  <r>
    <n v="34"/>
    <x v="2"/>
    <x v="1"/>
    <s v="Travel_Frequently"/>
    <n v="653"/>
    <x v="0"/>
    <n v="10"/>
    <s v="Master"/>
    <x v="4"/>
    <s v="Very High"/>
    <x v="0"/>
    <n v="92"/>
    <s v="Medium"/>
    <x v="0"/>
    <s v="Healthcare Representative"/>
    <s v="High"/>
    <s v="Married"/>
    <n v="5063"/>
    <n v="15332"/>
    <n v="1"/>
    <s v="No"/>
    <n v="14"/>
    <s v="Excellent"/>
    <s v="Medium"/>
    <n v="1"/>
    <n v="8"/>
    <n v="3"/>
    <s v="Good"/>
    <x v="3"/>
    <s v="5-10"/>
    <n v="2"/>
    <n v="7"/>
    <n v="7"/>
    <n v="1132"/>
  </r>
  <r>
    <n v="40"/>
    <x v="0"/>
    <x v="1"/>
    <s v="Travel_Rarely"/>
    <n v="118"/>
    <x v="1"/>
    <n v="14"/>
    <s v="College"/>
    <x v="0"/>
    <s v="Very High"/>
    <x v="1"/>
    <n v="84"/>
    <s v="High"/>
    <x v="0"/>
    <s v="Sales Executive"/>
    <s v="Low"/>
    <s v="Married"/>
    <n v="4639"/>
    <n v="11262"/>
    <n v="1"/>
    <s v="No"/>
    <n v="15"/>
    <s v="Excellent"/>
    <s v="High"/>
    <n v="1"/>
    <n v="5"/>
    <n v="2"/>
    <s v="Better"/>
    <x v="8"/>
    <s v="0-5"/>
    <n v="4"/>
    <n v="1"/>
    <n v="2"/>
    <n v="1133"/>
  </r>
  <r>
    <n v="43"/>
    <x v="0"/>
    <x v="1"/>
    <s v="Travel_Rarely"/>
    <n v="990"/>
    <x v="0"/>
    <n v="27"/>
    <s v="Bachelor"/>
    <x v="4"/>
    <s v="Very High"/>
    <x v="0"/>
    <n v="87"/>
    <s v="Very High"/>
    <x v="1"/>
    <s v="Laboratory Technician"/>
    <s v="Medium"/>
    <s v="Divorced"/>
    <n v="4876"/>
    <n v="5855"/>
    <n v="5"/>
    <s v="No"/>
    <n v="12"/>
    <s v="Excellent"/>
    <s v="High"/>
    <n v="1"/>
    <n v="8"/>
    <n v="0"/>
    <s v="Better"/>
    <x v="0"/>
    <s v="5-10"/>
    <n v="4"/>
    <n v="0"/>
    <n v="2"/>
    <n v="1134"/>
  </r>
  <r>
    <n v="35"/>
    <x v="2"/>
    <x v="1"/>
    <s v="Travel_Rarely"/>
    <n v="1349"/>
    <x v="0"/>
    <n v="7"/>
    <s v="College"/>
    <x v="0"/>
    <s v="High"/>
    <x v="0"/>
    <n v="63"/>
    <s v="Medium"/>
    <x v="1"/>
    <s v="Laboratory Technician"/>
    <s v="Very High"/>
    <s v="Married"/>
    <n v="2690"/>
    <n v="7713"/>
    <n v="1"/>
    <s v="No"/>
    <n v="18"/>
    <s v="Excellent"/>
    <s v="Very High"/>
    <n v="1"/>
    <n v="1"/>
    <n v="5"/>
    <s v="Good"/>
    <x v="6"/>
    <s v="0-5"/>
    <n v="0"/>
    <n v="0"/>
    <n v="1"/>
    <n v="1135"/>
  </r>
  <r>
    <n v="46"/>
    <x v="1"/>
    <x v="1"/>
    <s v="Travel_Rarely"/>
    <n v="563"/>
    <x v="1"/>
    <n v="1"/>
    <s v="Master"/>
    <x v="0"/>
    <s v="Very High"/>
    <x v="0"/>
    <n v="56"/>
    <s v="Very High"/>
    <x v="3"/>
    <s v="Manager"/>
    <s v="Low"/>
    <s v="Single"/>
    <n v="17567"/>
    <n v="3156"/>
    <n v="1"/>
    <s v="No"/>
    <n v="15"/>
    <s v="Excellent"/>
    <s v="Medium"/>
    <n v="0"/>
    <n v="27"/>
    <n v="5"/>
    <s v="Bad"/>
    <x v="34"/>
    <s v="10-40"/>
    <n v="0"/>
    <n v="0"/>
    <n v="12"/>
    <n v="1136"/>
  </r>
  <r>
    <n v="28"/>
    <x v="2"/>
    <x v="0"/>
    <s v="Travel_Rarely"/>
    <n v="329"/>
    <x v="0"/>
    <n v="24"/>
    <s v="Bachelor"/>
    <x v="2"/>
    <s v="High"/>
    <x v="0"/>
    <n v="51"/>
    <s v="High"/>
    <x v="1"/>
    <s v="Laboratory Technician"/>
    <s v="Medium"/>
    <s v="Married"/>
    <n v="2408"/>
    <n v="7324"/>
    <n v="1"/>
    <s v="Yes"/>
    <n v="17"/>
    <s v="Excellent"/>
    <s v="High"/>
    <n v="3"/>
    <n v="1"/>
    <n v="3"/>
    <s v="Better"/>
    <x v="6"/>
    <s v="0-5"/>
    <n v="1"/>
    <n v="0"/>
    <n v="0"/>
    <n v="1137"/>
  </r>
  <r>
    <n v="22"/>
    <x v="4"/>
    <x v="1"/>
    <s v="Non-Travel"/>
    <n v="457"/>
    <x v="0"/>
    <n v="26"/>
    <s v="College"/>
    <x v="1"/>
    <s v="Medium"/>
    <x v="1"/>
    <n v="85"/>
    <s v="Medium"/>
    <x v="1"/>
    <s v="Research Scientist"/>
    <s v="High"/>
    <s v="Married"/>
    <n v="2814"/>
    <n v="10293"/>
    <n v="1"/>
    <s v="Yes"/>
    <n v="14"/>
    <s v="Excellent"/>
    <s v="Medium"/>
    <n v="0"/>
    <n v="4"/>
    <n v="2"/>
    <s v="Good"/>
    <x v="9"/>
    <s v="0-5"/>
    <n v="2"/>
    <n v="1"/>
    <n v="3"/>
    <n v="1138"/>
  </r>
  <r>
    <n v="50"/>
    <x v="1"/>
    <x v="1"/>
    <s v="Travel_Frequently"/>
    <n v="1234"/>
    <x v="0"/>
    <n v="20"/>
    <s v="Doctor"/>
    <x v="2"/>
    <s v="Medium"/>
    <x v="0"/>
    <n v="41"/>
    <s v="High"/>
    <x v="3"/>
    <s v="Healthcare Representative"/>
    <s v="High"/>
    <s v="Married"/>
    <n v="11245"/>
    <n v="20689"/>
    <n v="2"/>
    <s v="Yes"/>
    <n v="15"/>
    <s v="Excellent"/>
    <s v="High"/>
    <n v="1"/>
    <n v="32"/>
    <n v="3"/>
    <s v="Better"/>
    <x v="35"/>
    <s v="10-40"/>
    <n v="8"/>
    <n v="12"/>
    <n v="13"/>
    <n v="1139"/>
  </r>
  <r>
    <n v="32"/>
    <x v="2"/>
    <x v="1"/>
    <s v="Travel_Rarely"/>
    <n v="634"/>
    <x v="0"/>
    <n v="5"/>
    <s v="Master"/>
    <x v="1"/>
    <s v="Medium"/>
    <x v="1"/>
    <n v="35"/>
    <s v="Very High"/>
    <x v="1"/>
    <s v="Research Scientist"/>
    <s v="Very High"/>
    <s v="Married"/>
    <n v="3312"/>
    <n v="18783"/>
    <n v="3"/>
    <s v="No"/>
    <n v="17"/>
    <s v="Excellent"/>
    <s v="Very High"/>
    <n v="2"/>
    <n v="6"/>
    <n v="3"/>
    <s v="Better"/>
    <x v="11"/>
    <s v="0-5"/>
    <n v="2"/>
    <n v="0"/>
    <n v="2"/>
    <n v="1140"/>
  </r>
  <r>
    <n v="44"/>
    <x v="0"/>
    <x v="1"/>
    <s v="Travel_Rarely"/>
    <n v="1313"/>
    <x v="0"/>
    <n v="7"/>
    <s v="Bachelor"/>
    <x v="2"/>
    <s v="Medium"/>
    <x v="1"/>
    <n v="31"/>
    <s v="High"/>
    <x v="4"/>
    <s v="Research Director"/>
    <s v="Very High"/>
    <s v="Divorced"/>
    <n v="19049"/>
    <n v="3549"/>
    <n v="0"/>
    <s v="Yes"/>
    <n v="14"/>
    <s v="Excellent"/>
    <s v="Very High"/>
    <n v="1"/>
    <n v="23"/>
    <n v="4"/>
    <s v="Good"/>
    <x v="14"/>
    <s v="10-40"/>
    <n v="7"/>
    <n v="1"/>
    <n v="10"/>
    <n v="1141"/>
  </r>
  <r>
    <n v="30"/>
    <x v="2"/>
    <x v="1"/>
    <s v="Travel_Rarely"/>
    <n v="241"/>
    <x v="0"/>
    <n v="7"/>
    <s v="Bachelor"/>
    <x v="2"/>
    <s v="Medium"/>
    <x v="0"/>
    <n v="48"/>
    <s v="Medium"/>
    <x v="1"/>
    <s v="Research Scientist"/>
    <s v="Medium"/>
    <s v="Married"/>
    <n v="2141"/>
    <n v="5348"/>
    <n v="1"/>
    <s v="No"/>
    <n v="12"/>
    <s v="Excellent"/>
    <s v="Medium"/>
    <n v="1"/>
    <n v="6"/>
    <n v="3"/>
    <s v="Good"/>
    <x v="0"/>
    <s v="5-10"/>
    <n v="4"/>
    <n v="1"/>
    <n v="1"/>
    <n v="1142"/>
  </r>
  <r>
    <n v="45"/>
    <x v="0"/>
    <x v="1"/>
    <s v="Travel_Rarely"/>
    <n v="1015"/>
    <x v="0"/>
    <n v="5"/>
    <s v="Doctor"/>
    <x v="2"/>
    <s v="High"/>
    <x v="1"/>
    <n v="50"/>
    <s v="Low"/>
    <x v="0"/>
    <s v="Laboratory Technician"/>
    <s v="Low"/>
    <s v="Single"/>
    <n v="5769"/>
    <n v="23447"/>
    <n v="1"/>
    <s v="Yes"/>
    <n v="14"/>
    <s v="Excellent"/>
    <s v="Low"/>
    <n v="0"/>
    <n v="10"/>
    <n v="3"/>
    <s v="Better"/>
    <x v="1"/>
    <s v="5-10"/>
    <n v="7"/>
    <n v="1"/>
    <n v="4"/>
    <n v="1143"/>
  </r>
  <r>
    <n v="45"/>
    <x v="0"/>
    <x v="1"/>
    <s v="Non-Travel"/>
    <n v="336"/>
    <x v="1"/>
    <n v="26"/>
    <s v="Bachelor"/>
    <x v="3"/>
    <s v="Low"/>
    <x v="0"/>
    <n v="52"/>
    <s v="Medium"/>
    <x v="0"/>
    <s v="Sales Executive"/>
    <s v="Low"/>
    <s v="Married"/>
    <n v="4385"/>
    <n v="24162"/>
    <n v="1"/>
    <s v="No"/>
    <n v="15"/>
    <s v="Excellent"/>
    <s v="Low"/>
    <n v="1"/>
    <n v="10"/>
    <n v="2"/>
    <s v="Better"/>
    <x v="1"/>
    <s v="5-10"/>
    <n v="7"/>
    <n v="4"/>
    <n v="5"/>
    <n v="1144"/>
  </r>
  <r>
    <n v="31"/>
    <x v="2"/>
    <x v="1"/>
    <s v="Travel_Frequently"/>
    <n v="715"/>
    <x v="1"/>
    <n v="2"/>
    <s v="Master"/>
    <x v="1"/>
    <s v="Very High"/>
    <x v="0"/>
    <n v="54"/>
    <s v="High"/>
    <x v="0"/>
    <s v="Sales Executive"/>
    <s v="Low"/>
    <s v="Single"/>
    <n v="5332"/>
    <n v="21602"/>
    <n v="7"/>
    <s v="No"/>
    <n v="13"/>
    <s v="Excellent"/>
    <s v="Very High"/>
    <n v="0"/>
    <n v="10"/>
    <n v="3"/>
    <s v="Better"/>
    <x v="8"/>
    <s v="0-5"/>
    <n v="2"/>
    <n v="0"/>
    <n v="3"/>
    <n v="1145"/>
  </r>
  <r>
    <n v="36"/>
    <x v="0"/>
    <x v="1"/>
    <s v="Travel_Rarely"/>
    <n v="559"/>
    <x v="0"/>
    <n v="12"/>
    <s v="Master"/>
    <x v="0"/>
    <s v="High"/>
    <x v="1"/>
    <n v="76"/>
    <s v="High"/>
    <x v="0"/>
    <s v="Manufacturing Director"/>
    <s v="High"/>
    <s v="Married"/>
    <n v="4663"/>
    <n v="12421"/>
    <n v="9"/>
    <s v="Yes"/>
    <n v="12"/>
    <s v="Excellent"/>
    <s v="Medium"/>
    <n v="2"/>
    <n v="7"/>
    <n v="2"/>
    <s v="Better"/>
    <x v="11"/>
    <s v="0-5"/>
    <n v="2"/>
    <n v="1"/>
    <n v="1"/>
    <n v="1146"/>
  </r>
  <r>
    <n v="34"/>
    <x v="2"/>
    <x v="1"/>
    <s v="Travel_Frequently"/>
    <n v="426"/>
    <x v="0"/>
    <n v="10"/>
    <s v="Master"/>
    <x v="0"/>
    <s v="High"/>
    <x v="0"/>
    <n v="42"/>
    <s v="Very High"/>
    <x v="0"/>
    <s v="Manufacturing Director"/>
    <s v="Very High"/>
    <s v="Divorced"/>
    <n v="4724"/>
    <n v="17000"/>
    <n v="1"/>
    <s v="No"/>
    <n v="13"/>
    <s v="Excellent"/>
    <s v="Low"/>
    <n v="1"/>
    <n v="9"/>
    <n v="3"/>
    <s v="Better"/>
    <x v="7"/>
    <s v="5-10"/>
    <n v="7"/>
    <n v="7"/>
    <n v="2"/>
    <n v="1147"/>
  </r>
  <r>
    <n v="49"/>
    <x v="1"/>
    <x v="1"/>
    <s v="Travel_Rarely"/>
    <n v="722"/>
    <x v="0"/>
    <n v="25"/>
    <s v="Master"/>
    <x v="0"/>
    <s v="High"/>
    <x v="1"/>
    <n v="84"/>
    <s v="High"/>
    <x v="1"/>
    <s v="Laboratory Technician"/>
    <s v="Low"/>
    <s v="Married"/>
    <n v="3211"/>
    <n v="22102"/>
    <n v="1"/>
    <s v="No"/>
    <n v="14"/>
    <s v="Excellent"/>
    <s v="Very High"/>
    <n v="1"/>
    <n v="10"/>
    <n v="3"/>
    <s v="Good"/>
    <x v="7"/>
    <s v="5-10"/>
    <n v="6"/>
    <n v="1"/>
    <n v="4"/>
    <n v="1148"/>
  </r>
  <r>
    <n v="39"/>
    <x v="0"/>
    <x v="1"/>
    <s v="Travel_Rarely"/>
    <n v="1387"/>
    <x v="0"/>
    <n v="10"/>
    <s v="Doctor"/>
    <x v="2"/>
    <s v="Medium"/>
    <x v="0"/>
    <n v="76"/>
    <s v="High"/>
    <x v="0"/>
    <s v="Manufacturing Director"/>
    <s v="Low"/>
    <s v="Married"/>
    <n v="5377"/>
    <n v="3835"/>
    <n v="2"/>
    <s v="No"/>
    <n v="13"/>
    <s v="Excellent"/>
    <s v="Very High"/>
    <n v="3"/>
    <n v="10"/>
    <n v="3"/>
    <s v="Better"/>
    <x v="5"/>
    <s v="5-10"/>
    <n v="7"/>
    <n v="7"/>
    <n v="7"/>
    <n v="1149"/>
  </r>
  <r>
    <n v="27"/>
    <x v="2"/>
    <x v="1"/>
    <s v="Travel_Rarely"/>
    <n v="1302"/>
    <x v="0"/>
    <n v="19"/>
    <s v="Bachelor"/>
    <x v="1"/>
    <s v="Very High"/>
    <x v="0"/>
    <n v="67"/>
    <s v="Medium"/>
    <x v="1"/>
    <s v="Laboratory Technician"/>
    <s v="Low"/>
    <s v="Divorced"/>
    <n v="4066"/>
    <n v="16290"/>
    <n v="1"/>
    <s v="No"/>
    <n v="11"/>
    <s v="Excellent"/>
    <s v="Low"/>
    <n v="2"/>
    <n v="7"/>
    <n v="3"/>
    <s v="Better"/>
    <x v="5"/>
    <s v="5-10"/>
    <n v="7"/>
    <n v="0"/>
    <n v="7"/>
    <n v="1150"/>
  </r>
  <r>
    <n v="35"/>
    <x v="2"/>
    <x v="1"/>
    <s v="Travel_Rarely"/>
    <n v="819"/>
    <x v="0"/>
    <n v="18"/>
    <s v="Doctor"/>
    <x v="0"/>
    <s v="Medium"/>
    <x v="0"/>
    <n v="48"/>
    <s v="Very High"/>
    <x v="0"/>
    <s v="Research Scientist"/>
    <s v="Low"/>
    <s v="Married"/>
    <n v="5208"/>
    <n v="26312"/>
    <n v="1"/>
    <s v="No"/>
    <n v="11"/>
    <s v="Excellent"/>
    <s v="Very High"/>
    <n v="0"/>
    <n v="16"/>
    <n v="2"/>
    <s v="Better"/>
    <x v="22"/>
    <s v="10-40"/>
    <n v="15"/>
    <n v="1"/>
    <n v="10"/>
    <n v="1151"/>
  </r>
  <r>
    <n v="28"/>
    <x v="2"/>
    <x v="1"/>
    <s v="Travel_Rarely"/>
    <n v="580"/>
    <x v="0"/>
    <n v="27"/>
    <s v="Bachelor"/>
    <x v="2"/>
    <s v="Medium"/>
    <x v="1"/>
    <n v="39"/>
    <s v="Low"/>
    <x v="0"/>
    <s v="Manufacturing Director"/>
    <s v="Low"/>
    <s v="Divorced"/>
    <n v="4877"/>
    <n v="20460"/>
    <n v="0"/>
    <s v="No"/>
    <n v="21"/>
    <s v="Outstanding"/>
    <s v="Medium"/>
    <n v="1"/>
    <n v="6"/>
    <n v="5"/>
    <s v="Good"/>
    <x v="8"/>
    <s v="0-5"/>
    <n v="3"/>
    <n v="0"/>
    <n v="0"/>
    <n v="1152"/>
  </r>
  <r>
    <n v="21"/>
    <x v="4"/>
    <x v="1"/>
    <s v="Travel_Rarely"/>
    <n v="546"/>
    <x v="0"/>
    <n v="5"/>
    <s v="Below College"/>
    <x v="2"/>
    <s v="High"/>
    <x v="0"/>
    <n v="97"/>
    <s v="High"/>
    <x v="1"/>
    <s v="Research Scientist"/>
    <s v="Very High"/>
    <s v="Single"/>
    <n v="3117"/>
    <n v="26009"/>
    <n v="1"/>
    <s v="No"/>
    <n v="18"/>
    <s v="Excellent"/>
    <s v="High"/>
    <n v="0"/>
    <n v="3"/>
    <n v="2"/>
    <s v="Better"/>
    <x v="4"/>
    <s v="0-5"/>
    <n v="2"/>
    <n v="2"/>
    <n v="2"/>
    <n v="1153"/>
  </r>
  <r>
    <n v="18"/>
    <x v="4"/>
    <x v="0"/>
    <s v="Travel_Frequently"/>
    <n v="544"/>
    <x v="1"/>
    <n v="3"/>
    <s v="College"/>
    <x v="2"/>
    <s v="Medium"/>
    <x v="1"/>
    <n v="70"/>
    <s v="High"/>
    <x v="1"/>
    <s v="Sales Representative"/>
    <s v="Very High"/>
    <s v="Single"/>
    <n v="1569"/>
    <n v="18420"/>
    <n v="1"/>
    <s v="Yes"/>
    <n v="12"/>
    <s v="Excellent"/>
    <s v="High"/>
    <n v="0"/>
    <n v="0"/>
    <n v="2"/>
    <s v="Best"/>
    <x v="2"/>
    <s v="0-5"/>
    <n v="0"/>
    <n v="0"/>
    <n v="0"/>
    <n v="1154"/>
  </r>
  <r>
    <n v="47"/>
    <x v="1"/>
    <x v="1"/>
    <s v="Travel_Rarely"/>
    <n v="1176"/>
    <x v="2"/>
    <n v="26"/>
    <s v="Master"/>
    <x v="0"/>
    <s v="Very High"/>
    <x v="1"/>
    <n v="98"/>
    <s v="High"/>
    <x v="4"/>
    <s v="Manager"/>
    <s v="High"/>
    <s v="Married"/>
    <n v="19658"/>
    <n v="5220"/>
    <n v="3"/>
    <s v="No"/>
    <n v="11"/>
    <s v="Excellent"/>
    <s v="High"/>
    <n v="1"/>
    <n v="27"/>
    <n v="2"/>
    <s v="Better"/>
    <x v="8"/>
    <s v="0-5"/>
    <n v="2"/>
    <n v="1"/>
    <n v="0"/>
    <n v="1155"/>
  </r>
  <r>
    <n v="39"/>
    <x v="0"/>
    <x v="1"/>
    <s v="Travel_Rarely"/>
    <n v="170"/>
    <x v="0"/>
    <n v="3"/>
    <s v="College"/>
    <x v="2"/>
    <s v="High"/>
    <x v="0"/>
    <n v="76"/>
    <s v="Medium"/>
    <x v="0"/>
    <s v="Laboratory Technician"/>
    <s v="High"/>
    <s v="Divorced"/>
    <n v="3069"/>
    <n v="10302"/>
    <n v="0"/>
    <s v="No"/>
    <n v="15"/>
    <s v="Excellent"/>
    <s v="Very High"/>
    <n v="1"/>
    <n v="11"/>
    <n v="3"/>
    <s v="Better"/>
    <x v="1"/>
    <s v="5-10"/>
    <n v="8"/>
    <n v="0"/>
    <n v="7"/>
    <n v="1156"/>
  </r>
  <r>
    <n v="40"/>
    <x v="0"/>
    <x v="1"/>
    <s v="Travel_Rarely"/>
    <n v="884"/>
    <x v="0"/>
    <n v="15"/>
    <s v="Bachelor"/>
    <x v="0"/>
    <s v="Low"/>
    <x v="1"/>
    <n v="80"/>
    <s v="Medium"/>
    <x v="2"/>
    <s v="Manufacturing Director"/>
    <s v="High"/>
    <s v="Married"/>
    <n v="10435"/>
    <n v="25800"/>
    <n v="1"/>
    <s v="No"/>
    <n v="13"/>
    <s v="Excellent"/>
    <s v="Very High"/>
    <n v="2"/>
    <n v="18"/>
    <n v="2"/>
    <s v="Better"/>
    <x v="29"/>
    <s v="10-40"/>
    <n v="15"/>
    <n v="14"/>
    <n v="12"/>
    <n v="1157"/>
  </r>
  <r>
    <n v="35"/>
    <x v="2"/>
    <x v="1"/>
    <s v="Non-Travel"/>
    <n v="208"/>
    <x v="0"/>
    <n v="8"/>
    <s v="Master"/>
    <x v="0"/>
    <s v="High"/>
    <x v="1"/>
    <n v="52"/>
    <s v="High"/>
    <x v="0"/>
    <s v="Healthcare Representative"/>
    <s v="High"/>
    <s v="Married"/>
    <n v="4148"/>
    <n v="12250"/>
    <n v="1"/>
    <s v="No"/>
    <n v="12"/>
    <s v="Excellent"/>
    <s v="Very High"/>
    <n v="1"/>
    <n v="15"/>
    <n v="5"/>
    <s v="Better"/>
    <x v="13"/>
    <s v="10-40"/>
    <n v="11"/>
    <n v="2"/>
    <n v="9"/>
    <n v="1158"/>
  </r>
  <r>
    <n v="37"/>
    <x v="0"/>
    <x v="1"/>
    <s v="Travel_Rarely"/>
    <n v="671"/>
    <x v="0"/>
    <n v="19"/>
    <s v="Bachelor"/>
    <x v="0"/>
    <s v="High"/>
    <x v="0"/>
    <n v="85"/>
    <s v="High"/>
    <x v="0"/>
    <s v="Manufacturing Director"/>
    <s v="High"/>
    <s v="Married"/>
    <n v="5768"/>
    <n v="26493"/>
    <n v="3"/>
    <s v="No"/>
    <n v="17"/>
    <s v="Excellent"/>
    <s v="Low"/>
    <n v="3"/>
    <n v="9"/>
    <n v="2"/>
    <s v="Good"/>
    <x v="9"/>
    <s v="0-5"/>
    <n v="3"/>
    <n v="0"/>
    <n v="2"/>
    <n v="1159"/>
  </r>
  <r>
    <n v="39"/>
    <x v="0"/>
    <x v="1"/>
    <s v="Travel_Frequently"/>
    <n v="711"/>
    <x v="0"/>
    <n v="4"/>
    <s v="Bachelor"/>
    <x v="2"/>
    <s v="Low"/>
    <x v="1"/>
    <n v="81"/>
    <s v="High"/>
    <x v="0"/>
    <s v="Manufacturing Director"/>
    <s v="High"/>
    <s v="Single"/>
    <n v="5042"/>
    <n v="3140"/>
    <n v="0"/>
    <s v="No"/>
    <n v="13"/>
    <s v="Excellent"/>
    <s v="Very High"/>
    <n v="0"/>
    <n v="10"/>
    <n v="2"/>
    <s v="Bad"/>
    <x v="7"/>
    <s v="5-10"/>
    <n v="2"/>
    <n v="3"/>
    <n v="8"/>
    <n v="1160"/>
  </r>
  <r>
    <n v="45"/>
    <x v="0"/>
    <x v="1"/>
    <s v="Travel_Rarely"/>
    <n v="1329"/>
    <x v="0"/>
    <n v="2"/>
    <s v="College"/>
    <x v="1"/>
    <s v="Very High"/>
    <x v="1"/>
    <n v="59"/>
    <s v="Medium"/>
    <x v="0"/>
    <s v="Manufacturing Director"/>
    <s v="Very High"/>
    <s v="Divorced"/>
    <n v="5770"/>
    <n v="5388"/>
    <n v="1"/>
    <s v="No"/>
    <n v="19"/>
    <s v="Excellent"/>
    <s v="Low"/>
    <n v="2"/>
    <n v="10"/>
    <n v="3"/>
    <s v="Better"/>
    <x v="1"/>
    <s v="5-10"/>
    <n v="7"/>
    <n v="3"/>
    <n v="9"/>
    <n v="1161"/>
  </r>
  <r>
    <n v="38"/>
    <x v="0"/>
    <x v="1"/>
    <s v="Travel_Rarely"/>
    <n v="397"/>
    <x v="0"/>
    <n v="2"/>
    <s v="College"/>
    <x v="2"/>
    <s v="Very High"/>
    <x v="1"/>
    <n v="54"/>
    <s v="Medium"/>
    <x v="2"/>
    <s v="Manufacturing Director"/>
    <s v="High"/>
    <s v="Married"/>
    <n v="7756"/>
    <n v="14199"/>
    <n v="3"/>
    <s v="Yes"/>
    <n v="19"/>
    <s v="Excellent"/>
    <s v="Very High"/>
    <n v="1"/>
    <n v="10"/>
    <n v="6"/>
    <s v="Best"/>
    <x v="8"/>
    <s v="0-5"/>
    <n v="4"/>
    <n v="0"/>
    <n v="2"/>
    <n v="1162"/>
  </r>
  <r>
    <n v="35"/>
    <x v="2"/>
    <x v="0"/>
    <s v="Travel_Rarely"/>
    <n v="737"/>
    <x v="1"/>
    <n v="10"/>
    <s v="Bachelor"/>
    <x v="2"/>
    <s v="Very High"/>
    <x v="0"/>
    <n v="55"/>
    <s v="Medium"/>
    <x v="2"/>
    <s v="Sales Executive"/>
    <s v="Low"/>
    <s v="Married"/>
    <n v="10306"/>
    <n v="21530"/>
    <n v="9"/>
    <s v="No"/>
    <n v="17"/>
    <s v="Excellent"/>
    <s v="High"/>
    <n v="0"/>
    <n v="15"/>
    <n v="3"/>
    <s v="Better"/>
    <x v="20"/>
    <s v="10-40"/>
    <n v="12"/>
    <n v="6"/>
    <n v="0"/>
    <n v="1163"/>
  </r>
  <r>
    <n v="37"/>
    <x v="0"/>
    <x v="1"/>
    <s v="Travel_Rarely"/>
    <n v="1470"/>
    <x v="0"/>
    <n v="10"/>
    <s v="Bachelor"/>
    <x v="2"/>
    <s v="Medium"/>
    <x v="1"/>
    <n v="71"/>
    <s v="High"/>
    <x v="1"/>
    <s v="Research Scientist"/>
    <s v="Medium"/>
    <s v="Married"/>
    <n v="3936"/>
    <n v="9953"/>
    <n v="1"/>
    <s v="No"/>
    <n v="11"/>
    <s v="Excellent"/>
    <s v="Low"/>
    <n v="1"/>
    <n v="8"/>
    <n v="2"/>
    <s v="Bad"/>
    <x v="3"/>
    <s v="5-10"/>
    <n v="4"/>
    <n v="7"/>
    <n v="7"/>
    <n v="1164"/>
  </r>
  <r>
    <n v="40"/>
    <x v="0"/>
    <x v="1"/>
    <s v="Travel_Rarely"/>
    <n v="448"/>
    <x v="0"/>
    <n v="16"/>
    <s v="Bachelor"/>
    <x v="0"/>
    <s v="High"/>
    <x v="1"/>
    <n v="84"/>
    <s v="High"/>
    <x v="2"/>
    <s v="Manufacturing Director"/>
    <s v="Very High"/>
    <s v="Single"/>
    <n v="7945"/>
    <n v="19948"/>
    <n v="6"/>
    <s v="Yes"/>
    <n v="15"/>
    <s v="Excellent"/>
    <s v="Very High"/>
    <n v="0"/>
    <n v="18"/>
    <n v="2"/>
    <s v="Good"/>
    <x v="9"/>
    <s v="0-5"/>
    <n v="2"/>
    <n v="3"/>
    <n v="3"/>
    <n v="1165"/>
  </r>
  <r>
    <n v="44"/>
    <x v="0"/>
    <x v="1"/>
    <s v="Travel_Frequently"/>
    <n v="602"/>
    <x v="2"/>
    <n v="1"/>
    <s v="Doctor"/>
    <x v="5"/>
    <s v="Low"/>
    <x v="0"/>
    <n v="37"/>
    <s v="High"/>
    <x v="0"/>
    <s v="Human Resources"/>
    <s v="Very High"/>
    <s v="Married"/>
    <n v="5743"/>
    <n v="10503"/>
    <n v="4"/>
    <s v="Yes"/>
    <n v="11"/>
    <s v="Excellent"/>
    <s v="High"/>
    <n v="0"/>
    <n v="14"/>
    <n v="3"/>
    <s v="Better"/>
    <x v="1"/>
    <s v="5-10"/>
    <n v="7"/>
    <n v="0"/>
    <n v="2"/>
    <n v="1166"/>
  </r>
  <r>
    <n v="48"/>
    <x v="1"/>
    <x v="1"/>
    <s v="Travel_Frequently"/>
    <n v="365"/>
    <x v="0"/>
    <n v="4"/>
    <s v="Doctor"/>
    <x v="2"/>
    <s v="High"/>
    <x v="0"/>
    <n v="89"/>
    <s v="Medium"/>
    <x v="3"/>
    <s v="Manager"/>
    <s v="Very High"/>
    <s v="Married"/>
    <n v="15202"/>
    <n v="5602"/>
    <n v="2"/>
    <s v="No"/>
    <n v="25"/>
    <s v="Outstanding"/>
    <s v="Medium"/>
    <n v="1"/>
    <n v="23"/>
    <n v="3"/>
    <s v="Better"/>
    <x v="4"/>
    <s v="0-5"/>
    <n v="2"/>
    <n v="2"/>
    <n v="2"/>
    <n v="1167"/>
  </r>
  <r>
    <n v="35"/>
    <x v="2"/>
    <x v="0"/>
    <s v="Travel_Rarely"/>
    <n v="763"/>
    <x v="1"/>
    <n v="15"/>
    <s v="College"/>
    <x v="2"/>
    <s v="Low"/>
    <x v="0"/>
    <n v="59"/>
    <s v="Low"/>
    <x v="0"/>
    <s v="Sales Executive"/>
    <s v="Very High"/>
    <s v="Divorced"/>
    <n v="5440"/>
    <n v="22098"/>
    <n v="6"/>
    <s v="Yes"/>
    <n v="14"/>
    <s v="Excellent"/>
    <s v="Very High"/>
    <n v="2"/>
    <n v="7"/>
    <n v="2"/>
    <s v="Good"/>
    <x v="4"/>
    <s v="0-5"/>
    <n v="2"/>
    <n v="2"/>
    <n v="2"/>
    <n v="1168"/>
  </r>
  <r>
    <n v="24"/>
    <x v="4"/>
    <x v="1"/>
    <s v="Travel_Frequently"/>
    <n v="567"/>
    <x v="0"/>
    <n v="2"/>
    <s v="Below College"/>
    <x v="4"/>
    <s v="Low"/>
    <x v="1"/>
    <n v="32"/>
    <s v="High"/>
    <x v="1"/>
    <s v="Research Scientist"/>
    <s v="Very High"/>
    <s v="Single"/>
    <n v="3760"/>
    <n v="17218"/>
    <n v="1"/>
    <s v="Yes"/>
    <n v="13"/>
    <s v="Excellent"/>
    <s v="High"/>
    <n v="0"/>
    <n v="6"/>
    <n v="2"/>
    <s v="Better"/>
    <x v="0"/>
    <s v="5-10"/>
    <n v="3"/>
    <n v="1"/>
    <n v="3"/>
    <n v="1169"/>
  </r>
  <r>
    <n v="27"/>
    <x v="2"/>
    <x v="1"/>
    <s v="Travel_Rarely"/>
    <n v="486"/>
    <x v="0"/>
    <n v="8"/>
    <s v="Bachelor"/>
    <x v="2"/>
    <s v="Medium"/>
    <x v="1"/>
    <n v="86"/>
    <s v="Very High"/>
    <x v="1"/>
    <s v="Research Scientist"/>
    <s v="High"/>
    <s v="Married"/>
    <n v="3517"/>
    <n v="22490"/>
    <n v="7"/>
    <s v="No"/>
    <n v="17"/>
    <s v="Excellent"/>
    <s v="Low"/>
    <n v="0"/>
    <n v="5"/>
    <n v="0"/>
    <s v="Better"/>
    <x v="11"/>
    <s v="0-5"/>
    <n v="2"/>
    <n v="0"/>
    <n v="2"/>
    <n v="1170"/>
  </r>
  <r>
    <n v="27"/>
    <x v="2"/>
    <x v="1"/>
    <s v="Travel_Frequently"/>
    <n v="591"/>
    <x v="0"/>
    <n v="2"/>
    <s v="Bachelor"/>
    <x v="2"/>
    <s v="Very High"/>
    <x v="0"/>
    <n v="87"/>
    <s v="High"/>
    <x v="1"/>
    <s v="Research Scientist"/>
    <s v="Very High"/>
    <s v="Single"/>
    <n v="2580"/>
    <n v="6297"/>
    <n v="2"/>
    <s v="No"/>
    <n v="13"/>
    <s v="Excellent"/>
    <s v="High"/>
    <n v="0"/>
    <n v="6"/>
    <n v="0"/>
    <s v="Good"/>
    <x v="9"/>
    <s v="0-5"/>
    <n v="2"/>
    <n v="1"/>
    <n v="2"/>
    <n v="1171"/>
  </r>
  <r>
    <n v="40"/>
    <x v="0"/>
    <x v="0"/>
    <s v="Travel_Rarely"/>
    <n v="1329"/>
    <x v="0"/>
    <n v="7"/>
    <s v="Bachelor"/>
    <x v="0"/>
    <s v="Low"/>
    <x v="0"/>
    <n v="73"/>
    <s v="High"/>
    <x v="1"/>
    <s v="Laboratory Technician"/>
    <s v="Low"/>
    <s v="Single"/>
    <n v="2166"/>
    <n v="3339"/>
    <n v="3"/>
    <s v="Yes"/>
    <n v="14"/>
    <s v="Excellent"/>
    <s v="Medium"/>
    <n v="0"/>
    <n v="10"/>
    <n v="3"/>
    <s v="Bad"/>
    <x v="9"/>
    <s v="0-5"/>
    <n v="2"/>
    <n v="0"/>
    <n v="3"/>
    <n v="1172"/>
  </r>
  <r>
    <n v="29"/>
    <x v="2"/>
    <x v="1"/>
    <s v="Travel_Rarely"/>
    <n v="469"/>
    <x v="1"/>
    <n v="10"/>
    <s v="Bachelor"/>
    <x v="2"/>
    <s v="High"/>
    <x v="0"/>
    <n v="42"/>
    <s v="Medium"/>
    <x v="0"/>
    <s v="Sales Executive"/>
    <s v="High"/>
    <s v="Single"/>
    <n v="5869"/>
    <n v="23413"/>
    <n v="9"/>
    <s v="No"/>
    <n v="11"/>
    <s v="Excellent"/>
    <s v="High"/>
    <n v="0"/>
    <n v="8"/>
    <n v="2"/>
    <s v="Better"/>
    <x v="8"/>
    <s v="0-5"/>
    <n v="2"/>
    <n v="1"/>
    <n v="4"/>
    <n v="1173"/>
  </r>
  <r>
    <n v="36"/>
    <x v="0"/>
    <x v="1"/>
    <s v="Travel_Rarely"/>
    <n v="711"/>
    <x v="0"/>
    <n v="5"/>
    <s v="Master"/>
    <x v="0"/>
    <s v="Medium"/>
    <x v="1"/>
    <n v="42"/>
    <s v="High"/>
    <x v="2"/>
    <s v="Healthcare Representative"/>
    <s v="Low"/>
    <s v="Married"/>
    <n v="8008"/>
    <n v="22792"/>
    <n v="4"/>
    <s v="No"/>
    <n v="12"/>
    <s v="Excellent"/>
    <s v="High"/>
    <n v="2"/>
    <n v="9"/>
    <n v="6"/>
    <s v="Better"/>
    <x v="11"/>
    <s v="0-5"/>
    <n v="2"/>
    <n v="0"/>
    <n v="2"/>
    <n v="1174"/>
  </r>
  <r>
    <n v="25"/>
    <x v="4"/>
    <x v="1"/>
    <s v="Travel_Frequently"/>
    <n v="772"/>
    <x v="0"/>
    <n v="2"/>
    <s v="Below College"/>
    <x v="0"/>
    <s v="Very High"/>
    <x v="0"/>
    <n v="77"/>
    <s v="Very High"/>
    <x v="0"/>
    <s v="Manufacturing Director"/>
    <s v="High"/>
    <s v="Divorced"/>
    <n v="5206"/>
    <n v="4973"/>
    <n v="1"/>
    <s v="No"/>
    <n v="17"/>
    <s v="Excellent"/>
    <s v="High"/>
    <n v="2"/>
    <n v="7"/>
    <n v="6"/>
    <s v="Better"/>
    <x v="5"/>
    <s v="5-10"/>
    <n v="7"/>
    <n v="0"/>
    <n v="7"/>
    <n v="1175"/>
  </r>
  <r>
    <n v="39"/>
    <x v="0"/>
    <x v="1"/>
    <s v="Travel_Rarely"/>
    <n v="492"/>
    <x v="0"/>
    <n v="12"/>
    <s v="Bachelor"/>
    <x v="2"/>
    <s v="Very High"/>
    <x v="0"/>
    <n v="66"/>
    <s v="High"/>
    <x v="0"/>
    <s v="Manufacturing Director"/>
    <s v="Medium"/>
    <s v="Married"/>
    <n v="5295"/>
    <n v="7693"/>
    <n v="4"/>
    <s v="No"/>
    <n v="21"/>
    <s v="Outstanding"/>
    <s v="High"/>
    <n v="0"/>
    <n v="7"/>
    <n v="3"/>
    <s v="Better"/>
    <x v="8"/>
    <s v="0-5"/>
    <n v="4"/>
    <n v="1"/>
    <n v="0"/>
    <n v="1176"/>
  </r>
  <r>
    <n v="49"/>
    <x v="1"/>
    <x v="1"/>
    <s v="Travel_Rarely"/>
    <n v="301"/>
    <x v="0"/>
    <n v="22"/>
    <s v="Master"/>
    <x v="1"/>
    <s v="Low"/>
    <x v="1"/>
    <n v="72"/>
    <s v="High"/>
    <x v="3"/>
    <s v="Research Director"/>
    <s v="Medium"/>
    <s v="Married"/>
    <n v="16413"/>
    <n v="3498"/>
    <n v="3"/>
    <s v="No"/>
    <n v="16"/>
    <s v="Excellent"/>
    <s v="Medium"/>
    <n v="2"/>
    <n v="27"/>
    <n v="2"/>
    <s v="Better"/>
    <x v="9"/>
    <s v="0-5"/>
    <n v="2"/>
    <n v="1"/>
    <n v="2"/>
    <n v="1177"/>
  </r>
  <r>
    <n v="50"/>
    <x v="1"/>
    <x v="1"/>
    <s v="Travel_Rarely"/>
    <n v="813"/>
    <x v="0"/>
    <n v="17"/>
    <s v="Doctor"/>
    <x v="0"/>
    <s v="Very High"/>
    <x v="1"/>
    <n v="50"/>
    <s v="Medium"/>
    <x v="2"/>
    <s v="Research Director"/>
    <s v="Low"/>
    <s v="Divorced"/>
    <n v="13269"/>
    <n v="21981"/>
    <n v="5"/>
    <s v="No"/>
    <n v="15"/>
    <s v="Excellent"/>
    <s v="High"/>
    <n v="3"/>
    <n v="19"/>
    <n v="3"/>
    <s v="Better"/>
    <x v="13"/>
    <s v="10-40"/>
    <n v="11"/>
    <n v="1"/>
    <n v="11"/>
    <n v="1178"/>
  </r>
  <r>
    <n v="20"/>
    <x v="4"/>
    <x v="1"/>
    <s v="Travel_Rarely"/>
    <n v="1141"/>
    <x v="1"/>
    <n v="2"/>
    <s v="Bachelor"/>
    <x v="2"/>
    <s v="High"/>
    <x v="1"/>
    <n v="31"/>
    <s v="High"/>
    <x v="1"/>
    <s v="Sales Representative"/>
    <s v="High"/>
    <s v="Single"/>
    <n v="2783"/>
    <n v="13251"/>
    <n v="1"/>
    <s v="No"/>
    <n v="19"/>
    <s v="Excellent"/>
    <s v="Low"/>
    <n v="0"/>
    <n v="2"/>
    <n v="3"/>
    <s v="Better"/>
    <x v="4"/>
    <s v="0-5"/>
    <n v="2"/>
    <n v="2"/>
    <n v="2"/>
    <n v="1179"/>
  </r>
  <r>
    <n v="34"/>
    <x v="2"/>
    <x v="1"/>
    <s v="Travel_Rarely"/>
    <n v="1130"/>
    <x v="0"/>
    <n v="3"/>
    <s v="Bachelor"/>
    <x v="0"/>
    <s v="Very High"/>
    <x v="1"/>
    <n v="66"/>
    <s v="High"/>
    <x v="0"/>
    <s v="Research Scientist"/>
    <s v="Medium"/>
    <s v="Divorced"/>
    <n v="5433"/>
    <n v="19332"/>
    <n v="1"/>
    <s v="No"/>
    <n v="12"/>
    <s v="Excellent"/>
    <s v="High"/>
    <n v="1"/>
    <n v="11"/>
    <n v="2"/>
    <s v="Better"/>
    <x v="19"/>
    <s v="10-40"/>
    <n v="8"/>
    <n v="7"/>
    <n v="9"/>
    <n v="1180"/>
  </r>
  <r>
    <n v="36"/>
    <x v="0"/>
    <x v="1"/>
    <s v="Travel_Rarely"/>
    <n v="311"/>
    <x v="0"/>
    <n v="7"/>
    <s v="Bachelor"/>
    <x v="0"/>
    <s v="Low"/>
    <x v="0"/>
    <n v="77"/>
    <s v="High"/>
    <x v="1"/>
    <s v="Laboratory Technician"/>
    <s v="Medium"/>
    <s v="Single"/>
    <n v="2013"/>
    <n v="10950"/>
    <n v="2"/>
    <s v="No"/>
    <n v="11"/>
    <s v="Excellent"/>
    <s v="High"/>
    <n v="0"/>
    <n v="15"/>
    <n v="4"/>
    <s v="Better"/>
    <x v="9"/>
    <s v="0-5"/>
    <n v="3"/>
    <n v="1"/>
    <n v="3"/>
    <n v="1181"/>
  </r>
  <r>
    <n v="49"/>
    <x v="1"/>
    <x v="1"/>
    <s v="Travel_Rarely"/>
    <n v="465"/>
    <x v="0"/>
    <n v="6"/>
    <s v="Below College"/>
    <x v="0"/>
    <s v="High"/>
    <x v="1"/>
    <n v="41"/>
    <s v="Medium"/>
    <x v="3"/>
    <s v="Healthcare Representative"/>
    <s v="High"/>
    <s v="Married"/>
    <n v="13966"/>
    <n v="11652"/>
    <n v="2"/>
    <s v="Yes"/>
    <n v="19"/>
    <s v="Excellent"/>
    <s v="Medium"/>
    <n v="1"/>
    <n v="30"/>
    <n v="3"/>
    <s v="Better"/>
    <x v="15"/>
    <s v="10-40"/>
    <n v="11"/>
    <n v="2"/>
    <n v="12"/>
    <n v="1182"/>
  </r>
  <r>
    <n v="36"/>
    <x v="0"/>
    <x v="1"/>
    <s v="Non-Travel"/>
    <n v="894"/>
    <x v="0"/>
    <n v="1"/>
    <s v="Master"/>
    <x v="2"/>
    <s v="Very High"/>
    <x v="1"/>
    <n v="33"/>
    <s v="Medium"/>
    <x v="0"/>
    <s v="Manufacturing Director"/>
    <s v="High"/>
    <s v="Married"/>
    <n v="4374"/>
    <n v="15411"/>
    <n v="0"/>
    <s v="No"/>
    <n v="15"/>
    <s v="Excellent"/>
    <s v="High"/>
    <n v="0"/>
    <n v="4"/>
    <n v="6"/>
    <s v="Better"/>
    <x v="11"/>
    <s v="0-5"/>
    <n v="2"/>
    <n v="1"/>
    <n v="2"/>
    <n v="1183"/>
  </r>
  <r>
    <n v="36"/>
    <x v="0"/>
    <x v="1"/>
    <s v="Travel_Rarely"/>
    <n v="1040"/>
    <x v="0"/>
    <n v="3"/>
    <s v="College"/>
    <x v="0"/>
    <s v="Very High"/>
    <x v="0"/>
    <n v="79"/>
    <s v="Very High"/>
    <x v="0"/>
    <s v="Healthcare Representative"/>
    <s v="Low"/>
    <s v="Divorced"/>
    <n v="6842"/>
    <n v="26308"/>
    <n v="6"/>
    <s v="No"/>
    <n v="20"/>
    <s v="Outstanding"/>
    <s v="Low"/>
    <n v="1"/>
    <n v="13"/>
    <n v="3"/>
    <s v="Better"/>
    <x v="8"/>
    <s v="0-5"/>
    <n v="4"/>
    <n v="0"/>
    <n v="4"/>
    <n v="1184"/>
  </r>
  <r>
    <n v="54"/>
    <x v="1"/>
    <x v="1"/>
    <s v="Travel_Rarely"/>
    <n v="584"/>
    <x v="0"/>
    <n v="22"/>
    <s v="Doctor"/>
    <x v="2"/>
    <s v="Medium"/>
    <x v="1"/>
    <n v="91"/>
    <s v="High"/>
    <x v="3"/>
    <s v="Manager"/>
    <s v="High"/>
    <s v="Married"/>
    <n v="17426"/>
    <n v="18685"/>
    <n v="3"/>
    <s v="No"/>
    <n v="25"/>
    <s v="Outstanding"/>
    <s v="High"/>
    <n v="1"/>
    <n v="36"/>
    <n v="6"/>
    <s v="Better"/>
    <x v="1"/>
    <s v="5-10"/>
    <n v="8"/>
    <n v="4"/>
    <n v="7"/>
    <n v="1185"/>
  </r>
  <r>
    <n v="43"/>
    <x v="0"/>
    <x v="1"/>
    <s v="Travel_Rarely"/>
    <n v="1291"/>
    <x v="0"/>
    <n v="15"/>
    <s v="College"/>
    <x v="0"/>
    <s v="High"/>
    <x v="0"/>
    <n v="65"/>
    <s v="Medium"/>
    <x v="3"/>
    <s v="Research Director"/>
    <s v="High"/>
    <s v="Married"/>
    <n v="17603"/>
    <n v="3525"/>
    <n v="1"/>
    <s v="No"/>
    <n v="24"/>
    <s v="Outstanding"/>
    <s v="Low"/>
    <n v="1"/>
    <n v="14"/>
    <n v="3"/>
    <s v="Better"/>
    <x v="13"/>
    <s v="10-40"/>
    <n v="10"/>
    <n v="6"/>
    <n v="11"/>
    <n v="1186"/>
  </r>
  <r>
    <n v="35"/>
    <x v="2"/>
    <x v="0"/>
    <s v="Travel_Frequently"/>
    <n v="880"/>
    <x v="1"/>
    <n v="12"/>
    <s v="Master"/>
    <x v="1"/>
    <s v="Very High"/>
    <x v="0"/>
    <n v="36"/>
    <s v="High"/>
    <x v="0"/>
    <s v="Sales Executive"/>
    <s v="Very High"/>
    <s v="Single"/>
    <n v="4581"/>
    <n v="10414"/>
    <n v="3"/>
    <s v="Yes"/>
    <n v="24"/>
    <s v="Outstanding"/>
    <s v="Low"/>
    <n v="0"/>
    <n v="13"/>
    <n v="2"/>
    <s v="Best"/>
    <x v="19"/>
    <s v="10-40"/>
    <n v="9"/>
    <n v="6"/>
    <n v="7"/>
    <n v="1187"/>
  </r>
  <r>
    <n v="38"/>
    <x v="0"/>
    <x v="1"/>
    <s v="Travel_Frequently"/>
    <n v="1189"/>
    <x v="0"/>
    <n v="1"/>
    <s v="Bachelor"/>
    <x v="0"/>
    <s v="Very High"/>
    <x v="0"/>
    <n v="90"/>
    <s v="High"/>
    <x v="0"/>
    <s v="Research Scientist"/>
    <s v="Very High"/>
    <s v="Married"/>
    <n v="4735"/>
    <n v="9867"/>
    <n v="7"/>
    <s v="No"/>
    <n v="15"/>
    <s v="Excellent"/>
    <s v="Very High"/>
    <n v="2"/>
    <n v="19"/>
    <n v="4"/>
    <s v="Best"/>
    <x v="20"/>
    <s v="10-40"/>
    <n v="11"/>
    <n v="2"/>
    <n v="9"/>
    <n v="1188"/>
  </r>
  <r>
    <n v="29"/>
    <x v="2"/>
    <x v="1"/>
    <s v="Travel_Rarely"/>
    <n v="991"/>
    <x v="1"/>
    <n v="5"/>
    <s v="Bachelor"/>
    <x v="2"/>
    <s v="Low"/>
    <x v="0"/>
    <n v="43"/>
    <s v="Medium"/>
    <x v="0"/>
    <s v="Sales Executive"/>
    <s v="Medium"/>
    <s v="Divorced"/>
    <n v="4187"/>
    <n v="3356"/>
    <n v="1"/>
    <s v="Yes"/>
    <n v="13"/>
    <s v="Excellent"/>
    <s v="Medium"/>
    <n v="1"/>
    <n v="10"/>
    <n v="3"/>
    <s v="Good"/>
    <x v="1"/>
    <s v="5-10"/>
    <n v="0"/>
    <n v="0"/>
    <n v="9"/>
    <n v="1189"/>
  </r>
  <r>
    <n v="33"/>
    <x v="2"/>
    <x v="1"/>
    <s v="Travel_Rarely"/>
    <n v="392"/>
    <x v="1"/>
    <n v="2"/>
    <s v="Master"/>
    <x v="2"/>
    <s v="Very High"/>
    <x v="0"/>
    <n v="93"/>
    <s v="High"/>
    <x v="0"/>
    <s v="Sales Executive"/>
    <s v="Very High"/>
    <s v="Divorced"/>
    <n v="5505"/>
    <n v="3921"/>
    <n v="1"/>
    <s v="No"/>
    <n v="14"/>
    <s v="Excellent"/>
    <s v="High"/>
    <n v="2"/>
    <n v="6"/>
    <n v="5"/>
    <s v="Better"/>
    <x v="0"/>
    <s v="5-10"/>
    <n v="2"/>
    <n v="0"/>
    <n v="4"/>
    <n v="1190"/>
  </r>
  <r>
    <n v="32"/>
    <x v="2"/>
    <x v="1"/>
    <s v="Travel_Rarely"/>
    <n v="977"/>
    <x v="0"/>
    <n v="2"/>
    <s v="Bachelor"/>
    <x v="2"/>
    <s v="Very High"/>
    <x v="0"/>
    <n v="45"/>
    <s v="High"/>
    <x v="0"/>
    <s v="Research Scientist"/>
    <s v="Medium"/>
    <s v="Divorced"/>
    <n v="5470"/>
    <n v="25518"/>
    <n v="0"/>
    <s v="No"/>
    <n v="13"/>
    <s v="Excellent"/>
    <s v="High"/>
    <n v="2"/>
    <n v="10"/>
    <n v="4"/>
    <s v="Good"/>
    <x v="7"/>
    <s v="5-10"/>
    <n v="5"/>
    <n v="1"/>
    <n v="6"/>
    <n v="1191"/>
  </r>
  <r>
    <n v="31"/>
    <x v="2"/>
    <x v="1"/>
    <s v="Travel_Rarely"/>
    <n v="1112"/>
    <x v="1"/>
    <n v="5"/>
    <s v="Master"/>
    <x v="0"/>
    <s v="Low"/>
    <x v="1"/>
    <n v="67"/>
    <s v="High"/>
    <x v="0"/>
    <s v="Sales Executive"/>
    <s v="Very High"/>
    <s v="Married"/>
    <n v="5476"/>
    <n v="22589"/>
    <n v="1"/>
    <s v="No"/>
    <n v="11"/>
    <s v="Excellent"/>
    <s v="Low"/>
    <n v="2"/>
    <n v="10"/>
    <n v="2"/>
    <s v="Better"/>
    <x v="1"/>
    <s v="5-10"/>
    <n v="0"/>
    <n v="0"/>
    <n v="2"/>
    <n v="1192"/>
  </r>
  <r>
    <n v="49"/>
    <x v="1"/>
    <x v="1"/>
    <s v="Travel_Rarely"/>
    <n v="464"/>
    <x v="0"/>
    <n v="16"/>
    <s v="Bachelor"/>
    <x v="2"/>
    <s v="Very High"/>
    <x v="1"/>
    <n v="74"/>
    <s v="High"/>
    <x v="1"/>
    <s v="Laboratory Technician"/>
    <s v="Low"/>
    <s v="Divorced"/>
    <n v="2587"/>
    <n v="24941"/>
    <n v="4"/>
    <s v="Yes"/>
    <n v="16"/>
    <s v="Excellent"/>
    <s v="Medium"/>
    <n v="1"/>
    <n v="17"/>
    <n v="2"/>
    <s v="Good"/>
    <x v="4"/>
    <s v="0-5"/>
    <n v="2"/>
    <n v="2"/>
    <n v="2"/>
    <n v="1193"/>
  </r>
  <r>
    <n v="38"/>
    <x v="0"/>
    <x v="1"/>
    <s v="Travel_Frequently"/>
    <n v="148"/>
    <x v="0"/>
    <n v="2"/>
    <s v="Bachelor"/>
    <x v="2"/>
    <s v="Very High"/>
    <x v="1"/>
    <n v="42"/>
    <s v="Medium"/>
    <x v="1"/>
    <s v="Laboratory Technician"/>
    <s v="Medium"/>
    <s v="Single"/>
    <n v="2440"/>
    <n v="23826"/>
    <n v="1"/>
    <s v="No"/>
    <n v="22"/>
    <s v="Outstanding"/>
    <s v="Medium"/>
    <n v="0"/>
    <n v="4"/>
    <n v="3"/>
    <s v="Better"/>
    <x v="9"/>
    <s v="0-5"/>
    <n v="3"/>
    <n v="3"/>
    <n v="3"/>
    <n v="1194"/>
  </r>
  <r>
    <n v="47"/>
    <x v="1"/>
    <x v="1"/>
    <s v="Travel_Rarely"/>
    <n v="1225"/>
    <x v="1"/>
    <n v="2"/>
    <s v="Master"/>
    <x v="0"/>
    <s v="Medium"/>
    <x v="1"/>
    <n v="47"/>
    <s v="Very High"/>
    <x v="3"/>
    <s v="Manager"/>
    <s v="Medium"/>
    <s v="Divorced"/>
    <n v="15972"/>
    <n v="21086"/>
    <n v="6"/>
    <s v="No"/>
    <n v="14"/>
    <s v="Excellent"/>
    <s v="High"/>
    <n v="3"/>
    <n v="29"/>
    <n v="2"/>
    <s v="Better"/>
    <x v="11"/>
    <s v="0-5"/>
    <n v="2"/>
    <n v="1"/>
    <n v="2"/>
    <n v="1195"/>
  </r>
  <r>
    <n v="49"/>
    <x v="1"/>
    <x v="1"/>
    <s v="Travel_Rarely"/>
    <n v="809"/>
    <x v="0"/>
    <n v="1"/>
    <s v="Bachelor"/>
    <x v="0"/>
    <s v="High"/>
    <x v="0"/>
    <n v="36"/>
    <s v="High"/>
    <x v="3"/>
    <s v="Manager"/>
    <s v="High"/>
    <s v="Single"/>
    <n v="15379"/>
    <n v="22384"/>
    <n v="4"/>
    <s v="No"/>
    <n v="14"/>
    <s v="Excellent"/>
    <s v="Low"/>
    <n v="0"/>
    <n v="23"/>
    <n v="2"/>
    <s v="Better"/>
    <x v="3"/>
    <s v="5-10"/>
    <n v="7"/>
    <n v="0"/>
    <n v="0"/>
    <n v="1196"/>
  </r>
  <r>
    <n v="41"/>
    <x v="0"/>
    <x v="1"/>
    <s v="Travel_Rarely"/>
    <n v="1206"/>
    <x v="1"/>
    <n v="23"/>
    <s v="College"/>
    <x v="0"/>
    <s v="Very High"/>
    <x v="0"/>
    <n v="80"/>
    <s v="High"/>
    <x v="2"/>
    <s v="Sales Executive"/>
    <s v="High"/>
    <s v="Single"/>
    <n v="7082"/>
    <n v="11591"/>
    <n v="3"/>
    <s v="Yes"/>
    <n v="16"/>
    <s v="Excellent"/>
    <s v="Very High"/>
    <n v="0"/>
    <n v="21"/>
    <n v="2"/>
    <s v="Better"/>
    <x v="4"/>
    <s v="0-5"/>
    <n v="0"/>
    <n v="0"/>
    <n v="2"/>
    <n v="1197"/>
  </r>
  <r>
    <n v="20"/>
    <x v="4"/>
    <x v="1"/>
    <s v="Travel_Rarely"/>
    <n v="727"/>
    <x v="1"/>
    <n v="9"/>
    <s v="Below College"/>
    <x v="0"/>
    <s v="Very High"/>
    <x v="0"/>
    <n v="54"/>
    <s v="High"/>
    <x v="1"/>
    <s v="Sales Representative"/>
    <s v="Low"/>
    <s v="Single"/>
    <n v="2728"/>
    <n v="21082"/>
    <n v="1"/>
    <s v="No"/>
    <n v="11"/>
    <s v="Excellent"/>
    <s v="Low"/>
    <n v="0"/>
    <n v="2"/>
    <n v="3"/>
    <s v="Better"/>
    <x v="4"/>
    <s v="0-5"/>
    <n v="2"/>
    <n v="0"/>
    <n v="2"/>
    <n v="1198"/>
  </r>
  <r>
    <n v="33"/>
    <x v="2"/>
    <x v="1"/>
    <s v="Non-Travel"/>
    <n v="530"/>
    <x v="1"/>
    <n v="16"/>
    <s v="Bachelor"/>
    <x v="0"/>
    <s v="High"/>
    <x v="1"/>
    <n v="36"/>
    <s v="High"/>
    <x v="0"/>
    <s v="Sales Executive"/>
    <s v="Very High"/>
    <s v="Divorced"/>
    <n v="5368"/>
    <n v="16130"/>
    <n v="1"/>
    <s v="Yes"/>
    <n v="25"/>
    <s v="Outstanding"/>
    <s v="High"/>
    <n v="1"/>
    <n v="7"/>
    <n v="2"/>
    <s v="Better"/>
    <x v="0"/>
    <s v="5-10"/>
    <n v="5"/>
    <n v="1"/>
    <n v="2"/>
    <n v="1199"/>
  </r>
  <r>
    <n v="36"/>
    <x v="0"/>
    <x v="1"/>
    <s v="Travel_Rarely"/>
    <n v="1351"/>
    <x v="0"/>
    <n v="26"/>
    <s v="Master"/>
    <x v="0"/>
    <s v="Low"/>
    <x v="0"/>
    <n v="80"/>
    <s v="High"/>
    <x v="0"/>
    <s v="Healthcare Representative"/>
    <s v="High"/>
    <s v="Married"/>
    <n v="5347"/>
    <n v="7419"/>
    <n v="6"/>
    <s v="No"/>
    <n v="14"/>
    <s v="Excellent"/>
    <s v="Medium"/>
    <n v="2"/>
    <n v="10"/>
    <n v="2"/>
    <s v="Good"/>
    <x v="11"/>
    <s v="0-5"/>
    <n v="2"/>
    <n v="0"/>
    <n v="2"/>
    <n v="1200"/>
  </r>
  <r>
    <n v="44"/>
    <x v="0"/>
    <x v="1"/>
    <s v="Travel_Rarely"/>
    <n v="528"/>
    <x v="2"/>
    <n v="1"/>
    <s v="Bachelor"/>
    <x v="0"/>
    <s v="High"/>
    <x v="1"/>
    <n v="44"/>
    <s v="High"/>
    <x v="1"/>
    <s v="Human Resources"/>
    <s v="Very High"/>
    <s v="Divorced"/>
    <n v="3195"/>
    <n v="4167"/>
    <n v="4"/>
    <s v="Yes"/>
    <n v="18"/>
    <s v="Excellent"/>
    <s v="Low"/>
    <n v="3"/>
    <n v="8"/>
    <n v="2"/>
    <s v="Better"/>
    <x v="4"/>
    <s v="0-5"/>
    <n v="2"/>
    <n v="2"/>
    <n v="2"/>
    <n v="1201"/>
  </r>
  <r>
    <n v="23"/>
    <x v="4"/>
    <x v="0"/>
    <s v="Travel_Rarely"/>
    <n v="1320"/>
    <x v="0"/>
    <n v="8"/>
    <s v="Below College"/>
    <x v="2"/>
    <s v="Very High"/>
    <x v="0"/>
    <n v="93"/>
    <s v="Medium"/>
    <x v="1"/>
    <s v="Laboratory Technician"/>
    <s v="High"/>
    <s v="Single"/>
    <n v="3989"/>
    <n v="20586"/>
    <n v="1"/>
    <s v="Yes"/>
    <n v="11"/>
    <s v="Excellent"/>
    <s v="Low"/>
    <n v="0"/>
    <n v="5"/>
    <n v="2"/>
    <s v="Better"/>
    <x v="8"/>
    <s v="0-5"/>
    <n v="4"/>
    <n v="1"/>
    <n v="2"/>
    <n v="1202"/>
  </r>
  <r>
    <n v="38"/>
    <x v="0"/>
    <x v="1"/>
    <s v="Travel_Rarely"/>
    <n v="1495"/>
    <x v="0"/>
    <n v="4"/>
    <s v="College"/>
    <x v="2"/>
    <s v="Very High"/>
    <x v="1"/>
    <n v="87"/>
    <s v="High"/>
    <x v="1"/>
    <s v="Laboratory Technician"/>
    <s v="High"/>
    <s v="Married"/>
    <n v="3306"/>
    <n v="26176"/>
    <n v="7"/>
    <s v="No"/>
    <n v="19"/>
    <s v="Excellent"/>
    <s v="Very High"/>
    <n v="1"/>
    <n v="7"/>
    <n v="5"/>
    <s v="Good"/>
    <x v="2"/>
    <s v="0-5"/>
    <n v="0"/>
    <n v="0"/>
    <n v="0"/>
    <n v="1203"/>
  </r>
  <r>
    <n v="53"/>
    <x v="1"/>
    <x v="1"/>
    <s v="Travel_Rarely"/>
    <n v="1395"/>
    <x v="0"/>
    <n v="24"/>
    <s v="Master"/>
    <x v="2"/>
    <s v="Medium"/>
    <x v="0"/>
    <n v="48"/>
    <s v="Very High"/>
    <x v="2"/>
    <s v="Healthcare Representative"/>
    <s v="Very High"/>
    <s v="Married"/>
    <n v="7005"/>
    <n v="3458"/>
    <n v="3"/>
    <s v="No"/>
    <n v="15"/>
    <s v="Excellent"/>
    <s v="High"/>
    <n v="0"/>
    <n v="11"/>
    <n v="2"/>
    <s v="Better"/>
    <x v="9"/>
    <s v="0-5"/>
    <n v="3"/>
    <n v="1"/>
    <n v="2"/>
    <n v="1204"/>
  </r>
  <r>
    <n v="48"/>
    <x v="1"/>
    <x v="0"/>
    <s v="Travel_Frequently"/>
    <n v="708"/>
    <x v="1"/>
    <n v="7"/>
    <s v="College"/>
    <x v="2"/>
    <s v="Very High"/>
    <x v="1"/>
    <n v="95"/>
    <s v="High"/>
    <x v="1"/>
    <s v="Sales Representative"/>
    <s v="High"/>
    <s v="Married"/>
    <n v="2655"/>
    <n v="11740"/>
    <n v="2"/>
    <s v="Yes"/>
    <n v="11"/>
    <s v="Excellent"/>
    <s v="High"/>
    <n v="2"/>
    <n v="19"/>
    <n v="3"/>
    <s v="Better"/>
    <x v="7"/>
    <s v="5-10"/>
    <n v="7"/>
    <n v="7"/>
    <n v="7"/>
    <n v="1205"/>
  </r>
  <r>
    <n v="32"/>
    <x v="2"/>
    <x v="0"/>
    <s v="Travel_Rarely"/>
    <n v="1259"/>
    <x v="0"/>
    <n v="2"/>
    <s v="Master"/>
    <x v="0"/>
    <s v="Very High"/>
    <x v="0"/>
    <n v="95"/>
    <s v="High"/>
    <x v="1"/>
    <s v="Laboratory Technician"/>
    <s v="Medium"/>
    <s v="Single"/>
    <n v="1393"/>
    <n v="24852"/>
    <n v="1"/>
    <s v="No"/>
    <n v="12"/>
    <s v="Excellent"/>
    <s v="Low"/>
    <n v="0"/>
    <n v="1"/>
    <n v="2"/>
    <s v="Better"/>
    <x v="6"/>
    <s v="0-5"/>
    <n v="0"/>
    <n v="0"/>
    <n v="0"/>
    <n v="1206"/>
  </r>
  <r>
    <n v="26"/>
    <x v="2"/>
    <x v="1"/>
    <s v="Non-Travel"/>
    <n v="786"/>
    <x v="0"/>
    <n v="7"/>
    <s v="Bachelor"/>
    <x v="2"/>
    <s v="Very High"/>
    <x v="0"/>
    <n v="76"/>
    <s v="High"/>
    <x v="1"/>
    <s v="Laboratory Technician"/>
    <s v="Very High"/>
    <s v="Single"/>
    <n v="2570"/>
    <n v="11925"/>
    <n v="1"/>
    <s v="No"/>
    <n v="20"/>
    <s v="Outstanding"/>
    <s v="High"/>
    <n v="0"/>
    <n v="7"/>
    <n v="5"/>
    <s v="Better"/>
    <x v="5"/>
    <s v="5-10"/>
    <n v="7"/>
    <n v="5"/>
    <n v="7"/>
    <n v="1207"/>
  </r>
  <r>
    <n v="55"/>
    <x v="1"/>
    <x v="1"/>
    <s v="Travel_Rarely"/>
    <n v="1441"/>
    <x v="0"/>
    <n v="22"/>
    <s v="Bachelor"/>
    <x v="4"/>
    <s v="Low"/>
    <x v="0"/>
    <n v="94"/>
    <s v="Medium"/>
    <x v="1"/>
    <s v="Research Scientist"/>
    <s v="Medium"/>
    <s v="Divorced"/>
    <n v="3537"/>
    <n v="23737"/>
    <n v="5"/>
    <s v="No"/>
    <n v="12"/>
    <s v="Excellent"/>
    <s v="Very High"/>
    <n v="1"/>
    <n v="8"/>
    <n v="1"/>
    <s v="Better"/>
    <x v="9"/>
    <s v="0-5"/>
    <n v="2"/>
    <n v="1"/>
    <n v="2"/>
    <n v="1208"/>
  </r>
  <r>
    <n v="34"/>
    <x v="2"/>
    <x v="1"/>
    <s v="Travel_Rarely"/>
    <n v="1157"/>
    <x v="0"/>
    <n v="5"/>
    <s v="College"/>
    <x v="2"/>
    <s v="Medium"/>
    <x v="0"/>
    <n v="57"/>
    <s v="Medium"/>
    <x v="0"/>
    <s v="Laboratory Technician"/>
    <s v="Very High"/>
    <s v="Married"/>
    <n v="3986"/>
    <n v="11912"/>
    <n v="1"/>
    <s v="No"/>
    <n v="14"/>
    <s v="Excellent"/>
    <s v="High"/>
    <n v="1"/>
    <n v="15"/>
    <n v="3"/>
    <s v="Best"/>
    <x v="15"/>
    <s v="10-40"/>
    <n v="10"/>
    <n v="4"/>
    <n v="13"/>
    <n v="1209"/>
  </r>
  <r>
    <n v="60"/>
    <x v="3"/>
    <x v="1"/>
    <s v="Travel_Rarely"/>
    <n v="370"/>
    <x v="0"/>
    <n v="1"/>
    <s v="Master"/>
    <x v="2"/>
    <s v="High"/>
    <x v="0"/>
    <n v="92"/>
    <s v="Low"/>
    <x v="2"/>
    <s v="Healthcare Representative"/>
    <s v="Very High"/>
    <s v="Divorced"/>
    <n v="10883"/>
    <n v="20467"/>
    <n v="3"/>
    <s v="No"/>
    <n v="20"/>
    <s v="Outstanding"/>
    <s v="High"/>
    <n v="1"/>
    <n v="19"/>
    <n v="2"/>
    <s v="Best"/>
    <x v="6"/>
    <s v="0-5"/>
    <n v="0"/>
    <n v="0"/>
    <n v="0"/>
    <n v="1210"/>
  </r>
  <r>
    <n v="33"/>
    <x v="2"/>
    <x v="1"/>
    <s v="Travel_Rarely"/>
    <n v="267"/>
    <x v="0"/>
    <n v="21"/>
    <s v="Bachelor"/>
    <x v="2"/>
    <s v="Medium"/>
    <x v="0"/>
    <n v="79"/>
    <s v="Very High"/>
    <x v="1"/>
    <s v="Laboratory Technician"/>
    <s v="Medium"/>
    <s v="Married"/>
    <n v="2028"/>
    <n v="13637"/>
    <n v="1"/>
    <s v="No"/>
    <n v="18"/>
    <s v="Excellent"/>
    <s v="Very High"/>
    <n v="3"/>
    <n v="14"/>
    <n v="6"/>
    <s v="Better"/>
    <x v="13"/>
    <s v="10-40"/>
    <n v="11"/>
    <n v="2"/>
    <n v="13"/>
    <n v="1211"/>
  </r>
  <r>
    <n v="37"/>
    <x v="0"/>
    <x v="1"/>
    <s v="Travel_Frequently"/>
    <n v="1278"/>
    <x v="1"/>
    <n v="1"/>
    <s v="Master"/>
    <x v="2"/>
    <s v="High"/>
    <x v="0"/>
    <n v="31"/>
    <s v="Low"/>
    <x v="0"/>
    <s v="Sales Executive"/>
    <s v="Very High"/>
    <s v="Divorced"/>
    <n v="9525"/>
    <n v="7677"/>
    <n v="1"/>
    <s v="No"/>
    <n v="14"/>
    <s v="Excellent"/>
    <s v="High"/>
    <n v="2"/>
    <n v="6"/>
    <n v="2"/>
    <s v="Good"/>
    <x v="0"/>
    <s v="5-10"/>
    <n v="3"/>
    <n v="1"/>
    <n v="3"/>
    <n v="1212"/>
  </r>
  <r>
    <n v="34"/>
    <x v="2"/>
    <x v="1"/>
    <s v="Travel_Rarely"/>
    <n v="678"/>
    <x v="0"/>
    <n v="19"/>
    <s v="Bachelor"/>
    <x v="0"/>
    <s v="Medium"/>
    <x v="1"/>
    <n v="35"/>
    <s v="Medium"/>
    <x v="1"/>
    <s v="Research Scientist"/>
    <s v="Very High"/>
    <s v="Married"/>
    <n v="2929"/>
    <n v="20338"/>
    <n v="1"/>
    <s v="No"/>
    <n v="12"/>
    <s v="Excellent"/>
    <s v="Medium"/>
    <n v="0"/>
    <n v="10"/>
    <n v="3"/>
    <s v="Better"/>
    <x v="1"/>
    <s v="5-10"/>
    <n v="9"/>
    <n v="8"/>
    <n v="7"/>
    <n v="1213"/>
  </r>
  <r>
    <n v="23"/>
    <x v="4"/>
    <x v="0"/>
    <s v="Travel_Rarely"/>
    <n v="427"/>
    <x v="1"/>
    <n v="7"/>
    <s v="Bachelor"/>
    <x v="0"/>
    <s v="High"/>
    <x v="0"/>
    <n v="99"/>
    <s v="High"/>
    <x v="1"/>
    <s v="Sales Representative"/>
    <s v="Very High"/>
    <s v="Divorced"/>
    <n v="2275"/>
    <n v="25103"/>
    <n v="1"/>
    <s v="Yes"/>
    <n v="21"/>
    <s v="Outstanding"/>
    <s v="Medium"/>
    <n v="1"/>
    <n v="3"/>
    <n v="2"/>
    <s v="Better"/>
    <x v="11"/>
    <s v="0-5"/>
    <n v="2"/>
    <n v="0"/>
    <n v="2"/>
    <n v="1214"/>
  </r>
  <r>
    <n v="44"/>
    <x v="0"/>
    <x v="1"/>
    <s v="Travel_Rarely"/>
    <n v="921"/>
    <x v="0"/>
    <n v="2"/>
    <s v="Bachelor"/>
    <x v="0"/>
    <s v="High"/>
    <x v="1"/>
    <n v="96"/>
    <s v="Very High"/>
    <x v="2"/>
    <s v="Healthcare Representative"/>
    <s v="Very High"/>
    <s v="Married"/>
    <n v="7879"/>
    <n v="14810"/>
    <n v="1"/>
    <s v="Yes"/>
    <n v="19"/>
    <s v="Excellent"/>
    <s v="Medium"/>
    <n v="1"/>
    <n v="9"/>
    <n v="2"/>
    <s v="Better"/>
    <x v="3"/>
    <s v="5-10"/>
    <n v="7"/>
    <n v="6"/>
    <n v="7"/>
    <n v="1215"/>
  </r>
  <r>
    <n v="35"/>
    <x v="2"/>
    <x v="1"/>
    <s v="Travel_Frequently"/>
    <n v="146"/>
    <x v="0"/>
    <n v="2"/>
    <s v="Master"/>
    <x v="2"/>
    <s v="Low"/>
    <x v="0"/>
    <n v="79"/>
    <s v="Medium"/>
    <x v="1"/>
    <s v="Research Scientist"/>
    <s v="Very High"/>
    <s v="Single"/>
    <n v="4930"/>
    <n v="13970"/>
    <n v="0"/>
    <s v="Yes"/>
    <n v="14"/>
    <s v="Excellent"/>
    <s v="High"/>
    <n v="0"/>
    <n v="6"/>
    <n v="2"/>
    <s v="Best"/>
    <x v="8"/>
    <s v="0-5"/>
    <n v="4"/>
    <n v="1"/>
    <n v="4"/>
    <n v="1216"/>
  </r>
  <r>
    <n v="43"/>
    <x v="0"/>
    <x v="1"/>
    <s v="Travel_Rarely"/>
    <n v="1179"/>
    <x v="1"/>
    <n v="2"/>
    <s v="Bachelor"/>
    <x v="2"/>
    <s v="Very High"/>
    <x v="0"/>
    <n v="73"/>
    <s v="High"/>
    <x v="0"/>
    <s v="Sales Executive"/>
    <s v="Very High"/>
    <s v="Married"/>
    <n v="7847"/>
    <n v="6069"/>
    <n v="1"/>
    <s v="Yes"/>
    <n v="17"/>
    <s v="Excellent"/>
    <s v="Low"/>
    <n v="1"/>
    <n v="10"/>
    <n v="3"/>
    <s v="Better"/>
    <x v="1"/>
    <s v="5-10"/>
    <n v="9"/>
    <n v="8"/>
    <n v="8"/>
    <n v="1217"/>
  </r>
  <r>
    <n v="24"/>
    <x v="4"/>
    <x v="1"/>
    <s v="Travel_Rarely"/>
    <n v="581"/>
    <x v="0"/>
    <n v="9"/>
    <s v="Bachelor"/>
    <x v="2"/>
    <s v="High"/>
    <x v="0"/>
    <n v="62"/>
    <s v="Very High"/>
    <x v="1"/>
    <s v="Research Scientist"/>
    <s v="High"/>
    <s v="Married"/>
    <n v="4401"/>
    <n v="17616"/>
    <n v="1"/>
    <s v="No"/>
    <n v="16"/>
    <s v="Excellent"/>
    <s v="Very High"/>
    <n v="1"/>
    <n v="5"/>
    <n v="1"/>
    <s v="Better"/>
    <x v="8"/>
    <s v="0-5"/>
    <n v="3"/>
    <n v="0"/>
    <n v="4"/>
    <n v="1218"/>
  </r>
  <r>
    <n v="41"/>
    <x v="0"/>
    <x v="1"/>
    <s v="Travel_Rarely"/>
    <n v="918"/>
    <x v="1"/>
    <n v="6"/>
    <s v="Bachelor"/>
    <x v="3"/>
    <s v="Very High"/>
    <x v="0"/>
    <n v="35"/>
    <s v="High"/>
    <x v="2"/>
    <s v="Sales Executive"/>
    <s v="High"/>
    <s v="Single"/>
    <n v="9241"/>
    <n v="15869"/>
    <n v="1"/>
    <s v="No"/>
    <n v="12"/>
    <s v="Excellent"/>
    <s v="Medium"/>
    <n v="0"/>
    <n v="10"/>
    <n v="3"/>
    <s v="Better"/>
    <x v="1"/>
    <s v="5-10"/>
    <n v="8"/>
    <n v="8"/>
    <n v="7"/>
    <n v="1219"/>
  </r>
  <r>
    <n v="29"/>
    <x v="2"/>
    <x v="1"/>
    <s v="Travel_Rarely"/>
    <n v="1082"/>
    <x v="0"/>
    <n v="9"/>
    <s v="Master"/>
    <x v="2"/>
    <s v="Very High"/>
    <x v="1"/>
    <n v="43"/>
    <s v="High"/>
    <x v="1"/>
    <s v="Laboratory Technician"/>
    <s v="High"/>
    <s v="Married"/>
    <n v="2974"/>
    <n v="25412"/>
    <n v="9"/>
    <s v="No"/>
    <n v="17"/>
    <s v="Excellent"/>
    <s v="High"/>
    <n v="1"/>
    <n v="9"/>
    <n v="2"/>
    <s v="Better"/>
    <x v="8"/>
    <s v="0-5"/>
    <n v="3"/>
    <n v="1"/>
    <n v="2"/>
    <n v="1220"/>
  </r>
  <r>
    <n v="36"/>
    <x v="0"/>
    <x v="1"/>
    <s v="Travel_Rarely"/>
    <n v="530"/>
    <x v="1"/>
    <n v="2"/>
    <s v="Master"/>
    <x v="0"/>
    <s v="High"/>
    <x v="1"/>
    <n v="51"/>
    <s v="High"/>
    <x v="0"/>
    <s v="Sales Representative"/>
    <s v="Very High"/>
    <s v="Single"/>
    <n v="4502"/>
    <n v="7439"/>
    <n v="3"/>
    <s v="No"/>
    <n v="15"/>
    <s v="Excellent"/>
    <s v="High"/>
    <n v="0"/>
    <n v="17"/>
    <n v="2"/>
    <s v="Good"/>
    <x v="20"/>
    <s v="10-40"/>
    <n v="7"/>
    <n v="6"/>
    <n v="7"/>
    <n v="1221"/>
  </r>
  <r>
    <n v="45"/>
    <x v="0"/>
    <x v="1"/>
    <s v="Non-Travel"/>
    <n v="1238"/>
    <x v="0"/>
    <n v="1"/>
    <s v="Below College"/>
    <x v="0"/>
    <s v="High"/>
    <x v="0"/>
    <n v="74"/>
    <s v="Medium"/>
    <x v="2"/>
    <s v="Healthcare Representative"/>
    <s v="High"/>
    <s v="Married"/>
    <n v="10748"/>
    <n v="3395"/>
    <n v="3"/>
    <s v="No"/>
    <n v="23"/>
    <s v="Outstanding"/>
    <s v="Very High"/>
    <n v="1"/>
    <n v="25"/>
    <n v="3"/>
    <s v="Good"/>
    <x v="36"/>
    <s v="10-40"/>
    <n v="15"/>
    <n v="14"/>
    <n v="4"/>
    <n v="1222"/>
  </r>
  <r>
    <n v="24"/>
    <x v="4"/>
    <x v="0"/>
    <s v="Travel_Rarely"/>
    <n v="240"/>
    <x v="2"/>
    <n v="22"/>
    <s v="Below College"/>
    <x v="5"/>
    <s v="Very High"/>
    <x v="0"/>
    <n v="58"/>
    <s v="Low"/>
    <x v="1"/>
    <s v="Human Resources"/>
    <s v="High"/>
    <s v="Married"/>
    <n v="1555"/>
    <n v="11585"/>
    <n v="1"/>
    <s v="No"/>
    <n v="11"/>
    <s v="Excellent"/>
    <s v="High"/>
    <n v="1"/>
    <n v="1"/>
    <n v="2"/>
    <s v="Better"/>
    <x v="6"/>
    <s v="0-5"/>
    <n v="0"/>
    <n v="0"/>
    <n v="0"/>
    <n v="1223"/>
  </r>
  <r>
    <n v="47"/>
    <x v="1"/>
    <x v="0"/>
    <s v="Travel_Frequently"/>
    <n v="1093"/>
    <x v="1"/>
    <n v="9"/>
    <s v="Bachelor"/>
    <x v="0"/>
    <s v="High"/>
    <x v="0"/>
    <n v="82"/>
    <s v="Low"/>
    <x v="3"/>
    <s v="Sales Executive"/>
    <s v="High"/>
    <s v="Married"/>
    <n v="12936"/>
    <n v="24164"/>
    <n v="7"/>
    <s v="No"/>
    <n v="11"/>
    <s v="Excellent"/>
    <s v="High"/>
    <n v="0"/>
    <n v="25"/>
    <n v="3"/>
    <s v="Bad"/>
    <x v="36"/>
    <s v="10-40"/>
    <n v="5"/>
    <n v="14"/>
    <n v="10"/>
    <n v="1224"/>
  </r>
  <r>
    <n v="26"/>
    <x v="2"/>
    <x v="1"/>
    <s v="Travel_Rarely"/>
    <n v="390"/>
    <x v="0"/>
    <n v="17"/>
    <s v="Master"/>
    <x v="2"/>
    <s v="Very High"/>
    <x v="0"/>
    <n v="62"/>
    <s v="Low"/>
    <x v="1"/>
    <s v="Laboratory Technician"/>
    <s v="High"/>
    <s v="Married"/>
    <n v="2305"/>
    <n v="6217"/>
    <n v="1"/>
    <s v="No"/>
    <n v="15"/>
    <s v="Excellent"/>
    <s v="High"/>
    <n v="3"/>
    <n v="3"/>
    <n v="3"/>
    <s v="Best"/>
    <x v="11"/>
    <s v="0-5"/>
    <n v="2"/>
    <n v="0"/>
    <n v="2"/>
    <n v="1225"/>
  </r>
  <r>
    <n v="45"/>
    <x v="0"/>
    <x v="1"/>
    <s v="Travel_Rarely"/>
    <n v="1005"/>
    <x v="0"/>
    <n v="28"/>
    <s v="College"/>
    <x v="4"/>
    <s v="Very High"/>
    <x v="1"/>
    <n v="48"/>
    <s v="Medium"/>
    <x v="3"/>
    <s v="Research Director"/>
    <s v="Medium"/>
    <s v="Single"/>
    <n v="16704"/>
    <n v="17119"/>
    <n v="1"/>
    <s v="No"/>
    <n v="11"/>
    <s v="Excellent"/>
    <s v="High"/>
    <n v="0"/>
    <n v="21"/>
    <n v="2"/>
    <s v="Better"/>
    <x v="17"/>
    <s v="10-40"/>
    <n v="6"/>
    <n v="8"/>
    <n v="6"/>
    <n v="1226"/>
  </r>
  <r>
    <n v="32"/>
    <x v="2"/>
    <x v="1"/>
    <s v="Travel_Frequently"/>
    <n v="585"/>
    <x v="0"/>
    <n v="10"/>
    <s v="Bachelor"/>
    <x v="0"/>
    <s v="Low"/>
    <x v="0"/>
    <n v="56"/>
    <s v="High"/>
    <x v="1"/>
    <s v="Research Scientist"/>
    <s v="High"/>
    <s v="Married"/>
    <n v="3433"/>
    <n v="17360"/>
    <n v="6"/>
    <s v="No"/>
    <n v="13"/>
    <s v="Excellent"/>
    <s v="Low"/>
    <n v="1"/>
    <n v="10"/>
    <n v="3"/>
    <s v="Good"/>
    <x v="8"/>
    <s v="0-5"/>
    <n v="2"/>
    <n v="1"/>
    <n v="3"/>
    <n v="1227"/>
  </r>
  <r>
    <n v="31"/>
    <x v="2"/>
    <x v="1"/>
    <s v="Travel_Rarely"/>
    <n v="741"/>
    <x v="0"/>
    <n v="2"/>
    <s v="Master"/>
    <x v="0"/>
    <s v="Medium"/>
    <x v="0"/>
    <n v="69"/>
    <s v="High"/>
    <x v="1"/>
    <s v="Laboratory Technician"/>
    <s v="High"/>
    <s v="Married"/>
    <n v="3477"/>
    <n v="18103"/>
    <n v="1"/>
    <s v="No"/>
    <n v="14"/>
    <s v="Excellent"/>
    <s v="Very High"/>
    <n v="1"/>
    <n v="6"/>
    <n v="2"/>
    <s v="Best"/>
    <x v="8"/>
    <s v="0-5"/>
    <n v="2"/>
    <n v="0"/>
    <n v="3"/>
    <n v="1228"/>
  </r>
  <r>
    <n v="41"/>
    <x v="0"/>
    <x v="1"/>
    <s v="Non-Travel"/>
    <n v="552"/>
    <x v="2"/>
    <n v="4"/>
    <s v="Bachelor"/>
    <x v="5"/>
    <s v="High"/>
    <x v="0"/>
    <n v="60"/>
    <s v="Low"/>
    <x v="0"/>
    <s v="Human Resources"/>
    <s v="Medium"/>
    <s v="Married"/>
    <n v="6430"/>
    <n v="20794"/>
    <n v="6"/>
    <s v="No"/>
    <n v="19"/>
    <s v="Excellent"/>
    <s v="Medium"/>
    <n v="1"/>
    <n v="10"/>
    <n v="4"/>
    <s v="Better"/>
    <x v="11"/>
    <s v="0-5"/>
    <n v="2"/>
    <n v="1"/>
    <n v="2"/>
    <n v="1229"/>
  </r>
  <r>
    <n v="40"/>
    <x v="0"/>
    <x v="1"/>
    <s v="Travel_Rarely"/>
    <n v="369"/>
    <x v="0"/>
    <n v="8"/>
    <s v="College"/>
    <x v="0"/>
    <s v="Medium"/>
    <x v="1"/>
    <n v="92"/>
    <s v="High"/>
    <x v="0"/>
    <s v="Manufacturing Director"/>
    <s v="Low"/>
    <s v="Married"/>
    <n v="6516"/>
    <n v="5041"/>
    <n v="2"/>
    <s v="Yes"/>
    <n v="16"/>
    <s v="Excellent"/>
    <s v="Medium"/>
    <n v="1"/>
    <n v="18"/>
    <n v="3"/>
    <s v="Better"/>
    <x v="6"/>
    <s v="0-5"/>
    <n v="0"/>
    <n v="0"/>
    <n v="0"/>
    <n v="1230"/>
  </r>
  <r>
    <n v="24"/>
    <x v="4"/>
    <x v="1"/>
    <s v="Travel_Rarely"/>
    <n v="506"/>
    <x v="0"/>
    <n v="29"/>
    <s v="Below College"/>
    <x v="2"/>
    <s v="Medium"/>
    <x v="0"/>
    <n v="91"/>
    <s v="High"/>
    <x v="1"/>
    <s v="Laboratory Technician"/>
    <s v="Low"/>
    <s v="Divorced"/>
    <n v="3907"/>
    <n v="3622"/>
    <n v="1"/>
    <s v="No"/>
    <n v="13"/>
    <s v="Excellent"/>
    <s v="Medium"/>
    <n v="3"/>
    <n v="6"/>
    <n v="2"/>
    <s v="Best"/>
    <x v="0"/>
    <s v="5-10"/>
    <n v="2"/>
    <n v="1"/>
    <n v="2"/>
    <n v="1231"/>
  </r>
  <r>
    <n v="46"/>
    <x v="1"/>
    <x v="1"/>
    <s v="Travel_Rarely"/>
    <n v="717"/>
    <x v="0"/>
    <n v="13"/>
    <s v="Master"/>
    <x v="0"/>
    <s v="High"/>
    <x v="0"/>
    <n v="34"/>
    <s v="High"/>
    <x v="0"/>
    <s v="Healthcare Representative"/>
    <s v="Medium"/>
    <s v="Single"/>
    <n v="5562"/>
    <n v="9697"/>
    <n v="6"/>
    <s v="No"/>
    <n v="14"/>
    <s v="Excellent"/>
    <s v="Very High"/>
    <n v="0"/>
    <n v="19"/>
    <n v="3"/>
    <s v="Better"/>
    <x v="1"/>
    <s v="5-10"/>
    <n v="7"/>
    <n v="0"/>
    <n v="9"/>
    <n v="1232"/>
  </r>
  <r>
    <n v="35"/>
    <x v="2"/>
    <x v="1"/>
    <s v="Travel_Rarely"/>
    <n v="1370"/>
    <x v="0"/>
    <n v="27"/>
    <s v="Master"/>
    <x v="0"/>
    <s v="Very High"/>
    <x v="0"/>
    <n v="49"/>
    <s v="High"/>
    <x v="0"/>
    <s v="Manufacturing Director"/>
    <s v="High"/>
    <s v="Married"/>
    <n v="6883"/>
    <n v="5151"/>
    <n v="2"/>
    <s v="No"/>
    <n v="16"/>
    <s v="Excellent"/>
    <s v="Medium"/>
    <n v="1"/>
    <n v="17"/>
    <n v="3"/>
    <s v="Better"/>
    <x v="5"/>
    <s v="5-10"/>
    <n v="7"/>
    <n v="0"/>
    <n v="7"/>
    <n v="1233"/>
  </r>
  <r>
    <n v="30"/>
    <x v="2"/>
    <x v="1"/>
    <s v="Travel_Rarely"/>
    <n v="793"/>
    <x v="0"/>
    <n v="16"/>
    <s v="Below College"/>
    <x v="0"/>
    <s v="Medium"/>
    <x v="0"/>
    <n v="33"/>
    <s v="High"/>
    <x v="1"/>
    <s v="Research Scientist"/>
    <s v="Very High"/>
    <s v="Married"/>
    <n v="2862"/>
    <n v="3811"/>
    <n v="1"/>
    <s v="No"/>
    <n v="12"/>
    <s v="Excellent"/>
    <s v="Medium"/>
    <n v="1"/>
    <n v="10"/>
    <n v="2"/>
    <s v="Good"/>
    <x v="1"/>
    <s v="5-10"/>
    <n v="0"/>
    <n v="0"/>
    <n v="8"/>
    <n v="1234"/>
  </r>
  <r>
    <n v="47"/>
    <x v="1"/>
    <x v="1"/>
    <s v="Non-Travel"/>
    <n v="543"/>
    <x v="1"/>
    <n v="2"/>
    <s v="Master"/>
    <x v="3"/>
    <s v="High"/>
    <x v="0"/>
    <n v="87"/>
    <s v="High"/>
    <x v="0"/>
    <s v="Sales Executive"/>
    <s v="Medium"/>
    <s v="Married"/>
    <n v="4978"/>
    <n v="3536"/>
    <n v="7"/>
    <s v="No"/>
    <n v="11"/>
    <s v="Excellent"/>
    <s v="Very High"/>
    <n v="1"/>
    <n v="4"/>
    <n v="3"/>
    <s v="Bad"/>
    <x v="6"/>
    <s v="0-5"/>
    <n v="0"/>
    <n v="0"/>
    <n v="0"/>
    <n v="1235"/>
  </r>
  <r>
    <n v="46"/>
    <x v="1"/>
    <x v="1"/>
    <s v="Travel_Rarely"/>
    <n v="1277"/>
    <x v="1"/>
    <n v="2"/>
    <s v="Bachelor"/>
    <x v="0"/>
    <s v="High"/>
    <x v="0"/>
    <n v="74"/>
    <s v="High"/>
    <x v="2"/>
    <s v="Sales Executive"/>
    <s v="Very High"/>
    <s v="Divorced"/>
    <n v="10368"/>
    <n v="5596"/>
    <n v="4"/>
    <s v="Yes"/>
    <n v="12"/>
    <s v="Excellent"/>
    <s v="Medium"/>
    <n v="1"/>
    <n v="13"/>
    <n v="5"/>
    <s v="Good"/>
    <x v="1"/>
    <s v="5-10"/>
    <n v="6"/>
    <n v="0"/>
    <n v="3"/>
    <n v="1236"/>
  </r>
  <r>
    <n v="36"/>
    <x v="0"/>
    <x v="0"/>
    <s v="Travel_Rarely"/>
    <n v="1456"/>
    <x v="1"/>
    <n v="13"/>
    <s v="Doctor"/>
    <x v="3"/>
    <s v="Medium"/>
    <x v="0"/>
    <n v="96"/>
    <s v="Medium"/>
    <x v="0"/>
    <s v="Sales Executive"/>
    <s v="Low"/>
    <s v="Divorced"/>
    <n v="6134"/>
    <n v="8658"/>
    <n v="5"/>
    <s v="Yes"/>
    <n v="13"/>
    <s v="Excellent"/>
    <s v="Medium"/>
    <n v="3"/>
    <n v="16"/>
    <n v="3"/>
    <s v="Better"/>
    <x v="4"/>
    <s v="0-5"/>
    <n v="2"/>
    <n v="2"/>
    <n v="2"/>
    <n v="1237"/>
  </r>
  <r>
    <n v="32"/>
    <x v="2"/>
    <x v="0"/>
    <s v="Travel_Rarely"/>
    <n v="964"/>
    <x v="1"/>
    <n v="1"/>
    <s v="College"/>
    <x v="0"/>
    <s v="Low"/>
    <x v="0"/>
    <n v="34"/>
    <s v="Low"/>
    <x v="0"/>
    <s v="Sales Executive"/>
    <s v="Medium"/>
    <s v="Single"/>
    <n v="6735"/>
    <n v="12147"/>
    <n v="6"/>
    <s v="No"/>
    <n v="15"/>
    <s v="Excellent"/>
    <s v="Medium"/>
    <n v="0"/>
    <n v="10"/>
    <n v="2"/>
    <s v="Better"/>
    <x v="2"/>
    <s v="0-5"/>
    <n v="0"/>
    <n v="0"/>
    <n v="0"/>
    <n v="1238"/>
  </r>
  <r>
    <n v="23"/>
    <x v="4"/>
    <x v="1"/>
    <s v="Travel_Rarely"/>
    <n v="160"/>
    <x v="0"/>
    <n v="4"/>
    <s v="Below College"/>
    <x v="2"/>
    <s v="High"/>
    <x v="1"/>
    <n v="51"/>
    <s v="High"/>
    <x v="1"/>
    <s v="Laboratory Technician"/>
    <s v="Medium"/>
    <s v="Single"/>
    <n v="3295"/>
    <n v="12862"/>
    <n v="1"/>
    <s v="No"/>
    <n v="13"/>
    <s v="Excellent"/>
    <s v="High"/>
    <n v="0"/>
    <n v="3"/>
    <n v="3"/>
    <s v="Bad"/>
    <x v="11"/>
    <s v="0-5"/>
    <n v="2"/>
    <n v="1"/>
    <n v="2"/>
    <n v="1239"/>
  </r>
  <r>
    <n v="31"/>
    <x v="2"/>
    <x v="1"/>
    <s v="Travel_Frequently"/>
    <n v="163"/>
    <x v="0"/>
    <n v="24"/>
    <s v="Below College"/>
    <x v="4"/>
    <s v="Very High"/>
    <x v="1"/>
    <n v="30"/>
    <s v="High"/>
    <x v="0"/>
    <s v="Manufacturing Director"/>
    <s v="Very High"/>
    <s v="Single"/>
    <n v="5238"/>
    <n v="6670"/>
    <n v="2"/>
    <s v="No"/>
    <n v="20"/>
    <s v="Outstanding"/>
    <s v="Very High"/>
    <n v="0"/>
    <n v="9"/>
    <n v="3"/>
    <s v="Good"/>
    <x v="8"/>
    <s v="0-5"/>
    <n v="4"/>
    <n v="1"/>
    <n v="4"/>
    <n v="1240"/>
  </r>
  <r>
    <n v="39"/>
    <x v="0"/>
    <x v="1"/>
    <s v="Non-Travel"/>
    <n v="792"/>
    <x v="0"/>
    <n v="1"/>
    <s v="Bachelor"/>
    <x v="0"/>
    <s v="Very High"/>
    <x v="0"/>
    <n v="77"/>
    <s v="High"/>
    <x v="0"/>
    <s v="Laboratory Technician"/>
    <s v="Very High"/>
    <s v="Married"/>
    <n v="6472"/>
    <n v="8989"/>
    <n v="1"/>
    <s v="Yes"/>
    <n v="15"/>
    <s v="Excellent"/>
    <s v="Very High"/>
    <n v="1"/>
    <n v="9"/>
    <n v="2"/>
    <s v="Better"/>
    <x v="7"/>
    <s v="5-10"/>
    <n v="8"/>
    <n v="5"/>
    <n v="8"/>
    <n v="1241"/>
  </r>
  <r>
    <n v="32"/>
    <x v="2"/>
    <x v="1"/>
    <s v="Travel_Rarely"/>
    <n v="371"/>
    <x v="1"/>
    <n v="19"/>
    <s v="Bachelor"/>
    <x v="0"/>
    <s v="Very High"/>
    <x v="0"/>
    <n v="80"/>
    <s v="Low"/>
    <x v="2"/>
    <s v="Sales Executive"/>
    <s v="High"/>
    <s v="Married"/>
    <n v="9610"/>
    <n v="3840"/>
    <n v="3"/>
    <s v="No"/>
    <n v="13"/>
    <s v="Excellent"/>
    <s v="High"/>
    <n v="1"/>
    <n v="10"/>
    <n v="2"/>
    <s v="Bad"/>
    <x v="9"/>
    <s v="0-5"/>
    <n v="3"/>
    <n v="0"/>
    <n v="2"/>
    <n v="1242"/>
  </r>
  <r>
    <n v="40"/>
    <x v="0"/>
    <x v="1"/>
    <s v="Travel_Rarely"/>
    <n v="611"/>
    <x v="1"/>
    <n v="7"/>
    <s v="Master"/>
    <x v="2"/>
    <s v="Medium"/>
    <x v="0"/>
    <n v="88"/>
    <s v="High"/>
    <x v="4"/>
    <s v="Manager"/>
    <s v="Medium"/>
    <s v="Single"/>
    <n v="19833"/>
    <n v="4349"/>
    <n v="1"/>
    <s v="No"/>
    <n v="14"/>
    <s v="Excellent"/>
    <s v="Medium"/>
    <n v="0"/>
    <n v="21"/>
    <n v="3"/>
    <s v="Good"/>
    <x v="17"/>
    <s v="10-40"/>
    <n v="8"/>
    <n v="12"/>
    <n v="8"/>
    <n v="1243"/>
  </r>
  <r>
    <n v="45"/>
    <x v="0"/>
    <x v="1"/>
    <s v="Travel_Rarely"/>
    <n v="176"/>
    <x v="2"/>
    <n v="4"/>
    <s v="Bachelor"/>
    <x v="0"/>
    <s v="High"/>
    <x v="1"/>
    <n v="56"/>
    <s v="Low"/>
    <x v="2"/>
    <s v="Human Resources"/>
    <s v="High"/>
    <s v="Married"/>
    <n v="9756"/>
    <n v="6595"/>
    <n v="4"/>
    <s v="No"/>
    <n v="21"/>
    <s v="Outstanding"/>
    <s v="High"/>
    <n v="2"/>
    <n v="9"/>
    <n v="2"/>
    <s v="Best"/>
    <x v="8"/>
    <s v="0-5"/>
    <n v="0"/>
    <n v="0"/>
    <n v="3"/>
    <n v="1244"/>
  </r>
  <r>
    <n v="30"/>
    <x v="2"/>
    <x v="1"/>
    <s v="Travel_Frequently"/>
    <n v="1312"/>
    <x v="0"/>
    <n v="2"/>
    <s v="Master"/>
    <x v="4"/>
    <s v="Very High"/>
    <x v="1"/>
    <n v="78"/>
    <s v="Medium"/>
    <x v="1"/>
    <s v="Research Scientist"/>
    <s v="Low"/>
    <s v="Single"/>
    <n v="4968"/>
    <n v="26427"/>
    <n v="0"/>
    <s v="No"/>
    <n v="16"/>
    <s v="Excellent"/>
    <s v="Very High"/>
    <n v="0"/>
    <n v="10"/>
    <n v="2"/>
    <s v="Better"/>
    <x v="7"/>
    <s v="5-10"/>
    <n v="7"/>
    <n v="0"/>
    <n v="7"/>
    <n v="1245"/>
  </r>
  <r>
    <n v="24"/>
    <x v="4"/>
    <x v="1"/>
    <s v="Travel_Frequently"/>
    <n v="897"/>
    <x v="2"/>
    <n v="10"/>
    <s v="Bachelor"/>
    <x v="2"/>
    <s v="Low"/>
    <x v="0"/>
    <n v="59"/>
    <s v="High"/>
    <x v="1"/>
    <s v="Human Resources"/>
    <s v="Very High"/>
    <s v="Married"/>
    <n v="2145"/>
    <n v="2097"/>
    <n v="0"/>
    <s v="No"/>
    <n v="14"/>
    <s v="Excellent"/>
    <s v="Very High"/>
    <n v="1"/>
    <n v="3"/>
    <n v="2"/>
    <s v="Better"/>
    <x v="4"/>
    <s v="0-5"/>
    <n v="2"/>
    <n v="2"/>
    <n v="1"/>
    <n v="1246"/>
  </r>
  <r>
    <n v="30"/>
    <x v="2"/>
    <x v="0"/>
    <s v="Travel_Frequently"/>
    <n v="600"/>
    <x v="2"/>
    <n v="8"/>
    <s v="Bachelor"/>
    <x v="5"/>
    <s v="High"/>
    <x v="1"/>
    <n v="66"/>
    <s v="Medium"/>
    <x v="1"/>
    <s v="Human Resources"/>
    <s v="Very High"/>
    <s v="Divorced"/>
    <n v="2180"/>
    <n v="9732"/>
    <n v="6"/>
    <s v="No"/>
    <n v="11"/>
    <s v="Excellent"/>
    <s v="High"/>
    <n v="1"/>
    <n v="6"/>
    <n v="0"/>
    <s v="Good"/>
    <x v="9"/>
    <s v="0-5"/>
    <n v="2"/>
    <n v="1"/>
    <n v="2"/>
    <n v="1247"/>
  </r>
  <r>
    <n v="31"/>
    <x v="2"/>
    <x v="1"/>
    <s v="Travel_Rarely"/>
    <n v="1003"/>
    <x v="1"/>
    <n v="5"/>
    <s v="Bachelor"/>
    <x v="4"/>
    <s v="Low"/>
    <x v="0"/>
    <n v="51"/>
    <s v="High"/>
    <x v="0"/>
    <s v="Sales Executive"/>
    <s v="High"/>
    <s v="Married"/>
    <n v="8346"/>
    <n v="20943"/>
    <n v="1"/>
    <s v="No"/>
    <n v="19"/>
    <s v="Excellent"/>
    <s v="High"/>
    <n v="1"/>
    <n v="6"/>
    <n v="3"/>
    <s v="Better"/>
    <x v="8"/>
    <s v="0-5"/>
    <n v="2"/>
    <n v="0"/>
    <n v="2"/>
    <n v="1248"/>
  </r>
  <r>
    <n v="27"/>
    <x v="2"/>
    <x v="1"/>
    <s v="Travel_Rarely"/>
    <n v="1054"/>
    <x v="0"/>
    <n v="8"/>
    <s v="Bachelor"/>
    <x v="2"/>
    <s v="High"/>
    <x v="1"/>
    <n v="67"/>
    <s v="High"/>
    <x v="1"/>
    <s v="Research Scientist"/>
    <s v="Very High"/>
    <s v="Single"/>
    <n v="3445"/>
    <n v="6152"/>
    <n v="1"/>
    <s v="No"/>
    <n v="11"/>
    <s v="Excellent"/>
    <s v="High"/>
    <n v="0"/>
    <n v="6"/>
    <n v="5"/>
    <s v="Good"/>
    <x v="0"/>
    <s v="5-10"/>
    <n v="2"/>
    <n v="1"/>
    <n v="4"/>
    <n v="1249"/>
  </r>
  <r>
    <n v="29"/>
    <x v="2"/>
    <x v="0"/>
    <s v="Travel_Rarely"/>
    <n v="428"/>
    <x v="1"/>
    <n v="9"/>
    <s v="Bachelor"/>
    <x v="3"/>
    <s v="Medium"/>
    <x v="1"/>
    <n v="52"/>
    <s v="Low"/>
    <x v="1"/>
    <s v="Sales Representative"/>
    <s v="Medium"/>
    <s v="Single"/>
    <n v="2760"/>
    <n v="14630"/>
    <n v="1"/>
    <s v="No"/>
    <n v="13"/>
    <s v="Excellent"/>
    <s v="High"/>
    <n v="0"/>
    <n v="2"/>
    <n v="3"/>
    <s v="Better"/>
    <x v="4"/>
    <s v="0-5"/>
    <n v="2"/>
    <n v="2"/>
    <n v="2"/>
    <n v="1250"/>
  </r>
  <r>
    <n v="29"/>
    <x v="2"/>
    <x v="1"/>
    <s v="Travel_Frequently"/>
    <n v="461"/>
    <x v="0"/>
    <n v="1"/>
    <s v="Bachelor"/>
    <x v="0"/>
    <s v="Very High"/>
    <x v="0"/>
    <n v="70"/>
    <s v="Very High"/>
    <x v="0"/>
    <s v="Healthcare Representative"/>
    <s v="High"/>
    <s v="Single"/>
    <n v="6294"/>
    <n v="23060"/>
    <n v="8"/>
    <s v="Yes"/>
    <n v="12"/>
    <s v="Excellent"/>
    <s v="Very High"/>
    <n v="0"/>
    <n v="10"/>
    <n v="5"/>
    <s v="Best"/>
    <x v="11"/>
    <s v="0-5"/>
    <n v="2"/>
    <n v="0"/>
    <n v="2"/>
    <n v="1251"/>
  </r>
  <r>
    <n v="30"/>
    <x v="2"/>
    <x v="1"/>
    <s v="Travel_Rarely"/>
    <n v="979"/>
    <x v="1"/>
    <n v="15"/>
    <s v="College"/>
    <x v="3"/>
    <s v="High"/>
    <x v="0"/>
    <n v="94"/>
    <s v="Medium"/>
    <x v="2"/>
    <s v="Sales Executive"/>
    <s v="Low"/>
    <s v="Divorced"/>
    <n v="7140"/>
    <n v="3088"/>
    <n v="2"/>
    <s v="No"/>
    <n v="11"/>
    <s v="Excellent"/>
    <s v="Low"/>
    <n v="1"/>
    <n v="12"/>
    <n v="2"/>
    <s v="Better"/>
    <x v="5"/>
    <s v="5-10"/>
    <n v="7"/>
    <n v="1"/>
    <n v="7"/>
    <n v="1252"/>
  </r>
  <r>
    <n v="34"/>
    <x v="2"/>
    <x v="1"/>
    <s v="Travel_Rarely"/>
    <n v="181"/>
    <x v="0"/>
    <n v="2"/>
    <s v="Master"/>
    <x v="2"/>
    <s v="Very High"/>
    <x v="0"/>
    <n v="97"/>
    <s v="Very High"/>
    <x v="1"/>
    <s v="Research Scientist"/>
    <s v="Very High"/>
    <s v="Married"/>
    <n v="2932"/>
    <n v="5586"/>
    <n v="0"/>
    <s v="Yes"/>
    <n v="14"/>
    <s v="Excellent"/>
    <s v="Low"/>
    <n v="3"/>
    <n v="6"/>
    <n v="3"/>
    <s v="Better"/>
    <x v="8"/>
    <s v="0-5"/>
    <n v="0"/>
    <n v="1"/>
    <n v="2"/>
    <n v="1253"/>
  </r>
  <r>
    <n v="33"/>
    <x v="2"/>
    <x v="1"/>
    <s v="Non-Travel"/>
    <n v="1283"/>
    <x v="1"/>
    <n v="2"/>
    <s v="Bachelor"/>
    <x v="3"/>
    <s v="Very High"/>
    <x v="1"/>
    <n v="62"/>
    <s v="High"/>
    <x v="0"/>
    <s v="Sales Executive"/>
    <s v="Medium"/>
    <s v="Single"/>
    <n v="5147"/>
    <n v="10697"/>
    <n v="8"/>
    <s v="No"/>
    <n v="15"/>
    <s v="Excellent"/>
    <s v="Very High"/>
    <n v="0"/>
    <n v="13"/>
    <n v="2"/>
    <s v="Good"/>
    <x v="19"/>
    <s v="10-40"/>
    <n v="7"/>
    <n v="1"/>
    <n v="7"/>
    <n v="1254"/>
  </r>
  <r>
    <n v="49"/>
    <x v="1"/>
    <x v="1"/>
    <s v="Travel_Rarely"/>
    <n v="1313"/>
    <x v="1"/>
    <n v="11"/>
    <s v="Master"/>
    <x v="3"/>
    <s v="Very High"/>
    <x v="1"/>
    <n v="80"/>
    <s v="High"/>
    <x v="0"/>
    <s v="Sales Executive"/>
    <s v="Very High"/>
    <s v="Single"/>
    <n v="4507"/>
    <n v="8191"/>
    <n v="3"/>
    <s v="No"/>
    <n v="12"/>
    <s v="Excellent"/>
    <s v="High"/>
    <n v="0"/>
    <n v="8"/>
    <n v="1"/>
    <s v="Best"/>
    <x v="8"/>
    <s v="0-5"/>
    <n v="1"/>
    <n v="0"/>
    <n v="4"/>
    <n v="1255"/>
  </r>
  <r>
    <n v="33"/>
    <x v="2"/>
    <x v="0"/>
    <s v="Travel_Rarely"/>
    <n v="211"/>
    <x v="1"/>
    <n v="16"/>
    <s v="Bachelor"/>
    <x v="0"/>
    <s v="Low"/>
    <x v="1"/>
    <n v="74"/>
    <s v="High"/>
    <x v="2"/>
    <s v="Sales Executive"/>
    <s v="Low"/>
    <s v="Single"/>
    <n v="8564"/>
    <n v="10092"/>
    <n v="2"/>
    <s v="Yes"/>
    <n v="20"/>
    <s v="Outstanding"/>
    <s v="High"/>
    <n v="0"/>
    <n v="11"/>
    <n v="2"/>
    <s v="Good"/>
    <x v="2"/>
    <s v="0-5"/>
    <n v="0"/>
    <n v="0"/>
    <n v="0"/>
    <n v="1256"/>
  </r>
  <r>
    <n v="38"/>
    <x v="0"/>
    <x v="1"/>
    <s v="Travel_Frequently"/>
    <n v="594"/>
    <x v="0"/>
    <n v="2"/>
    <s v="College"/>
    <x v="2"/>
    <s v="High"/>
    <x v="1"/>
    <n v="75"/>
    <s v="Medium"/>
    <x v="1"/>
    <s v="Laboratory Technician"/>
    <s v="Medium"/>
    <s v="Married"/>
    <n v="2468"/>
    <n v="15963"/>
    <n v="4"/>
    <s v="No"/>
    <n v="14"/>
    <s v="Excellent"/>
    <s v="Medium"/>
    <n v="1"/>
    <n v="9"/>
    <n v="4"/>
    <s v="Good"/>
    <x v="0"/>
    <s v="5-10"/>
    <n v="1"/>
    <n v="0"/>
    <n v="5"/>
    <n v="1257"/>
  </r>
  <r>
    <n v="31"/>
    <x v="2"/>
    <x v="0"/>
    <s v="Travel_Rarely"/>
    <n v="1079"/>
    <x v="1"/>
    <n v="16"/>
    <s v="Master"/>
    <x v="3"/>
    <s v="Low"/>
    <x v="0"/>
    <n v="70"/>
    <s v="High"/>
    <x v="2"/>
    <s v="Sales Executive"/>
    <s v="High"/>
    <s v="Married"/>
    <n v="8161"/>
    <n v="19002"/>
    <n v="2"/>
    <s v="No"/>
    <n v="13"/>
    <s v="Excellent"/>
    <s v="Low"/>
    <n v="3"/>
    <n v="10"/>
    <n v="2"/>
    <s v="Better"/>
    <x v="6"/>
    <s v="0-5"/>
    <n v="0"/>
    <n v="0"/>
    <n v="0"/>
    <n v="1258"/>
  </r>
  <r>
    <n v="29"/>
    <x v="2"/>
    <x v="1"/>
    <s v="Travel_Rarely"/>
    <n v="590"/>
    <x v="0"/>
    <n v="4"/>
    <s v="Bachelor"/>
    <x v="4"/>
    <s v="Very High"/>
    <x v="1"/>
    <n v="91"/>
    <s v="Medium"/>
    <x v="1"/>
    <s v="Research Scientist"/>
    <s v="Low"/>
    <s v="Divorced"/>
    <n v="2109"/>
    <n v="10007"/>
    <n v="1"/>
    <s v="No"/>
    <n v="13"/>
    <s v="Excellent"/>
    <s v="High"/>
    <n v="1"/>
    <n v="1"/>
    <n v="2"/>
    <s v="Better"/>
    <x v="6"/>
    <s v="0-5"/>
    <n v="0"/>
    <n v="0"/>
    <n v="0"/>
    <n v="1259"/>
  </r>
  <r>
    <n v="30"/>
    <x v="2"/>
    <x v="1"/>
    <s v="Travel_Rarely"/>
    <n v="305"/>
    <x v="0"/>
    <n v="16"/>
    <s v="Bachelor"/>
    <x v="0"/>
    <s v="High"/>
    <x v="0"/>
    <n v="58"/>
    <s v="Very High"/>
    <x v="0"/>
    <s v="Healthcare Representative"/>
    <s v="High"/>
    <s v="Married"/>
    <n v="5294"/>
    <n v="9128"/>
    <n v="3"/>
    <s v="No"/>
    <n v="16"/>
    <s v="Excellent"/>
    <s v="High"/>
    <n v="1"/>
    <n v="10"/>
    <n v="3"/>
    <s v="Better"/>
    <x v="5"/>
    <s v="5-10"/>
    <n v="0"/>
    <n v="1"/>
    <n v="7"/>
    <n v="1260"/>
  </r>
  <r>
    <n v="32"/>
    <x v="2"/>
    <x v="1"/>
    <s v="Non-Travel"/>
    <n v="953"/>
    <x v="0"/>
    <n v="5"/>
    <s v="Master"/>
    <x v="4"/>
    <s v="Medium"/>
    <x v="0"/>
    <n v="65"/>
    <s v="High"/>
    <x v="1"/>
    <s v="Research Scientist"/>
    <s v="Medium"/>
    <s v="Single"/>
    <n v="2718"/>
    <n v="17674"/>
    <n v="2"/>
    <s v="No"/>
    <n v="14"/>
    <s v="Excellent"/>
    <s v="Medium"/>
    <n v="0"/>
    <n v="12"/>
    <n v="3"/>
    <s v="Better"/>
    <x v="5"/>
    <s v="5-10"/>
    <n v="7"/>
    <n v="0"/>
    <n v="7"/>
    <n v="1261"/>
  </r>
  <r>
    <n v="38"/>
    <x v="0"/>
    <x v="1"/>
    <s v="Travel_Rarely"/>
    <n v="833"/>
    <x v="0"/>
    <n v="18"/>
    <s v="Bachelor"/>
    <x v="2"/>
    <s v="Medium"/>
    <x v="0"/>
    <n v="60"/>
    <s v="Low"/>
    <x v="0"/>
    <s v="Healthcare Representative"/>
    <s v="Very High"/>
    <s v="Married"/>
    <n v="5811"/>
    <n v="24539"/>
    <n v="3"/>
    <s v="Yes"/>
    <n v="16"/>
    <s v="Excellent"/>
    <s v="High"/>
    <n v="1"/>
    <n v="15"/>
    <n v="2"/>
    <s v="Better"/>
    <x v="6"/>
    <s v="0-5"/>
    <n v="0"/>
    <n v="1"/>
    <n v="0"/>
    <n v="1262"/>
  </r>
  <r>
    <n v="43"/>
    <x v="0"/>
    <x v="0"/>
    <s v="Travel_Frequently"/>
    <n v="807"/>
    <x v="0"/>
    <n v="17"/>
    <s v="Bachelor"/>
    <x v="4"/>
    <s v="High"/>
    <x v="0"/>
    <n v="38"/>
    <s v="Medium"/>
    <x v="1"/>
    <s v="Research Scientist"/>
    <s v="High"/>
    <s v="Married"/>
    <n v="2437"/>
    <n v="15587"/>
    <n v="9"/>
    <s v="Yes"/>
    <n v="16"/>
    <s v="Excellent"/>
    <s v="Very High"/>
    <n v="1"/>
    <n v="6"/>
    <n v="4"/>
    <s v="Better"/>
    <x v="6"/>
    <s v="0-5"/>
    <n v="0"/>
    <n v="0"/>
    <n v="0"/>
    <n v="1263"/>
  </r>
  <r>
    <n v="42"/>
    <x v="0"/>
    <x v="1"/>
    <s v="Travel_Rarely"/>
    <n v="855"/>
    <x v="0"/>
    <n v="12"/>
    <s v="Bachelor"/>
    <x v="2"/>
    <s v="Medium"/>
    <x v="0"/>
    <n v="57"/>
    <s v="High"/>
    <x v="1"/>
    <s v="Laboratory Technician"/>
    <s v="Medium"/>
    <s v="Divorced"/>
    <n v="2766"/>
    <n v="8952"/>
    <n v="8"/>
    <s v="No"/>
    <n v="22"/>
    <s v="Outstanding"/>
    <s v="Medium"/>
    <n v="3"/>
    <n v="7"/>
    <n v="6"/>
    <s v="Good"/>
    <x v="8"/>
    <s v="0-5"/>
    <n v="3"/>
    <n v="0"/>
    <n v="4"/>
    <n v="1264"/>
  </r>
  <r>
    <n v="55"/>
    <x v="1"/>
    <x v="1"/>
    <s v="Travel_Rarely"/>
    <n v="478"/>
    <x v="0"/>
    <n v="2"/>
    <s v="Bachelor"/>
    <x v="2"/>
    <s v="High"/>
    <x v="0"/>
    <n v="60"/>
    <s v="Medium"/>
    <x v="4"/>
    <s v="Research Director"/>
    <s v="Low"/>
    <s v="Married"/>
    <n v="19038"/>
    <n v="19805"/>
    <n v="8"/>
    <s v="No"/>
    <n v="12"/>
    <s v="Excellent"/>
    <s v="Medium"/>
    <n v="3"/>
    <n v="34"/>
    <n v="2"/>
    <s v="Better"/>
    <x v="6"/>
    <s v="0-5"/>
    <n v="0"/>
    <n v="0"/>
    <n v="0"/>
    <n v="1265"/>
  </r>
  <r>
    <n v="33"/>
    <x v="2"/>
    <x v="1"/>
    <s v="Non-Travel"/>
    <n v="775"/>
    <x v="0"/>
    <n v="4"/>
    <s v="Bachelor"/>
    <x v="4"/>
    <s v="Very High"/>
    <x v="0"/>
    <n v="90"/>
    <s v="High"/>
    <x v="0"/>
    <s v="Research Scientist"/>
    <s v="Medium"/>
    <s v="Divorced"/>
    <n v="3055"/>
    <n v="6194"/>
    <n v="5"/>
    <s v="No"/>
    <n v="15"/>
    <s v="Excellent"/>
    <s v="Very High"/>
    <n v="2"/>
    <n v="11"/>
    <n v="2"/>
    <s v="Good"/>
    <x v="7"/>
    <s v="5-10"/>
    <n v="8"/>
    <n v="1"/>
    <n v="7"/>
    <n v="1266"/>
  </r>
  <r>
    <n v="41"/>
    <x v="0"/>
    <x v="1"/>
    <s v="Travel_Rarely"/>
    <n v="548"/>
    <x v="0"/>
    <n v="9"/>
    <s v="Master"/>
    <x v="0"/>
    <s v="High"/>
    <x v="0"/>
    <n v="94"/>
    <s v="High"/>
    <x v="1"/>
    <s v="Laboratory Technician"/>
    <s v="Low"/>
    <s v="Divorced"/>
    <n v="2289"/>
    <n v="20520"/>
    <n v="1"/>
    <s v="No"/>
    <n v="20"/>
    <s v="Outstanding"/>
    <s v="Medium"/>
    <n v="2"/>
    <n v="5"/>
    <n v="2"/>
    <s v="Better"/>
    <x v="8"/>
    <s v="0-5"/>
    <n v="3"/>
    <n v="0"/>
    <n v="4"/>
    <n v="1267"/>
  </r>
  <r>
    <n v="34"/>
    <x v="2"/>
    <x v="1"/>
    <s v="Non-Travel"/>
    <n v="1375"/>
    <x v="1"/>
    <n v="10"/>
    <s v="Bachelor"/>
    <x v="0"/>
    <s v="Very High"/>
    <x v="0"/>
    <n v="87"/>
    <s v="High"/>
    <x v="0"/>
    <s v="Sales Executive"/>
    <s v="High"/>
    <s v="Divorced"/>
    <n v="4001"/>
    <n v="12313"/>
    <n v="1"/>
    <s v="Yes"/>
    <n v="14"/>
    <s v="Excellent"/>
    <s v="High"/>
    <n v="1"/>
    <n v="15"/>
    <n v="3"/>
    <s v="Better"/>
    <x v="15"/>
    <s v="10-40"/>
    <n v="14"/>
    <n v="0"/>
    <n v="7"/>
    <n v="1268"/>
  </r>
  <r>
    <n v="53"/>
    <x v="1"/>
    <x v="1"/>
    <s v="Non-Travel"/>
    <n v="661"/>
    <x v="0"/>
    <n v="1"/>
    <s v="Master"/>
    <x v="2"/>
    <s v="Low"/>
    <x v="1"/>
    <n v="60"/>
    <s v="Medium"/>
    <x v="3"/>
    <s v="Manufacturing Director"/>
    <s v="High"/>
    <s v="Married"/>
    <n v="12965"/>
    <n v="22308"/>
    <n v="4"/>
    <s v="Yes"/>
    <n v="20"/>
    <s v="Outstanding"/>
    <s v="Very High"/>
    <n v="3"/>
    <n v="27"/>
    <n v="2"/>
    <s v="Good"/>
    <x v="11"/>
    <s v="0-5"/>
    <n v="2"/>
    <n v="0"/>
    <n v="2"/>
    <n v="1269"/>
  </r>
  <r>
    <n v="43"/>
    <x v="0"/>
    <x v="1"/>
    <s v="Travel_Rarely"/>
    <n v="244"/>
    <x v="2"/>
    <n v="2"/>
    <s v="Bachelor"/>
    <x v="0"/>
    <s v="Medium"/>
    <x v="0"/>
    <n v="97"/>
    <s v="High"/>
    <x v="1"/>
    <s v="Human Resources"/>
    <s v="Very High"/>
    <s v="Single"/>
    <n v="3539"/>
    <n v="5033"/>
    <n v="0"/>
    <s v="No"/>
    <n v="13"/>
    <s v="Excellent"/>
    <s v="Medium"/>
    <n v="0"/>
    <n v="10"/>
    <n v="5"/>
    <s v="Better"/>
    <x v="7"/>
    <s v="5-10"/>
    <n v="7"/>
    <n v="1"/>
    <n v="8"/>
    <n v="1270"/>
  </r>
  <r>
    <n v="34"/>
    <x v="2"/>
    <x v="1"/>
    <s v="Travel_Rarely"/>
    <n v="511"/>
    <x v="1"/>
    <n v="3"/>
    <s v="College"/>
    <x v="0"/>
    <s v="Very High"/>
    <x v="1"/>
    <n v="32"/>
    <s v="Low"/>
    <x v="0"/>
    <s v="Sales Executive"/>
    <s v="Very High"/>
    <s v="Single"/>
    <n v="6029"/>
    <n v="25353"/>
    <n v="5"/>
    <s v="No"/>
    <n v="12"/>
    <s v="Excellent"/>
    <s v="Low"/>
    <n v="0"/>
    <n v="6"/>
    <n v="3"/>
    <s v="Better"/>
    <x v="4"/>
    <s v="0-5"/>
    <n v="2"/>
    <n v="2"/>
    <n v="2"/>
    <n v="1271"/>
  </r>
  <r>
    <n v="21"/>
    <x v="4"/>
    <x v="0"/>
    <s v="Travel_Rarely"/>
    <n v="337"/>
    <x v="1"/>
    <n v="7"/>
    <s v="Below College"/>
    <x v="3"/>
    <s v="Medium"/>
    <x v="0"/>
    <n v="31"/>
    <s v="High"/>
    <x v="1"/>
    <s v="Sales Representative"/>
    <s v="Medium"/>
    <s v="Single"/>
    <n v="2679"/>
    <n v="4567"/>
    <n v="1"/>
    <s v="No"/>
    <n v="13"/>
    <s v="Excellent"/>
    <s v="Medium"/>
    <n v="0"/>
    <n v="1"/>
    <n v="3"/>
    <s v="Better"/>
    <x v="6"/>
    <s v="0-5"/>
    <n v="0"/>
    <n v="1"/>
    <n v="0"/>
    <n v="1272"/>
  </r>
  <r>
    <n v="38"/>
    <x v="0"/>
    <x v="1"/>
    <s v="Travel_Rarely"/>
    <n v="1153"/>
    <x v="0"/>
    <n v="6"/>
    <s v="College"/>
    <x v="1"/>
    <s v="Very High"/>
    <x v="1"/>
    <n v="40"/>
    <s v="Medium"/>
    <x v="1"/>
    <s v="Laboratory Technician"/>
    <s v="High"/>
    <s v="Married"/>
    <n v="3702"/>
    <n v="16376"/>
    <n v="1"/>
    <s v="No"/>
    <n v="11"/>
    <s v="Excellent"/>
    <s v="Medium"/>
    <n v="1"/>
    <n v="5"/>
    <n v="3"/>
    <s v="Better"/>
    <x v="8"/>
    <s v="0-5"/>
    <n v="4"/>
    <n v="0"/>
    <n v="4"/>
    <n v="1273"/>
  </r>
  <r>
    <n v="22"/>
    <x v="4"/>
    <x v="0"/>
    <s v="Travel_Rarely"/>
    <n v="1294"/>
    <x v="0"/>
    <n v="8"/>
    <s v="Below College"/>
    <x v="2"/>
    <s v="High"/>
    <x v="1"/>
    <n v="79"/>
    <s v="High"/>
    <x v="1"/>
    <s v="Laboratory Technician"/>
    <s v="Low"/>
    <s v="Married"/>
    <n v="2398"/>
    <n v="15999"/>
    <n v="1"/>
    <s v="Yes"/>
    <n v="17"/>
    <s v="Excellent"/>
    <s v="High"/>
    <n v="0"/>
    <n v="1"/>
    <n v="6"/>
    <s v="Better"/>
    <x v="6"/>
    <s v="0-5"/>
    <n v="0"/>
    <n v="0"/>
    <n v="0"/>
    <n v="1274"/>
  </r>
  <r>
    <n v="31"/>
    <x v="2"/>
    <x v="1"/>
    <s v="Travel_Rarely"/>
    <n v="196"/>
    <x v="1"/>
    <n v="29"/>
    <s v="Master"/>
    <x v="3"/>
    <s v="Low"/>
    <x v="1"/>
    <n v="91"/>
    <s v="Medium"/>
    <x v="0"/>
    <s v="Sales Executive"/>
    <s v="Very High"/>
    <s v="Married"/>
    <n v="5468"/>
    <n v="13402"/>
    <n v="1"/>
    <s v="No"/>
    <n v="14"/>
    <s v="Excellent"/>
    <s v="Low"/>
    <n v="2"/>
    <n v="13"/>
    <n v="3"/>
    <s v="Better"/>
    <x v="12"/>
    <s v="10-40"/>
    <n v="7"/>
    <n v="5"/>
    <n v="7"/>
    <n v="1275"/>
  </r>
  <r>
    <n v="51"/>
    <x v="1"/>
    <x v="1"/>
    <s v="Travel_Rarely"/>
    <n v="942"/>
    <x v="0"/>
    <n v="3"/>
    <s v="Bachelor"/>
    <x v="4"/>
    <s v="Low"/>
    <x v="1"/>
    <n v="53"/>
    <s v="High"/>
    <x v="2"/>
    <s v="Manager"/>
    <s v="High"/>
    <s v="Married"/>
    <n v="13116"/>
    <n v="22984"/>
    <n v="2"/>
    <s v="No"/>
    <n v="11"/>
    <s v="Excellent"/>
    <s v="Very High"/>
    <n v="0"/>
    <n v="15"/>
    <n v="2"/>
    <s v="Better"/>
    <x v="4"/>
    <s v="0-5"/>
    <n v="2"/>
    <n v="2"/>
    <n v="2"/>
    <n v="1276"/>
  </r>
  <r>
    <n v="37"/>
    <x v="0"/>
    <x v="1"/>
    <s v="Travel_Rarely"/>
    <n v="589"/>
    <x v="1"/>
    <n v="9"/>
    <s v="College"/>
    <x v="3"/>
    <s v="Medium"/>
    <x v="0"/>
    <n v="46"/>
    <s v="Medium"/>
    <x v="0"/>
    <s v="Sales Executive"/>
    <s v="Medium"/>
    <s v="Married"/>
    <n v="4189"/>
    <n v="8800"/>
    <n v="1"/>
    <s v="No"/>
    <n v="14"/>
    <s v="Excellent"/>
    <s v="Low"/>
    <n v="2"/>
    <n v="5"/>
    <n v="2"/>
    <s v="Better"/>
    <x v="8"/>
    <s v="0-5"/>
    <n v="2"/>
    <n v="0"/>
    <n v="3"/>
    <n v="1277"/>
  </r>
  <r>
    <n v="46"/>
    <x v="1"/>
    <x v="1"/>
    <s v="Travel_Rarely"/>
    <n v="734"/>
    <x v="0"/>
    <n v="2"/>
    <s v="Master"/>
    <x v="2"/>
    <s v="High"/>
    <x v="0"/>
    <n v="46"/>
    <s v="High"/>
    <x v="4"/>
    <s v="Research Director"/>
    <s v="Very High"/>
    <s v="Divorced"/>
    <n v="19328"/>
    <n v="14218"/>
    <n v="7"/>
    <s v="Yes"/>
    <n v="17"/>
    <s v="Excellent"/>
    <s v="High"/>
    <n v="1"/>
    <n v="24"/>
    <n v="3"/>
    <s v="Better"/>
    <x v="4"/>
    <s v="0-5"/>
    <n v="1"/>
    <n v="2"/>
    <n v="2"/>
    <n v="1278"/>
  </r>
  <r>
    <n v="36"/>
    <x v="0"/>
    <x v="1"/>
    <s v="Travel_Rarely"/>
    <n v="1383"/>
    <x v="0"/>
    <n v="10"/>
    <s v="Bachelor"/>
    <x v="0"/>
    <s v="Very High"/>
    <x v="0"/>
    <n v="90"/>
    <s v="High"/>
    <x v="2"/>
    <s v="Healthcare Representative"/>
    <s v="Low"/>
    <s v="Married"/>
    <n v="8321"/>
    <n v="25949"/>
    <n v="7"/>
    <s v="Yes"/>
    <n v="13"/>
    <s v="Excellent"/>
    <s v="Very High"/>
    <n v="1"/>
    <n v="15"/>
    <n v="1"/>
    <s v="Better"/>
    <x v="12"/>
    <s v="10-40"/>
    <n v="8"/>
    <n v="5"/>
    <n v="7"/>
    <n v="1279"/>
  </r>
  <r>
    <n v="44"/>
    <x v="0"/>
    <x v="0"/>
    <s v="Travel_Frequently"/>
    <n v="429"/>
    <x v="0"/>
    <n v="1"/>
    <s v="College"/>
    <x v="2"/>
    <s v="High"/>
    <x v="0"/>
    <n v="99"/>
    <s v="High"/>
    <x v="1"/>
    <s v="Research Scientist"/>
    <s v="Medium"/>
    <s v="Divorced"/>
    <n v="2342"/>
    <n v="11092"/>
    <n v="1"/>
    <s v="Yes"/>
    <n v="12"/>
    <s v="Excellent"/>
    <s v="High"/>
    <n v="3"/>
    <n v="6"/>
    <n v="2"/>
    <s v="Good"/>
    <x v="8"/>
    <s v="0-5"/>
    <n v="3"/>
    <n v="2"/>
    <n v="3"/>
    <n v="1280"/>
  </r>
  <r>
    <n v="37"/>
    <x v="0"/>
    <x v="1"/>
    <s v="Travel_Rarely"/>
    <n v="1239"/>
    <x v="2"/>
    <n v="8"/>
    <s v="College"/>
    <x v="1"/>
    <s v="High"/>
    <x v="0"/>
    <n v="89"/>
    <s v="High"/>
    <x v="0"/>
    <s v="Human Resources"/>
    <s v="Medium"/>
    <s v="Divorced"/>
    <n v="4071"/>
    <n v="12832"/>
    <n v="2"/>
    <s v="No"/>
    <n v="13"/>
    <s v="Excellent"/>
    <s v="High"/>
    <n v="0"/>
    <n v="19"/>
    <n v="4"/>
    <s v="Good"/>
    <x v="1"/>
    <s v="5-10"/>
    <n v="0"/>
    <n v="4"/>
    <n v="7"/>
    <n v="1281"/>
  </r>
  <r>
    <n v="35"/>
    <x v="2"/>
    <x v="0"/>
    <s v="Travel_Rarely"/>
    <n v="303"/>
    <x v="1"/>
    <n v="27"/>
    <s v="Bachelor"/>
    <x v="0"/>
    <s v="High"/>
    <x v="0"/>
    <n v="84"/>
    <s v="High"/>
    <x v="0"/>
    <s v="Sales Executive"/>
    <s v="Very High"/>
    <s v="Single"/>
    <n v="5813"/>
    <n v="13492"/>
    <n v="1"/>
    <s v="Yes"/>
    <n v="18"/>
    <s v="Excellent"/>
    <s v="Very High"/>
    <n v="0"/>
    <n v="10"/>
    <n v="2"/>
    <s v="Better"/>
    <x v="1"/>
    <s v="5-10"/>
    <n v="7"/>
    <n v="7"/>
    <n v="7"/>
    <n v="1282"/>
  </r>
  <r>
    <n v="33"/>
    <x v="2"/>
    <x v="1"/>
    <s v="Travel_Rarely"/>
    <n v="867"/>
    <x v="0"/>
    <n v="8"/>
    <s v="Master"/>
    <x v="0"/>
    <s v="Very High"/>
    <x v="0"/>
    <n v="90"/>
    <s v="Very High"/>
    <x v="1"/>
    <s v="Research Scientist"/>
    <s v="Low"/>
    <s v="Married"/>
    <n v="3143"/>
    <n v="6076"/>
    <n v="6"/>
    <s v="No"/>
    <n v="19"/>
    <s v="Excellent"/>
    <s v="Medium"/>
    <n v="1"/>
    <n v="14"/>
    <n v="1"/>
    <s v="Better"/>
    <x v="1"/>
    <s v="5-10"/>
    <n v="8"/>
    <n v="7"/>
    <n v="6"/>
    <n v="1283"/>
  </r>
  <r>
    <n v="28"/>
    <x v="2"/>
    <x v="1"/>
    <s v="Travel_Rarely"/>
    <n v="1181"/>
    <x v="0"/>
    <n v="1"/>
    <s v="Bachelor"/>
    <x v="0"/>
    <s v="High"/>
    <x v="0"/>
    <n v="82"/>
    <s v="High"/>
    <x v="1"/>
    <s v="Research Scientist"/>
    <s v="Very High"/>
    <s v="Married"/>
    <n v="2044"/>
    <n v="5531"/>
    <n v="1"/>
    <s v="No"/>
    <n v="11"/>
    <s v="Excellent"/>
    <s v="High"/>
    <n v="1"/>
    <n v="5"/>
    <n v="6"/>
    <s v="Best"/>
    <x v="8"/>
    <s v="0-5"/>
    <n v="3"/>
    <n v="0"/>
    <n v="3"/>
    <n v="1284"/>
  </r>
  <r>
    <n v="39"/>
    <x v="0"/>
    <x v="1"/>
    <s v="Travel_Rarely"/>
    <n v="1253"/>
    <x v="0"/>
    <n v="10"/>
    <s v="Below College"/>
    <x v="2"/>
    <s v="High"/>
    <x v="0"/>
    <n v="65"/>
    <s v="High"/>
    <x v="2"/>
    <s v="Research Director"/>
    <s v="High"/>
    <s v="Single"/>
    <n v="13464"/>
    <n v="7914"/>
    <n v="7"/>
    <s v="No"/>
    <n v="21"/>
    <s v="Outstanding"/>
    <s v="High"/>
    <n v="0"/>
    <n v="9"/>
    <n v="3"/>
    <s v="Better"/>
    <x v="9"/>
    <s v="0-5"/>
    <n v="3"/>
    <n v="2"/>
    <n v="2"/>
    <n v="1285"/>
  </r>
  <r>
    <n v="46"/>
    <x v="1"/>
    <x v="1"/>
    <s v="Non-Travel"/>
    <n v="849"/>
    <x v="1"/>
    <n v="26"/>
    <s v="College"/>
    <x v="0"/>
    <s v="Medium"/>
    <x v="0"/>
    <n v="98"/>
    <s v="Medium"/>
    <x v="0"/>
    <s v="Sales Executive"/>
    <s v="Medium"/>
    <s v="Single"/>
    <n v="7991"/>
    <n v="25166"/>
    <n v="8"/>
    <s v="No"/>
    <n v="15"/>
    <s v="Excellent"/>
    <s v="High"/>
    <n v="0"/>
    <n v="6"/>
    <n v="3"/>
    <s v="Better"/>
    <x v="4"/>
    <s v="0-5"/>
    <n v="2"/>
    <n v="2"/>
    <n v="2"/>
    <n v="1286"/>
  </r>
  <r>
    <n v="40"/>
    <x v="0"/>
    <x v="1"/>
    <s v="Travel_Rarely"/>
    <n v="616"/>
    <x v="0"/>
    <n v="2"/>
    <s v="College"/>
    <x v="0"/>
    <s v="High"/>
    <x v="1"/>
    <n v="99"/>
    <s v="High"/>
    <x v="1"/>
    <s v="Laboratory Technician"/>
    <s v="Low"/>
    <s v="Married"/>
    <n v="3377"/>
    <n v="25605"/>
    <n v="4"/>
    <s v="No"/>
    <n v="17"/>
    <s v="Excellent"/>
    <s v="Very High"/>
    <n v="1"/>
    <n v="7"/>
    <n v="5"/>
    <s v="Good"/>
    <x v="9"/>
    <s v="0-5"/>
    <n v="3"/>
    <n v="0"/>
    <n v="2"/>
    <n v="1287"/>
  </r>
  <r>
    <n v="42"/>
    <x v="0"/>
    <x v="1"/>
    <s v="Travel_Rarely"/>
    <n v="1128"/>
    <x v="0"/>
    <n v="13"/>
    <s v="Bachelor"/>
    <x v="2"/>
    <s v="Medium"/>
    <x v="0"/>
    <n v="95"/>
    <s v="Very High"/>
    <x v="0"/>
    <s v="Healthcare Representative"/>
    <s v="Low"/>
    <s v="Married"/>
    <n v="5538"/>
    <n v="5696"/>
    <n v="5"/>
    <s v="No"/>
    <n v="18"/>
    <s v="Excellent"/>
    <s v="High"/>
    <n v="2"/>
    <n v="10"/>
    <n v="2"/>
    <s v="Good"/>
    <x v="2"/>
    <s v="0-5"/>
    <n v="0"/>
    <n v="0"/>
    <n v="0"/>
    <n v="1288"/>
  </r>
  <r>
    <n v="35"/>
    <x v="2"/>
    <x v="1"/>
    <s v="Non-Travel"/>
    <n v="1180"/>
    <x v="0"/>
    <n v="2"/>
    <s v="College"/>
    <x v="2"/>
    <s v="Medium"/>
    <x v="0"/>
    <n v="90"/>
    <s v="High"/>
    <x v="0"/>
    <s v="Manufacturing Director"/>
    <s v="Very High"/>
    <s v="Divorced"/>
    <n v="5762"/>
    <n v="24442"/>
    <n v="2"/>
    <s v="No"/>
    <n v="14"/>
    <s v="Excellent"/>
    <s v="High"/>
    <n v="1"/>
    <n v="15"/>
    <n v="6"/>
    <s v="Better"/>
    <x v="5"/>
    <s v="5-10"/>
    <n v="7"/>
    <n v="1"/>
    <n v="7"/>
    <n v="1289"/>
  </r>
  <r>
    <n v="38"/>
    <x v="0"/>
    <x v="1"/>
    <s v="Non-Travel"/>
    <n v="1336"/>
    <x v="2"/>
    <n v="2"/>
    <s v="Bachelor"/>
    <x v="5"/>
    <s v="Low"/>
    <x v="0"/>
    <n v="100"/>
    <s v="High"/>
    <x v="1"/>
    <s v="Human Resources"/>
    <s v="Medium"/>
    <s v="Divorced"/>
    <n v="2592"/>
    <n v="7129"/>
    <n v="5"/>
    <s v="No"/>
    <n v="13"/>
    <s v="Excellent"/>
    <s v="Very High"/>
    <n v="3"/>
    <n v="13"/>
    <n v="3"/>
    <s v="Better"/>
    <x v="19"/>
    <s v="10-40"/>
    <n v="10"/>
    <n v="3"/>
    <n v="8"/>
    <n v="1290"/>
  </r>
  <r>
    <n v="34"/>
    <x v="2"/>
    <x v="0"/>
    <s v="Travel_Frequently"/>
    <n v="234"/>
    <x v="0"/>
    <n v="9"/>
    <s v="Master"/>
    <x v="0"/>
    <s v="Very High"/>
    <x v="0"/>
    <n v="93"/>
    <s v="High"/>
    <x v="0"/>
    <s v="Laboratory Technician"/>
    <s v="Low"/>
    <s v="Married"/>
    <n v="5346"/>
    <n v="6208"/>
    <n v="4"/>
    <s v="No"/>
    <n v="17"/>
    <s v="Excellent"/>
    <s v="High"/>
    <n v="1"/>
    <n v="11"/>
    <n v="3"/>
    <s v="Good"/>
    <x v="5"/>
    <s v="5-10"/>
    <n v="1"/>
    <n v="0"/>
    <n v="7"/>
    <n v="1291"/>
  </r>
  <r>
    <n v="37"/>
    <x v="0"/>
    <x v="0"/>
    <s v="Travel_Rarely"/>
    <n v="370"/>
    <x v="0"/>
    <n v="10"/>
    <s v="Master"/>
    <x v="2"/>
    <s v="Very High"/>
    <x v="0"/>
    <n v="58"/>
    <s v="High"/>
    <x v="0"/>
    <s v="Manufacturing Director"/>
    <s v="Low"/>
    <s v="Single"/>
    <n v="4213"/>
    <n v="4992"/>
    <n v="1"/>
    <s v="No"/>
    <n v="15"/>
    <s v="Excellent"/>
    <s v="Medium"/>
    <n v="0"/>
    <n v="10"/>
    <n v="4"/>
    <s v="Bad"/>
    <x v="1"/>
    <s v="5-10"/>
    <n v="3"/>
    <n v="0"/>
    <n v="8"/>
    <n v="1292"/>
  </r>
  <r>
    <n v="39"/>
    <x v="0"/>
    <x v="1"/>
    <s v="Travel_Frequently"/>
    <n v="766"/>
    <x v="1"/>
    <n v="20"/>
    <s v="Bachelor"/>
    <x v="0"/>
    <s v="High"/>
    <x v="0"/>
    <n v="83"/>
    <s v="High"/>
    <x v="0"/>
    <s v="Sales Executive"/>
    <s v="Very High"/>
    <s v="Divorced"/>
    <n v="4127"/>
    <n v="19188"/>
    <n v="2"/>
    <s v="No"/>
    <n v="18"/>
    <s v="Excellent"/>
    <s v="Very High"/>
    <n v="1"/>
    <n v="7"/>
    <n v="6"/>
    <s v="Better"/>
    <x v="4"/>
    <s v="0-5"/>
    <n v="1"/>
    <n v="2"/>
    <n v="2"/>
    <n v="1293"/>
  </r>
  <r>
    <n v="43"/>
    <x v="0"/>
    <x v="1"/>
    <s v="Non-Travel"/>
    <n v="343"/>
    <x v="0"/>
    <n v="9"/>
    <s v="Bachelor"/>
    <x v="0"/>
    <s v="Low"/>
    <x v="0"/>
    <n v="52"/>
    <s v="High"/>
    <x v="1"/>
    <s v="Research Scientist"/>
    <s v="High"/>
    <s v="Single"/>
    <n v="2438"/>
    <n v="24978"/>
    <n v="4"/>
    <s v="No"/>
    <n v="13"/>
    <s v="Excellent"/>
    <s v="High"/>
    <n v="0"/>
    <n v="7"/>
    <n v="2"/>
    <s v="Good"/>
    <x v="11"/>
    <s v="0-5"/>
    <n v="2"/>
    <n v="1"/>
    <n v="2"/>
    <n v="1294"/>
  </r>
  <r>
    <n v="41"/>
    <x v="0"/>
    <x v="1"/>
    <s v="Travel_Rarely"/>
    <n v="447"/>
    <x v="0"/>
    <n v="5"/>
    <s v="Bachelor"/>
    <x v="0"/>
    <s v="Medium"/>
    <x v="0"/>
    <n v="85"/>
    <s v="Very High"/>
    <x v="0"/>
    <s v="Healthcare Representative"/>
    <s v="Medium"/>
    <s v="Single"/>
    <n v="6870"/>
    <n v="15530"/>
    <n v="3"/>
    <s v="No"/>
    <n v="12"/>
    <s v="Excellent"/>
    <s v="Low"/>
    <n v="0"/>
    <n v="11"/>
    <n v="3"/>
    <s v="Bad"/>
    <x v="11"/>
    <s v="0-5"/>
    <n v="2"/>
    <n v="1"/>
    <n v="2"/>
    <n v="1295"/>
  </r>
  <r>
    <n v="41"/>
    <x v="0"/>
    <x v="1"/>
    <s v="Travel_Rarely"/>
    <n v="796"/>
    <x v="1"/>
    <n v="4"/>
    <s v="Below College"/>
    <x v="3"/>
    <s v="High"/>
    <x v="1"/>
    <n v="81"/>
    <s v="High"/>
    <x v="2"/>
    <s v="Sales Executive"/>
    <s v="High"/>
    <s v="Divorced"/>
    <n v="10447"/>
    <n v="26458"/>
    <n v="0"/>
    <s v="Yes"/>
    <n v="13"/>
    <s v="Excellent"/>
    <s v="Very High"/>
    <n v="1"/>
    <n v="23"/>
    <n v="3"/>
    <s v="Best"/>
    <x v="14"/>
    <s v="10-40"/>
    <n v="14"/>
    <n v="13"/>
    <n v="5"/>
    <n v="1296"/>
  </r>
  <r>
    <n v="30"/>
    <x v="2"/>
    <x v="1"/>
    <s v="Travel_Rarely"/>
    <n v="1092"/>
    <x v="0"/>
    <n v="10"/>
    <s v="Bachelor"/>
    <x v="2"/>
    <s v="Low"/>
    <x v="1"/>
    <n v="64"/>
    <s v="High"/>
    <x v="2"/>
    <s v="Manufacturing Director"/>
    <s v="High"/>
    <s v="Single"/>
    <n v="9667"/>
    <n v="2739"/>
    <n v="9"/>
    <s v="No"/>
    <n v="14"/>
    <s v="Excellent"/>
    <s v="Medium"/>
    <n v="0"/>
    <n v="9"/>
    <n v="3"/>
    <s v="Better"/>
    <x v="5"/>
    <s v="5-10"/>
    <n v="7"/>
    <n v="0"/>
    <n v="2"/>
    <n v="1297"/>
  </r>
  <r>
    <n v="26"/>
    <x v="2"/>
    <x v="0"/>
    <s v="Travel_Rarely"/>
    <n v="920"/>
    <x v="2"/>
    <n v="20"/>
    <s v="College"/>
    <x v="2"/>
    <s v="Very High"/>
    <x v="1"/>
    <n v="69"/>
    <s v="High"/>
    <x v="1"/>
    <s v="Human Resources"/>
    <s v="Medium"/>
    <s v="Married"/>
    <n v="2148"/>
    <n v="6889"/>
    <n v="0"/>
    <s v="Yes"/>
    <n v="11"/>
    <s v="Excellent"/>
    <s v="High"/>
    <n v="0"/>
    <n v="6"/>
    <n v="3"/>
    <s v="Better"/>
    <x v="8"/>
    <s v="0-5"/>
    <n v="1"/>
    <n v="1"/>
    <n v="4"/>
    <n v="1298"/>
  </r>
  <r>
    <n v="46"/>
    <x v="1"/>
    <x v="0"/>
    <s v="Travel_Rarely"/>
    <n v="261"/>
    <x v="0"/>
    <n v="21"/>
    <s v="College"/>
    <x v="2"/>
    <s v="Very High"/>
    <x v="1"/>
    <n v="66"/>
    <s v="High"/>
    <x v="0"/>
    <s v="Healthcare Representative"/>
    <s v="Medium"/>
    <s v="Married"/>
    <n v="8926"/>
    <n v="10842"/>
    <n v="4"/>
    <s v="No"/>
    <n v="22"/>
    <s v="Outstanding"/>
    <s v="Very High"/>
    <n v="1"/>
    <n v="13"/>
    <n v="2"/>
    <s v="Best"/>
    <x v="7"/>
    <s v="5-10"/>
    <n v="7"/>
    <n v="3"/>
    <n v="7"/>
    <n v="1299"/>
  </r>
  <r>
    <n v="40"/>
    <x v="0"/>
    <x v="1"/>
    <s v="Travel_Rarely"/>
    <n v="1194"/>
    <x v="0"/>
    <n v="1"/>
    <s v="Bachelor"/>
    <x v="0"/>
    <s v="High"/>
    <x v="1"/>
    <n v="52"/>
    <s v="High"/>
    <x v="0"/>
    <s v="Healthcare Representative"/>
    <s v="Very High"/>
    <s v="Divorced"/>
    <n v="6513"/>
    <n v="9060"/>
    <n v="4"/>
    <s v="No"/>
    <n v="17"/>
    <s v="Excellent"/>
    <s v="Very High"/>
    <n v="1"/>
    <n v="12"/>
    <n v="3"/>
    <s v="Better"/>
    <x v="8"/>
    <s v="0-5"/>
    <n v="3"/>
    <n v="0"/>
    <n v="3"/>
    <n v="1300"/>
  </r>
  <r>
    <n v="34"/>
    <x v="2"/>
    <x v="1"/>
    <s v="Travel_Rarely"/>
    <n v="810"/>
    <x v="1"/>
    <n v="8"/>
    <s v="College"/>
    <x v="4"/>
    <s v="Medium"/>
    <x v="0"/>
    <n v="92"/>
    <s v="Very High"/>
    <x v="0"/>
    <s v="Sales Executive"/>
    <s v="High"/>
    <s v="Married"/>
    <n v="6799"/>
    <n v="22128"/>
    <n v="1"/>
    <s v="No"/>
    <n v="21"/>
    <s v="Outstanding"/>
    <s v="High"/>
    <n v="2"/>
    <n v="10"/>
    <n v="5"/>
    <s v="Better"/>
    <x v="1"/>
    <s v="5-10"/>
    <n v="8"/>
    <n v="4"/>
    <n v="8"/>
    <n v="1301"/>
  </r>
  <r>
    <n v="58"/>
    <x v="3"/>
    <x v="1"/>
    <s v="Non-Travel"/>
    <n v="350"/>
    <x v="1"/>
    <n v="2"/>
    <s v="Bachelor"/>
    <x v="2"/>
    <s v="Medium"/>
    <x v="0"/>
    <n v="52"/>
    <s v="High"/>
    <x v="3"/>
    <s v="Manager"/>
    <s v="Medium"/>
    <s v="Divorced"/>
    <n v="16291"/>
    <n v="22577"/>
    <n v="4"/>
    <s v="No"/>
    <n v="22"/>
    <s v="Outstanding"/>
    <s v="Very High"/>
    <n v="1"/>
    <n v="37"/>
    <n v="0"/>
    <s v="Good"/>
    <x v="22"/>
    <s v="10-40"/>
    <n v="9"/>
    <n v="14"/>
    <n v="14"/>
    <n v="1302"/>
  </r>
  <r>
    <n v="35"/>
    <x v="2"/>
    <x v="1"/>
    <s v="Travel_Rarely"/>
    <n v="185"/>
    <x v="0"/>
    <n v="23"/>
    <s v="Master"/>
    <x v="2"/>
    <s v="Medium"/>
    <x v="0"/>
    <n v="91"/>
    <s v="Low"/>
    <x v="1"/>
    <s v="Laboratory Technician"/>
    <s v="High"/>
    <s v="Married"/>
    <n v="2705"/>
    <n v="9696"/>
    <n v="0"/>
    <s v="No"/>
    <n v="16"/>
    <s v="Excellent"/>
    <s v="Medium"/>
    <n v="1"/>
    <n v="6"/>
    <n v="2"/>
    <s v="Best"/>
    <x v="8"/>
    <s v="0-5"/>
    <n v="4"/>
    <n v="0"/>
    <n v="3"/>
    <n v="1303"/>
  </r>
  <r>
    <n v="47"/>
    <x v="1"/>
    <x v="1"/>
    <s v="Travel_Rarely"/>
    <n v="1001"/>
    <x v="0"/>
    <n v="4"/>
    <s v="Bachelor"/>
    <x v="0"/>
    <s v="High"/>
    <x v="1"/>
    <n v="92"/>
    <s v="Medium"/>
    <x v="2"/>
    <s v="Manufacturing Director"/>
    <s v="Medium"/>
    <s v="Divorced"/>
    <n v="10333"/>
    <n v="19271"/>
    <n v="8"/>
    <s v="Yes"/>
    <n v="12"/>
    <s v="Excellent"/>
    <s v="High"/>
    <n v="1"/>
    <n v="28"/>
    <n v="4"/>
    <s v="Better"/>
    <x v="14"/>
    <s v="10-40"/>
    <n v="11"/>
    <n v="14"/>
    <n v="10"/>
    <n v="1304"/>
  </r>
  <r>
    <n v="40"/>
    <x v="0"/>
    <x v="1"/>
    <s v="Travel_Rarely"/>
    <n v="750"/>
    <x v="0"/>
    <n v="12"/>
    <s v="Bachelor"/>
    <x v="0"/>
    <s v="Medium"/>
    <x v="1"/>
    <n v="47"/>
    <s v="High"/>
    <x v="0"/>
    <s v="Healthcare Representative"/>
    <s v="Low"/>
    <s v="Divorced"/>
    <n v="4448"/>
    <n v="10748"/>
    <n v="2"/>
    <s v="No"/>
    <n v="12"/>
    <s v="Excellent"/>
    <s v="Medium"/>
    <n v="1"/>
    <n v="15"/>
    <n v="3"/>
    <s v="Better"/>
    <x v="5"/>
    <s v="5-10"/>
    <n v="4"/>
    <n v="7"/>
    <n v="7"/>
    <n v="1305"/>
  </r>
  <r>
    <n v="54"/>
    <x v="1"/>
    <x v="1"/>
    <s v="Travel_Rarely"/>
    <n v="431"/>
    <x v="0"/>
    <n v="7"/>
    <s v="Master"/>
    <x v="2"/>
    <s v="Very High"/>
    <x v="1"/>
    <n v="68"/>
    <s v="High"/>
    <x v="0"/>
    <s v="Research Scientist"/>
    <s v="Very High"/>
    <s v="Married"/>
    <n v="6854"/>
    <n v="15696"/>
    <n v="4"/>
    <s v="No"/>
    <n v="15"/>
    <s v="Excellent"/>
    <s v="Medium"/>
    <n v="1"/>
    <n v="14"/>
    <n v="2"/>
    <s v="Good"/>
    <x v="5"/>
    <s v="5-10"/>
    <n v="1"/>
    <n v="1"/>
    <n v="7"/>
    <n v="1306"/>
  </r>
  <r>
    <n v="31"/>
    <x v="2"/>
    <x v="1"/>
    <s v="Travel_Frequently"/>
    <n v="1125"/>
    <x v="1"/>
    <n v="7"/>
    <s v="Master"/>
    <x v="3"/>
    <s v="Low"/>
    <x v="1"/>
    <n v="68"/>
    <s v="High"/>
    <x v="2"/>
    <s v="Sales Executive"/>
    <s v="Low"/>
    <s v="Married"/>
    <n v="9637"/>
    <n v="8277"/>
    <n v="2"/>
    <s v="No"/>
    <n v="14"/>
    <s v="Excellent"/>
    <s v="Very High"/>
    <n v="2"/>
    <n v="9"/>
    <n v="3"/>
    <s v="Better"/>
    <x v="11"/>
    <s v="0-5"/>
    <n v="2"/>
    <n v="2"/>
    <n v="2"/>
    <n v="1307"/>
  </r>
  <r>
    <n v="28"/>
    <x v="2"/>
    <x v="1"/>
    <s v="Travel_Rarely"/>
    <n v="1217"/>
    <x v="0"/>
    <n v="1"/>
    <s v="Bachelor"/>
    <x v="2"/>
    <s v="High"/>
    <x v="1"/>
    <n v="67"/>
    <s v="High"/>
    <x v="1"/>
    <s v="Research Scientist"/>
    <s v="Low"/>
    <s v="Married"/>
    <n v="3591"/>
    <n v="12719"/>
    <n v="1"/>
    <s v="No"/>
    <n v="25"/>
    <s v="Outstanding"/>
    <s v="High"/>
    <n v="1"/>
    <n v="3"/>
    <n v="3"/>
    <s v="Better"/>
    <x v="11"/>
    <s v="0-5"/>
    <n v="2"/>
    <n v="1"/>
    <n v="2"/>
    <n v="1308"/>
  </r>
  <r>
    <n v="38"/>
    <x v="0"/>
    <x v="1"/>
    <s v="Travel_Rarely"/>
    <n v="723"/>
    <x v="1"/>
    <n v="2"/>
    <s v="Master"/>
    <x v="3"/>
    <s v="Medium"/>
    <x v="1"/>
    <n v="77"/>
    <s v="Low"/>
    <x v="0"/>
    <s v="Sales Representative"/>
    <s v="Very High"/>
    <s v="Married"/>
    <n v="5405"/>
    <n v="4244"/>
    <n v="2"/>
    <s v="Yes"/>
    <n v="20"/>
    <s v="Outstanding"/>
    <s v="Low"/>
    <n v="2"/>
    <n v="20"/>
    <n v="4"/>
    <s v="Good"/>
    <x v="9"/>
    <s v="0-5"/>
    <n v="2"/>
    <n v="0"/>
    <n v="3"/>
    <n v="1309"/>
  </r>
  <r>
    <n v="26"/>
    <x v="2"/>
    <x v="1"/>
    <s v="Travel_Rarely"/>
    <n v="572"/>
    <x v="1"/>
    <n v="10"/>
    <s v="Bachelor"/>
    <x v="2"/>
    <s v="High"/>
    <x v="0"/>
    <n v="46"/>
    <s v="High"/>
    <x v="0"/>
    <s v="Sales Executive"/>
    <s v="Very High"/>
    <s v="Single"/>
    <n v="4684"/>
    <n v="9125"/>
    <n v="1"/>
    <s v="No"/>
    <n v="13"/>
    <s v="Excellent"/>
    <s v="Low"/>
    <n v="0"/>
    <n v="5"/>
    <n v="4"/>
    <s v="Better"/>
    <x v="8"/>
    <s v="0-5"/>
    <n v="3"/>
    <n v="1"/>
    <n v="2"/>
    <n v="1310"/>
  </r>
  <r>
    <n v="58"/>
    <x v="3"/>
    <x v="1"/>
    <s v="Travel_Frequently"/>
    <n v="1216"/>
    <x v="0"/>
    <n v="15"/>
    <s v="Master"/>
    <x v="0"/>
    <s v="Low"/>
    <x v="0"/>
    <n v="87"/>
    <s v="High"/>
    <x v="3"/>
    <s v="Research Director"/>
    <s v="High"/>
    <s v="Married"/>
    <n v="15787"/>
    <n v="21624"/>
    <n v="2"/>
    <s v="Yes"/>
    <n v="14"/>
    <s v="Excellent"/>
    <s v="Medium"/>
    <n v="0"/>
    <n v="23"/>
    <n v="3"/>
    <s v="Better"/>
    <x v="4"/>
    <s v="0-5"/>
    <n v="2"/>
    <n v="2"/>
    <n v="2"/>
    <n v="1311"/>
  </r>
  <r>
    <n v="18"/>
    <x v="4"/>
    <x v="1"/>
    <s v="Non-Travel"/>
    <n v="1431"/>
    <x v="0"/>
    <n v="14"/>
    <s v="Bachelor"/>
    <x v="2"/>
    <s v="Medium"/>
    <x v="1"/>
    <n v="33"/>
    <s v="High"/>
    <x v="1"/>
    <s v="Research Scientist"/>
    <s v="High"/>
    <s v="Single"/>
    <n v="1514"/>
    <n v="8018"/>
    <n v="1"/>
    <s v="No"/>
    <n v="16"/>
    <s v="Excellent"/>
    <s v="High"/>
    <n v="0"/>
    <n v="0"/>
    <n v="4"/>
    <s v="Bad"/>
    <x v="2"/>
    <s v="0-5"/>
    <n v="0"/>
    <n v="0"/>
    <n v="0"/>
    <n v="1312"/>
  </r>
  <r>
    <n v="31"/>
    <x v="2"/>
    <x v="0"/>
    <s v="Travel_Rarely"/>
    <n v="359"/>
    <x v="2"/>
    <n v="18"/>
    <s v="Doctor"/>
    <x v="5"/>
    <s v="Very High"/>
    <x v="0"/>
    <n v="89"/>
    <s v="Very High"/>
    <x v="1"/>
    <s v="Human Resources"/>
    <s v="Low"/>
    <s v="Married"/>
    <n v="2956"/>
    <n v="21495"/>
    <n v="0"/>
    <s v="No"/>
    <n v="17"/>
    <s v="Excellent"/>
    <s v="High"/>
    <n v="0"/>
    <n v="2"/>
    <n v="4"/>
    <s v="Better"/>
    <x v="6"/>
    <s v="0-5"/>
    <n v="0"/>
    <n v="0"/>
    <n v="0"/>
    <n v="1313"/>
  </r>
  <r>
    <n v="29"/>
    <x v="2"/>
    <x v="0"/>
    <s v="Travel_Rarely"/>
    <n v="350"/>
    <x v="2"/>
    <n v="13"/>
    <s v="Bachelor"/>
    <x v="5"/>
    <s v="Low"/>
    <x v="0"/>
    <n v="56"/>
    <s v="Medium"/>
    <x v="1"/>
    <s v="Human Resources"/>
    <s v="Low"/>
    <s v="Divorced"/>
    <n v="2335"/>
    <n v="3157"/>
    <n v="4"/>
    <s v="Yes"/>
    <n v="15"/>
    <s v="Excellent"/>
    <s v="Very High"/>
    <n v="3"/>
    <n v="4"/>
    <n v="3"/>
    <s v="Better"/>
    <x v="4"/>
    <s v="0-5"/>
    <n v="2"/>
    <n v="2"/>
    <n v="0"/>
    <n v="1314"/>
  </r>
  <r>
    <n v="45"/>
    <x v="0"/>
    <x v="1"/>
    <s v="Non-Travel"/>
    <n v="589"/>
    <x v="1"/>
    <n v="2"/>
    <s v="Master"/>
    <x v="0"/>
    <s v="High"/>
    <x v="1"/>
    <n v="67"/>
    <s v="High"/>
    <x v="0"/>
    <s v="Sales Executive"/>
    <s v="High"/>
    <s v="Married"/>
    <n v="5154"/>
    <n v="19665"/>
    <n v="4"/>
    <s v="No"/>
    <n v="22"/>
    <s v="Outstanding"/>
    <s v="Medium"/>
    <n v="2"/>
    <n v="10"/>
    <n v="3"/>
    <s v="Best"/>
    <x v="3"/>
    <s v="5-10"/>
    <n v="7"/>
    <n v="5"/>
    <n v="7"/>
    <n v="1315"/>
  </r>
  <r>
    <n v="36"/>
    <x v="0"/>
    <x v="1"/>
    <s v="Travel_Rarely"/>
    <n v="430"/>
    <x v="0"/>
    <n v="2"/>
    <s v="Master"/>
    <x v="1"/>
    <s v="Very High"/>
    <x v="1"/>
    <n v="73"/>
    <s v="High"/>
    <x v="0"/>
    <s v="Research Scientist"/>
    <s v="Medium"/>
    <s v="Married"/>
    <n v="6962"/>
    <n v="19573"/>
    <n v="4"/>
    <s v="Yes"/>
    <n v="22"/>
    <s v="Outstanding"/>
    <s v="Very High"/>
    <n v="1"/>
    <n v="15"/>
    <n v="2"/>
    <s v="Better"/>
    <x v="6"/>
    <s v="0-5"/>
    <n v="0"/>
    <n v="0"/>
    <n v="0"/>
    <n v="1316"/>
  </r>
  <r>
    <n v="43"/>
    <x v="0"/>
    <x v="1"/>
    <s v="Travel_Frequently"/>
    <n v="1422"/>
    <x v="1"/>
    <n v="2"/>
    <s v="Master"/>
    <x v="0"/>
    <s v="Low"/>
    <x v="0"/>
    <n v="92"/>
    <s v="High"/>
    <x v="0"/>
    <s v="Sales Executive"/>
    <s v="Very High"/>
    <s v="Married"/>
    <n v="5675"/>
    <n v="19246"/>
    <n v="1"/>
    <s v="No"/>
    <n v="20"/>
    <s v="Outstanding"/>
    <s v="High"/>
    <n v="1"/>
    <n v="7"/>
    <n v="5"/>
    <s v="Better"/>
    <x v="5"/>
    <s v="5-10"/>
    <n v="7"/>
    <n v="7"/>
    <n v="7"/>
    <n v="1317"/>
  </r>
  <r>
    <n v="27"/>
    <x v="2"/>
    <x v="1"/>
    <s v="Travel_Frequently"/>
    <n v="1297"/>
    <x v="0"/>
    <n v="5"/>
    <s v="College"/>
    <x v="0"/>
    <s v="Very High"/>
    <x v="1"/>
    <n v="53"/>
    <s v="High"/>
    <x v="1"/>
    <s v="Laboratory Technician"/>
    <s v="Very High"/>
    <s v="Single"/>
    <n v="2379"/>
    <n v="19826"/>
    <n v="0"/>
    <s v="Yes"/>
    <n v="14"/>
    <s v="Excellent"/>
    <s v="High"/>
    <n v="0"/>
    <n v="6"/>
    <n v="3"/>
    <s v="Good"/>
    <x v="8"/>
    <s v="0-5"/>
    <n v="4"/>
    <n v="0"/>
    <n v="2"/>
    <n v="1318"/>
  </r>
  <r>
    <n v="29"/>
    <x v="2"/>
    <x v="1"/>
    <s v="Travel_Frequently"/>
    <n v="574"/>
    <x v="0"/>
    <n v="20"/>
    <s v="Below College"/>
    <x v="2"/>
    <s v="Very High"/>
    <x v="0"/>
    <n v="40"/>
    <s v="High"/>
    <x v="1"/>
    <s v="Laboratory Technician"/>
    <s v="Very High"/>
    <s v="Married"/>
    <n v="3812"/>
    <n v="7003"/>
    <n v="1"/>
    <s v="No"/>
    <n v="13"/>
    <s v="Excellent"/>
    <s v="Medium"/>
    <n v="0"/>
    <n v="11"/>
    <n v="3"/>
    <s v="Best"/>
    <x v="19"/>
    <s v="10-40"/>
    <n v="8"/>
    <n v="3"/>
    <n v="10"/>
    <n v="1319"/>
  </r>
  <r>
    <n v="32"/>
    <x v="2"/>
    <x v="1"/>
    <s v="Travel_Frequently"/>
    <n v="1318"/>
    <x v="1"/>
    <n v="10"/>
    <s v="Master"/>
    <x v="3"/>
    <s v="Very High"/>
    <x v="0"/>
    <n v="79"/>
    <s v="High"/>
    <x v="0"/>
    <s v="Sales Executive"/>
    <s v="Very High"/>
    <s v="Single"/>
    <n v="4648"/>
    <n v="26075"/>
    <n v="8"/>
    <s v="No"/>
    <n v="13"/>
    <s v="Excellent"/>
    <s v="High"/>
    <n v="0"/>
    <n v="4"/>
    <n v="2"/>
    <s v="Best"/>
    <x v="2"/>
    <s v="0-5"/>
    <n v="0"/>
    <n v="0"/>
    <n v="0"/>
    <n v="1320"/>
  </r>
  <r>
    <n v="42"/>
    <x v="0"/>
    <x v="1"/>
    <s v="Non-Travel"/>
    <n v="355"/>
    <x v="0"/>
    <n v="10"/>
    <s v="Master"/>
    <x v="4"/>
    <s v="High"/>
    <x v="0"/>
    <n v="38"/>
    <s v="High"/>
    <x v="1"/>
    <s v="Research Scientist"/>
    <s v="High"/>
    <s v="Married"/>
    <n v="2936"/>
    <n v="6161"/>
    <n v="3"/>
    <s v="No"/>
    <n v="22"/>
    <s v="Outstanding"/>
    <s v="Medium"/>
    <n v="2"/>
    <n v="10"/>
    <n v="1"/>
    <s v="Good"/>
    <x v="0"/>
    <s v="5-10"/>
    <n v="3"/>
    <n v="3"/>
    <n v="3"/>
    <n v="1321"/>
  </r>
  <r>
    <n v="47"/>
    <x v="1"/>
    <x v="1"/>
    <s v="Travel_Rarely"/>
    <n v="207"/>
    <x v="0"/>
    <n v="9"/>
    <s v="Master"/>
    <x v="0"/>
    <s v="Medium"/>
    <x v="1"/>
    <n v="64"/>
    <s v="High"/>
    <x v="1"/>
    <s v="Laboratory Technician"/>
    <s v="High"/>
    <s v="Single"/>
    <n v="2105"/>
    <n v="5411"/>
    <n v="4"/>
    <s v="No"/>
    <n v="12"/>
    <s v="Excellent"/>
    <s v="High"/>
    <n v="0"/>
    <n v="7"/>
    <n v="2"/>
    <s v="Better"/>
    <x v="4"/>
    <s v="0-5"/>
    <n v="2"/>
    <n v="2"/>
    <n v="0"/>
    <n v="1322"/>
  </r>
  <r>
    <n v="46"/>
    <x v="1"/>
    <x v="1"/>
    <s v="Travel_Rarely"/>
    <n v="706"/>
    <x v="0"/>
    <n v="2"/>
    <s v="College"/>
    <x v="0"/>
    <s v="Very High"/>
    <x v="0"/>
    <n v="82"/>
    <s v="High"/>
    <x v="2"/>
    <s v="Manufacturing Director"/>
    <s v="Very High"/>
    <s v="Divorced"/>
    <n v="8578"/>
    <n v="19989"/>
    <n v="3"/>
    <s v="No"/>
    <n v="14"/>
    <s v="Excellent"/>
    <s v="High"/>
    <n v="1"/>
    <n v="12"/>
    <n v="4"/>
    <s v="Good"/>
    <x v="7"/>
    <s v="5-10"/>
    <n v="8"/>
    <n v="4"/>
    <n v="7"/>
    <n v="1323"/>
  </r>
  <r>
    <n v="28"/>
    <x v="2"/>
    <x v="1"/>
    <s v="Non-Travel"/>
    <n v="280"/>
    <x v="2"/>
    <n v="1"/>
    <s v="College"/>
    <x v="0"/>
    <s v="High"/>
    <x v="0"/>
    <n v="43"/>
    <s v="High"/>
    <x v="1"/>
    <s v="Human Resources"/>
    <s v="Very High"/>
    <s v="Divorced"/>
    <n v="2706"/>
    <n v="10494"/>
    <n v="1"/>
    <s v="No"/>
    <n v="15"/>
    <s v="Excellent"/>
    <s v="Medium"/>
    <n v="1"/>
    <n v="3"/>
    <n v="2"/>
    <s v="Better"/>
    <x v="11"/>
    <s v="0-5"/>
    <n v="2"/>
    <n v="2"/>
    <n v="2"/>
    <n v="1324"/>
  </r>
  <r>
    <n v="29"/>
    <x v="2"/>
    <x v="1"/>
    <s v="Travel_Rarely"/>
    <n v="726"/>
    <x v="0"/>
    <n v="29"/>
    <s v="Below College"/>
    <x v="0"/>
    <s v="Very High"/>
    <x v="0"/>
    <n v="93"/>
    <s v="Low"/>
    <x v="0"/>
    <s v="Healthcare Representative"/>
    <s v="High"/>
    <s v="Divorced"/>
    <n v="6384"/>
    <n v="21143"/>
    <n v="8"/>
    <s v="No"/>
    <n v="17"/>
    <s v="Excellent"/>
    <s v="Very High"/>
    <n v="2"/>
    <n v="11"/>
    <n v="3"/>
    <s v="Better"/>
    <x v="5"/>
    <s v="5-10"/>
    <n v="0"/>
    <n v="1"/>
    <n v="6"/>
    <n v="1325"/>
  </r>
  <r>
    <n v="42"/>
    <x v="0"/>
    <x v="1"/>
    <s v="Travel_Rarely"/>
    <n v="1142"/>
    <x v="0"/>
    <n v="8"/>
    <s v="Bachelor"/>
    <x v="0"/>
    <s v="Very High"/>
    <x v="0"/>
    <n v="81"/>
    <s v="High"/>
    <x v="1"/>
    <s v="Laboratory Technician"/>
    <s v="High"/>
    <s v="Single"/>
    <n v="3968"/>
    <n v="13624"/>
    <n v="4"/>
    <s v="No"/>
    <n v="13"/>
    <s v="Excellent"/>
    <s v="Very High"/>
    <n v="0"/>
    <n v="8"/>
    <n v="3"/>
    <s v="Better"/>
    <x v="2"/>
    <s v="0-5"/>
    <n v="0"/>
    <n v="0"/>
    <n v="0"/>
    <n v="1326"/>
  </r>
  <r>
    <n v="32"/>
    <x v="2"/>
    <x v="0"/>
    <s v="Travel_Rarely"/>
    <n v="414"/>
    <x v="1"/>
    <n v="2"/>
    <s v="Master"/>
    <x v="3"/>
    <s v="High"/>
    <x v="0"/>
    <n v="82"/>
    <s v="Medium"/>
    <x v="0"/>
    <s v="Sales Executive"/>
    <s v="Medium"/>
    <s v="Single"/>
    <n v="9907"/>
    <n v="26186"/>
    <n v="7"/>
    <s v="Yes"/>
    <n v="12"/>
    <s v="Excellent"/>
    <s v="High"/>
    <n v="0"/>
    <n v="7"/>
    <n v="3"/>
    <s v="Good"/>
    <x v="4"/>
    <s v="0-5"/>
    <n v="2"/>
    <n v="2"/>
    <n v="2"/>
    <n v="1327"/>
  </r>
  <r>
    <n v="46"/>
    <x v="1"/>
    <x v="1"/>
    <s v="Travel_Rarely"/>
    <n v="1319"/>
    <x v="1"/>
    <n v="3"/>
    <s v="Bachelor"/>
    <x v="4"/>
    <s v="Low"/>
    <x v="1"/>
    <n v="45"/>
    <s v="Very High"/>
    <x v="3"/>
    <s v="Sales Executive"/>
    <s v="Low"/>
    <s v="Divorced"/>
    <n v="13225"/>
    <n v="7739"/>
    <n v="2"/>
    <s v="No"/>
    <n v="12"/>
    <s v="Excellent"/>
    <s v="Very High"/>
    <n v="1"/>
    <n v="25"/>
    <n v="5"/>
    <s v="Better"/>
    <x v="27"/>
    <s v="10-40"/>
    <n v="17"/>
    <n v="2"/>
    <n v="8"/>
    <n v="1328"/>
  </r>
  <r>
    <n v="27"/>
    <x v="2"/>
    <x v="1"/>
    <s v="Travel_Rarely"/>
    <n v="728"/>
    <x v="1"/>
    <n v="23"/>
    <s v="Below College"/>
    <x v="2"/>
    <s v="Medium"/>
    <x v="1"/>
    <n v="36"/>
    <s v="Medium"/>
    <x v="0"/>
    <s v="Sales Representative"/>
    <s v="High"/>
    <s v="Married"/>
    <n v="3540"/>
    <n v="7018"/>
    <n v="1"/>
    <s v="No"/>
    <n v="21"/>
    <s v="Outstanding"/>
    <s v="Very High"/>
    <n v="1"/>
    <n v="9"/>
    <n v="5"/>
    <s v="Better"/>
    <x v="7"/>
    <s v="5-10"/>
    <n v="8"/>
    <n v="5"/>
    <n v="8"/>
    <n v="1329"/>
  </r>
  <r>
    <n v="29"/>
    <x v="2"/>
    <x v="1"/>
    <s v="Travel_Rarely"/>
    <n v="352"/>
    <x v="2"/>
    <n v="6"/>
    <s v="Below College"/>
    <x v="2"/>
    <s v="Very High"/>
    <x v="0"/>
    <n v="87"/>
    <s v="Medium"/>
    <x v="1"/>
    <s v="Human Resources"/>
    <s v="Medium"/>
    <s v="Married"/>
    <n v="2804"/>
    <n v="15434"/>
    <n v="1"/>
    <s v="No"/>
    <n v="11"/>
    <s v="Excellent"/>
    <s v="Very High"/>
    <n v="0"/>
    <n v="1"/>
    <n v="3"/>
    <s v="Better"/>
    <x v="6"/>
    <s v="0-5"/>
    <n v="0"/>
    <n v="0"/>
    <n v="0"/>
    <n v="1330"/>
  </r>
  <r>
    <n v="43"/>
    <x v="0"/>
    <x v="1"/>
    <s v="Travel_Rarely"/>
    <n v="823"/>
    <x v="0"/>
    <n v="6"/>
    <s v="Bachelor"/>
    <x v="2"/>
    <s v="Low"/>
    <x v="1"/>
    <n v="81"/>
    <s v="Medium"/>
    <x v="4"/>
    <s v="Manager"/>
    <s v="High"/>
    <s v="Married"/>
    <n v="19392"/>
    <n v="22539"/>
    <n v="7"/>
    <s v="No"/>
    <n v="13"/>
    <s v="Excellent"/>
    <s v="Very High"/>
    <n v="0"/>
    <n v="21"/>
    <n v="2"/>
    <s v="Better"/>
    <x v="22"/>
    <s v="10-40"/>
    <n v="12"/>
    <n v="6"/>
    <n v="14"/>
    <n v="1331"/>
  </r>
  <r>
    <n v="48"/>
    <x v="1"/>
    <x v="1"/>
    <s v="Travel_Rarely"/>
    <n v="1224"/>
    <x v="0"/>
    <n v="10"/>
    <s v="Bachelor"/>
    <x v="0"/>
    <s v="Very High"/>
    <x v="0"/>
    <n v="91"/>
    <s v="Medium"/>
    <x v="4"/>
    <s v="Research Director"/>
    <s v="Medium"/>
    <s v="Married"/>
    <n v="19665"/>
    <n v="13583"/>
    <n v="4"/>
    <s v="No"/>
    <n v="12"/>
    <s v="Excellent"/>
    <s v="Very High"/>
    <n v="0"/>
    <n v="29"/>
    <n v="3"/>
    <s v="Better"/>
    <x v="14"/>
    <s v="10-40"/>
    <n v="10"/>
    <n v="12"/>
    <n v="9"/>
    <n v="1332"/>
  </r>
  <r>
    <n v="29"/>
    <x v="2"/>
    <x v="0"/>
    <s v="Travel_Frequently"/>
    <n v="459"/>
    <x v="0"/>
    <n v="24"/>
    <s v="College"/>
    <x v="0"/>
    <s v="Very High"/>
    <x v="0"/>
    <n v="73"/>
    <s v="Medium"/>
    <x v="1"/>
    <s v="Research Scientist"/>
    <s v="Very High"/>
    <s v="Single"/>
    <n v="2439"/>
    <n v="14753"/>
    <n v="1"/>
    <s v="Yes"/>
    <n v="24"/>
    <s v="Outstanding"/>
    <s v="Medium"/>
    <n v="0"/>
    <n v="1"/>
    <n v="3"/>
    <s v="Good"/>
    <x v="6"/>
    <s v="0-5"/>
    <n v="0"/>
    <n v="1"/>
    <n v="0"/>
    <n v="1333"/>
  </r>
  <r>
    <n v="46"/>
    <x v="1"/>
    <x v="0"/>
    <s v="Travel_Rarely"/>
    <n v="1254"/>
    <x v="1"/>
    <n v="10"/>
    <s v="Bachelor"/>
    <x v="0"/>
    <s v="High"/>
    <x v="1"/>
    <n v="64"/>
    <s v="High"/>
    <x v="2"/>
    <s v="Sales Executive"/>
    <s v="Medium"/>
    <s v="Married"/>
    <n v="7314"/>
    <n v="14011"/>
    <n v="5"/>
    <s v="No"/>
    <n v="21"/>
    <s v="Outstanding"/>
    <s v="High"/>
    <n v="3"/>
    <n v="14"/>
    <n v="2"/>
    <s v="Better"/>
    <x v="3"/>
    <s v="5-10"/>
    <n v="7"/>
    <n v="0"/>
    <n v="7"/>
    <n v="1334"/>
  </r>
  <r>
    <n v="27"/>
    <x v="2"/>
    <x v="1"/>
    <s v="Travel_Frequently"/>
    <n v="1131"/>
    <x v="0"/>
    <n v="15"/>
    <s v="Bachelor"/>
    <x v="0"/>
    <s v="Very High"/>
    <x v="1"/>
    <n v="77"/>
    <s v="Medium"/>
    <x v="1"/>
    <s v="Research Scientist"/>
    <s v="Low"/>
    <s v="Married"/>
    <n v="4774"/>
    <n v="23844"/>
    <n v="0"/>
    <s v="No"/>
    <n v="19"/>
    <s v="Excellent"/>
    <s v="Very High"/>
    <n v="1"/>
    <n v="8"/>
    <n v="2"/>
    <s v="Good"/>
    <x v="5"/>
    <s v="5-10"/>
    <n v="6"/>
    <n v="7"/>
    <n v="3"/>
    <n v="1335"/>
  </r>
  <r>
    <n v="39"/>
    <x v="0"/>
    <x v="1"/>
    <s v="Travel_Rarely"/>
    <n v="835"/>
    <x v="0"/>
    <n v="19"/>
    <s v="Master"/>
    <x v="1"/>
    <s v="Very High"/>
    <x v="0"/>
    <n v="41"/>
    <s v="High"/>
    <x v="0"/>
    <s v="Research Scientist"/>
    <s v="Very High"/>
    <s v="Divorced"/>
    <n v="3902"/>
    <n v="5141"/>
    <n v="8"/>
    <s v="No"/>
    <n v="14"/>
    <s v="Excellent"/>
    <s v="Medium"/>
    <n v="3"/>
    <n v="7"/>
    <n v="2"/>
    <s v="Better"/>
    <x v="4"/>
    <s v="0-5"/>
    <n v="2"/>
    <n v="2"/>
    <n v="2"/>
    <n v="1336"/>
  </r>
  <r>
    <n v="55"/>
    <x v="1"/>
    <x v="1"/>
    <s v="Travel_Rarely"/>
    <n v="836"/>
    <x v="0"/>
    <n v="2"/>
    <s v="Master"/>
    <x v="4"/>
    <s v="Medium"/>
    <x v="0"/>
    <n v="98"/>
    <s v="Medium"/>
    <x v="1"/>
    <s v="Research Scientist"/>
    <s v="Very High"/>
    <s v="Married"/>
    <n v="2662"/>
    <n v="7975"/>
    <n v="8"/>
    <s v="No"/>
    <n v="20"/>
    <s v="Outstanding"/>
    <s v="Medium"/>
    <n v="1"/>
    <n v="19"/>
    <n v="2"/>
    <s v="Best"/>
    <x v="8"/>
    <s v="0-5"/>
    <n v="2"/>
    <n v="0"/>
    <n v="4"/>
    <n v="1337"/>
  </r>
  <r>
    <n v="28"/>
    <x v="2"/>
    <x v="1"/>
    <s v="Travel_Rarely"/>
    <n v="1172"/>
    <x v="1"/>
    <n v="3"/>
    <s v="Bachelor"/>
    <x v="2"/>
    <s v="Medium"/>
    <x v="1"/>
    <n v="78"/>
    <s v="High"/>
    <x v="1"/>
    <s v="Sales Representative"/>
    <s v="Medium"/>
    <s v="Married"/>
    <n v="2856"/>
    <n v="3692"/>
    <n v="1"/>
    <s v="No"/>
    <n v="19"/>
    <s v="Excellent"/>
    <s v="Very High"/>
    <n v="1"/>
    <n v="1"/>
    <n v="3"/>
    <s v="Better"/>
    <x v="6"/>
    <s v="0-5"/>
    <n v="0"/>
    <n v="0"/>
    <n v="0"/>
    <n v="1338"/>
  </r>
  <r>
    <n v="30"/>
    <x v="2"/>
    <x v="0"/>
    <s v="Travel_Rarely"/>
    <n v="945"/>
    <x v="1"/>
    <n v="9"/>
    <s v="Bachelor"/>
    <x v="2"/>
    <s v="Medium"/>
    <x v="0"/>
    <n v="89"/>
    <s v="High"/>
    <x v="1"/>
    <s v="Sales Representative"/>
    <s v="Very High"/>
    <s v="Single"/>
    <n v="1081"/>
    <n v="16019"/>
    <n v="1"/>
    <s v="No"/>
    <n v="13"/>
    <s v="Excellent"/>
    <s v="High"/>
    <n v="0"/>
    <n v="1"/>
    <n v="3"/>
    <s v="Good"/>
    <x v="6"/>
    <s v="0-5"/>
    <n v="0"/>
    <n v="0"/>
    <n v="0"/>
    <n v="1339"/>
  </r>
  <r>
    <n v="22"/>
    <x v="4"/>
    <x v="0"/>
    <s v="Travel_Rarely"/>
    <n v="391"/>
    <x v="0"/>
    <n v="7"/>
    <s v="Below College"/>
    <x v="0"/>
    <s v="Very High"/>
    <x v="0"/>
    <n v="75"/>
    <s v="High"/>
    <x v="1"/>
    <s v="Research Scientist"/>
    <s v="Medium"/>
    <s v="Single"/>
    <n v="2472"/>
    <n v="26092"/>
    <n v="1"/>
    <s v="Yes"/>
    <n v="23"/>
    <s v="Outstanding"/>
    <s v="Low"/>
    <n v="0"/>
    <n v="1"/>
    <n v="2"/>
    <s v="Better"/>
    <x v="6"/>
    <s v="0-5"/>
    <n v="0"/>
    <n v="0"/>
    <n v="0"/>
    <n v="1340"/>
  </r>
  <r>
    <n v="36"/>
    <x v="0"/>
    <x v="1"/>
    <s v="Travel_Rarely"/>
    <n v="1266"/>
    <x v="1"/>
    <n v="10"/>
    <s v="Master"/>
    <x v="4"/>
    <s v="Medium"/>
    <x v="1"/>
    <n v="63"/>
    <s v="Medium"/>
    <x v="0"/>
    <s v="Sales Executive"/>
    <s v="High"/>
    <s v="Married"/>
    <n v="5673"/>
    <n v="6060"/>
    <n v="1"/>
    <s v="Yes"/>
    <n v="13"/>
    <s v="Excellent"/>
    <s v="Low"/>
    <n v="1"/>
    <n v="10"/>
    <n v="4"/>
    <s v="Better"/>
    <x v="1"/>
    <s v="5-10"/>
    <n v="9"/>
    <n v="1"/>
    <n v="7"/>
    <n v="1341"/>
  </r>
  <r>
    <n v="31"/>
    <x v="2"/>
    <x v="1"/>
    <s v="Travel_Rarely"/>
    <n v="311"/>
    <x v="0"/>
    <n v="20"/>
    <s v="Bachelor"/>
    <x v="0"/>
    <s v="Medium"/>
    <x v="0"/>
    <n v="89"/>
    <s v="High"/>
    <x v="0"/>
    <s v="Laboratory Technician"/>
    <s v="High"/>
    <s v="Divorced"/>
    <n v="4197"/>
    <n v="18624"/>
    <n v="1"/>
    <s v="No"/>
    <n v="11"/>
    <s v="Excellent"/>
    <s v="Low"/>
    <n v="1"/>
    <n v="10"/>
    <n v="2"/>
    <s v="Better"/>
    <x v="1"/>
    <s v="5-10"/>
    <n v="8"/>
    <n v="0"/>
    <n v="2"/>
    <n v="1342"/>
  </r>
  <r>
    <n v="34"/>
    <x v="2"/>
    <x v="1"/>
    <s v="Travel_Rarely"/>
    <n v="1480"/>
    <x v="1"/>
    <n v="4"/>
    <s v="Bachelor"/>
    <x v="0"/>
    <s v="High"/>
    <x v="0"/>
    <n v="64"/>
    <s v="High"/>
    <x v="2"/>
    <s v="Sales Executive"/>
    <s v="Very High"/>
    <s v="Married"/>
    <n v="9713"/>
    <n v="24444"/>
    <n v="2"/>
    <s v="Yes"/>
    <n v="13"/>
    <s v="Excellent"/>
    <s v="Very High"/>
    <n v="3"/>
    <n v="9"/>
    <n v="3"/>
    <s v="Better"/>
    <x v="8"/>
    <s v="0-5"/>
    <n v="3"/>
    <n v="1"/>
    <n v="0"/>
    <n v="1343"/>
  </r>
  <r>
    <n v="29"/>
    <x v="2"/>
    <x v="1"/>
    <s v="Travel_Rarely"/>
    <n v="592"/>
    <x v="0"/>
    <n v="7"/>
    <s v="Bachelor"/>
    <x v="0"/>
    <s v="Very High"/>
    <x v="0"/>
    <n v="59"/>
    <s v="High"/>
    <x v="1"/>
    <s v="Laboratory Technician"/>
    <s v="Low"/>
    <s v="Single"/>
    <n v="2062"/>
    <n v="19384"/>
    <n v="3"/>
    <s v="No"/>
    <n v="14"/>
    <s v="Excellent"/>
    <s v="Medium"/>
    <n v="0"/>
    <n v="11"/>
    <n v="2"/>
    <s v="Better"/>
    <x v="11"/>
    <s v="0-5"/>
    <n v="2"/>
    <n v="1"/>
    <n v="2"/>
    <n v="1344"/>
  </r>
  <r>
    <n v="37"/>
    <x v="0"/>
    <x v="1"/>
    <s v="Travel_Rarely"/>
    <n v="783"/>
    <x v="0"/>
    <n v="7"/>
    <s v="Master"/>
    <x v="2"/>
    <s v="Very High"/>
    <x v="0"/>
    <n v="78"/>
    <s v="High"/>
    <x v="0"/>
    <s v="Research Scientist"/>
    <s v="Low"/>
    <s v="Married"/>
    <n v="4284"/>
    <n v="13588"/>
    <n v="5"/>
    <s v="Yes"/>
    <n v="22"/>
    <s v="Outstanding"/>
    <s v="High"/>
    <n v="1"/>
    <n v="16"/>
    <n v="2"/>
    <s v="Better"/>
    <x v="8"/>
    <s v="0-5"/>
    <n v="3"/>
    <n v="0"/>
    <n v="4"/>
    <n v="1345"/>
  </r>
  <r>
    <n v="35"/>
    <x v="2"/>
    <x v="1"/>
    <s v="Travel_Rarely"/>
    <n v="219"/>
    <x v="0"/>
    <n v="16"/>
    <s v="College"/>
    <x v="1"/>
    <s v="Very High"/>
    <x v="1"/>
    <n v="44"/>
    <s v="Medium"/>
    <x v="0"/>
    <s v="Manufacturing Director"/>
    <s v="Medium"/>
    <s v="Married"/>
    <n v="4788"/>
    <n v="25388"/>
    <n v="0"/>
    <s v="Yes"/>
    <n v="11"/>
    <s v="Excellent"/>
    <s v="Very High"/>
    <n v="0"/>
    <n v="4"/>
    <n v="2"/>
    <s v="Better"/>
    <x v="11"/>
    <s v="0-5"/>
    <n v="2"/>
    <n v="0"/>
    <n v="2"/>
    <n v="1346"/>
  </r>
  <r>
    <n v="45"/>
    <x v="0"/>
    <x v="1"/>
    <s v="Travel_Rarely"/>
    <n v="556"/>
    <x v="0"/>
    <n v="25"/>
    <s v="College"/>
    <x v="0"/>
    <s v="Medium"/>
    <x v="1"/>
    <n v="93"/>
    <s v="Medium"/>
    <x v="0"/>
    <s v="Manufacturing Director"/>
    <s v="Very High"/>
    <s v="Married"/>
    <n v="5906"/>
    <n v="23888"/>
    <n v="0"/>
    <s v="No"/>
    <n v="13"/>
    <s v="Excellent"/>
    <s v="Very High"/>
    <n v="2"/>
    <n v="10"/>
    <n v="2"/>
    <s v="Good"/>
    <x v="7"/>
    <s v="5-10"/>
    <n v="8"/>
    <n v="3"/>
    <n v="8"/>
    <n v="1347"/>
  </r>
  <r>
    <n v="36"/>
    <x v="0"/>
    <x v="1"/>
    <s v="Travel_Frequently"/>
    <n v="1213"/>
    <x v="2"/>
    <n v="2"/>
    <s v="Below College"/>
    <x v="5"/>
    <s v="Medium"/>
    <x v="0"/>
    <n v="94"/>
    <s v="Medium"/>
    <x v="0"/>
    <s v="Human Resources"/>
    <s v="Very High"/>
    <s v="Single"/>
    <n v="3886"/>
    <n v="4223"/>
    <n v="1"/>
    <s v="No"/>
    <n v="21"/>
    <s v="Outstanding"/>
    <s v="Very High"/>
    <n v="0"/>
    <n v="10"/>
    <n v="2"/>
    <s v="Good"/>
    <x v="1"/>
    <s v="5-10"/>
    <n v="1"/>
    <n v="0"/>
    <n v="8"/>
    <n v="1348"/>
  </r>
  <r>
    <n v="40"/>
    <x v="0"/>
    <x v="1"/>
    <s v="Travel_Rarely"/>
    <n v="1137"/>
    <x v="0"/>
    <n v="1"/>
    <s v="Master"/>
    <x v="0"/>
    <s v="Low"/>
    <x v="0"/>
    <n v="98"/>
    <s v="High"/>
    <x v="3"/>
    <s v="Manager"/>
    <s v="Low"/>
    <s v="Divorced"/>
    <n v="16823"/>
    <n v="18991"/>
    <n v="2"/>
    <s v="No"/>
    <n v="11"/>
    <s v="Excellent"/>
    <s v="Low"/>
    <n v="1"/>
    <n v="22"/>
    <n v="3"/>
    <s v="Better"/>
    <x v="27"/>
    <s v="10-40"/>
    <n v="7"/>
    <n v="11"/>
    <n v="16"/>
    <n v="1349"/>
  </r>
  <r>
    <n v="26"/>
    <x v="2"/>
    <x v="1"/>
    <s v="Travel_Rarely"/>
    <n v="482"/>
    <x v="0"/>
    <n v="1"/>
    <s v="College"/>
    <x v="0"/>
    <s v="Medium"/>
    <x v="1"/>
    <n v="90"/>
    <s v="Medium"/>
    <x v="1"/>
    <s v="Research Scientist"/>
    <s v="High"/>
    <s v="Married"/>
    <n v="2933"/>
    <n v="14908"/>
    <n v="1"/>
    <s v="Yes"/>
    <n v="13"/>
    <s v="Excellent"/>
    <s v="High"/>
    <n v="1"/>
    <n v="1"/>
    <n v="3"/>
    <s v="Good"/>
    <x v="6"/>
    <s v="0-5"/>
    <n v="0"/>
    <n v="1"/>
    <n v="0"/>
    <n v="1350"/>
  </r>
  <r>
    <n v="27"/>
    <x v="2"/>
    <x v="1"/>
    <s v="Travel_Rarely"/>
    <n v="511"/>
    <x v="1"/>
    <n v="2"/>
    <s v="College"/>
    <x v="2"/>
    <s v="Low"/>
    <x v="1"/>
    <n v="89"/>
    <s v="Very High"/>
    <x v="0"/>
    <s v="Sales Executive"/>
    <s v="High"/>
    <s v="Single"/>
    <n v="6500"/>
    <n v="26997"/>
    <n v="0"/>
    <s v="No"/>
    <n v="14"/>
    <s v="Excellent"/>
    <s v="Medium"/>
    <n v="0"/>
    <n v="9"/>
    <n v="5"/>
    <s v="Good"/>
    <x v="3"/>
    <s v="5-10"/>
    <n v="7"/>
    <n v="0"/>
    <n v="7"/>
    <n v="1351"/>
  </r>
  <r>
    <n v="48"/>
    <x v="1"/>
    <x v="1"/>
    <s v="Travel_Frequently"/>
    <n v="117"/>
    <x v="0"/>
    <n v="22"/>
    <s v="Bachelor"/>
    <x v="2"/>
    <s v="Very High"/>
    <x v="1"/>
    <n v="58"/>
    <s v="High"/>
    <x v="3"/>
    <s v="Manager"/>
    <s v="Very High"/>
    <s v="Divorced"/>
    <n v="17174"/>
    <n v="2437"/>
    <n v="3"/>
    <s v="No"/>
    <n v="11"/>
    <s v="Excellent"/>
    <s v="Medium"/>
    <n v="1"/>
    <n v="24"/>
    <n v="3"/>
    <s v="Better"/>
    <x v="14"/>
    <s v="10-40"/>
    <n v="17"/>
    <n v="4"/>
    <n v="7"/>
    <n v="1352"/>
  </r>
  <r>
    <n v="44"/>
    <x v="0"/>
    <x v="1"/>
    <s v="Travel_Rarely"/>
    <n v="170"/>
    <x v="0"/>
    <n v="1"/>
    <s v="Master"/>
    <x v="0"/>
    <s v="Medium"/>
    <x v="0"/>
    <n v="78"/>
    <s v="Very High"/>
    <x v="0"/>
    <s v="Healthcare Representative"/>
    <s v="Low"/>
    <s v="Married"/>
    <n v="5033"/>
    <n v="9364"/>
    <n v="2"/>
    <s v="No"/>
    <n v="15"/>
    <s v="Excellent"/>
    <s v="Very High"/>
    <n v="1"/>
    <n v="10"/>
    <n v="5"/>
    <s v="Better"/>
    <x v="4"/>
    <s v="0-5"/>
    <n v="0"/>
    <n v="2"/>
    <n v="2"/>
    <n v="1353"/>
  </r>
  <r>
    <n v="34"/>
    <x v="2"/>
    <x v="0"/>
    <s v="Non-Travel"/>
    <n v="967"/>
    <x v="0"/>
    <n v="16"/>
    <s v="Master"/>
    <x v="4"/>
    <s v="Very High"/>
    <x v="0"/>
    <n v="85"/>
    <s v="Low"/>
    <x v="1"/>
    <s v="Research Scientist"/>
    <s v="Low"/>
    <s v="Married"/>
    <n v="2307"/>
    <n v="14460"/>
    <n v="1"/>
    <s v="Yes"/>
    <n v="23"/>
    <s v="Outstanding"/>
    <s v="Medium"/>
    <n v="1"/>
    <n v="5"/>
    <n v="2"/>
    <s v="Better"/>
    <x v="8"/>
    <s v="0-5"/>
    <n v="2"/>
    <n v="3"/>
    <n v="0"/>
    <n v="1354"/>
  </r>
  <r>
    <n v="56"/>
    <x v="3"/>
    <x v="0"/>
    <s v="Travel_Rarely"/>
    <n v="1162"/>
    <x v="0"/>
    <n v="24"/>
    <s v="College"/>
    <x v="0"/>
    <s v="Low"/>
    <x v="0"/>
    <n v="97"/>
    <s v="High"/>
    <x v="1"/>
    <s v="Laboratory Technician"/>
    <s v="Very High"/>
    <s v="Single"/>
    <n v="2587"/>
    <n v="10261"/>
    <n v="1"/>
    <s v="No"/>
    <n v="16"/>
    <s v="Excellent"/>
    <s v="Very High"/>
    <n v="0"/>
    <n v="5"/>
    <n v="3"/>
    <s v="Better"/>
    <x v="9"/>
    <s v="0-5"/>
    <n v="2"/>
    <n v="1"/>
    <n v="0"/>
    <n v="1355"/>
  </r>
  <r>
    <n v="36"/>
    <x v="0"/>
    <x v="1"/>
    <s v="Travel_Rarely"/>
    <n v="335"/>
    <x v="1"/>
    <n v="17"/>
    <s v="College"/>
    <x v="3"/>
    <s v="High"/>
    <x v="0"/>
    <n v="33"/>
    <s v="Medium"/>
    <x v="0"/>
    <s v="Sales Executive"/>
    <s v="Medium"/>
    <s v="Married"/>
    <n v="5507"/>
    <n v="16822"/>
    <n v="2"/>
    <s v="No"/>
    <n v="16"/>
    <s v="Excellent"/>
    <s v="High"/>
    <n v="2"/>
    <n v="12"/>
    <n v="1"/>
    <s v="Bad"/>
    <x v="9"/>
    <s v="0-5"/>
    <n v="2"/>
    <n v="1"/>
    <n v="3"/>
    <n v="1356"/>
  </r>
  <r>
    <n v="41"/>
    <x v="0"/>
    <x v="1"/>
    <s v="Travel_Rarely"/>
    <n v="337"/>
    <x v="1"/>
    <n v="8"/>
    <s v="Bachelor"/>
    <x v="3"/>
    <s v="High"/>
    <x v="1"/>
    <n v="54"/>
    <s v="High"/>
    <x v="0"/>
    <s v="Sales Executive"/>
    <s v="Medium"/>
    <s v="Married"/>
    <n v="4393"/>
    <n v="26841"/>
    <n v="5"/>
    <s v="No"/>
    <n v="21"/>
    <s v="Outstanding"/>
    <s v="High"/>
    <n v="1"/>
    <n v="14"/>
    <n v="3"/>
    <s v="Better"/>
    <x v="8"/>
    <s v="0-5"/>
    <n v="4"/>
    <n v="1"/>
    <n v="4"/>
    <n v="1357"/>
  </r>
  <r>
    <n v="42"/>
    <x v="0"/>
    <x v="1"/>
    <s v="Travel_Rarely"/>
    <n v="1396"/>
    <x v="0"/>
    <n v="6"/>
    <s v="Bachelor"/>
    <x v="2"/>
    <s v="High"/>
    <x v="0"/>
    <n v="83"/>
    <s v="High"/>
    <x v="2"/>
    <s v="Research Director"/>
    <s v="Low"/>
    <s v="Married"/>
    <n v="13348"/>
    <n v="14842"/>
    <n v="9"/>
    <s v="No"/>
    <n v="13"/>
    <s v="Excellent"/>
    <s v="Medium"/>
    <n v="1"/>
    <n v="18"/>
    <n v="3"/>
    <s v="Best"/>
    <x v="20"/>
    <s v="10-40"/>
    <n v="7"/>
    <n v="5"/>
    <n v="7"/>
    <n v="1358"/>
  </r>
  <r>
    <n v="31"/>
    <x v="2"/>
    <x v="1"/>
    <s v="Travel_Rarely"/>
    <n v="1079"/>
    <x v="1"/>
    <n v="10"/>
    <s v="College"/>
    <x v="2"/>
    <s v="High"/>
    <x v="1"/>
    <n v="86"/>
    <s v="High"/>
    <x v="0"/>
    <s v="Sales Executive"/>
    <s v="Very High"/>
    <s v="Divorced"/>
    <n v="6583"/>
    <n v="20115"/>
    <n v="2"/>
    <s v="Yes"/>
    <n v="11"/>
    <s v="Excellent"/>
    <s v="Very High"/>
    <n v="1"/>
    <n v="8"/>
    <n v="2"/>
    <s v="Better"/>
    <x v="8"/>
    <s v="0-5"/>
    <n v="2"/>
    <n v="1"/>
    <n v="4"/>
    <n v="1359"/>
  </r>
  <r>
    <n v="34"/>
    <x v="2"/>
    <x v="1"/>
    <s v="Travel_Rarely"/>
    <n v="735"/>
    <x v="1"/>
    <n v="3"/>
    <s v="Below College"/>
    <x v="2"/>
    <s v="Very High"/>
    <x v="1"/>
    <n v="75"/>
    <s v="Medium"/>
    <x v="0"/>
    <s v="Sales Executive"/>
    <s v="Very High"/>
    <s v="Married"/>
    <n v="8103"/>
    <n v="16495"/>
    <n v="3"/>
    <s v="Yes"/>
    <n v="12"/>
    <s v="Excellent"/>
    <s v="High"/>
    <n v="0"/>
    <n v="9"/>
    <n v="3"/>
    <s v="Good"/>
    <x v="9"/>
    <s v="0-5"/>
    <n v="2"/>
    <n v="0"/>
    <n v="1"/>
    <n v="1360"/>
  </r>
  <r>
    <n v="31"/>
    <x v="2"/>
    <x v="1"/>
    <s v="Travel_Rarely"/>
    <n v="471"/>
    <x v="0"/>
    <n v="4"/>
    <s v="Bachelor"/>
    <x v="2"/>
    <s v="Low"/>
    <x v="1"/>
    <n v="62"/>
    <s v="Very High"/>
    <x v="1"/>
    <s v="Laboratory Technician"/>
    <s v="High"/>
    <s v="Divorced"/>
    <n v="3978"/>
    <n v="16031"/>
    <n v="8"/>
    <s v="No"/>
    <n v="12"/>
    <s v="Excellent"/>
    <s v="Medium"/>
    <n v="1"/>
    <n v="4"/>
    <n v="0"/>
    <s v="Good"/>
    <x v="4"/>
    <s v="0-5"/>
    <n v="2"/>
    <n v="2"/>
    <n v="2"/>
    <n v="1361"/>
  </r>
  <r>
    <n v="26"/>
    <x v="2"/>
    <x v="1"/>
    <s v="Travel_Frequently"/>
    <n v="1096"/>
    <x v="0"/>
    <n v="6"/>
    <s v="Bachelor"/>
    <x v="1"/>
    <s v="High"/>
    <x v="0"/>
    <n v="61"/>
    <s v="Very High"/>
    <x v="1"/>
    <s v="Laboratory Technician"/>
    <s v="Very High"/>
    <s v="Married"/>
    <n v="2544"/>
    <n v="7102"/>
    <n v="0"/>
    <s v="No"/>
    <n v="18"/>
    <s v="Excellent"/>
    <s v="Low"/>
    <n v="1"/>
    <n v="8"/>
    <n v="3"/>
    <s v="Better"/>
    <x v="5"/>
    <s v="5-10"/>
    <n v="7"/>
    <n v="7"/>
    <n v="7"/>
    <n v="1362"/>
  </r>
  <r>
    <n v="45"/>
    <x v="0"/>
    <x v="1"/>
    <s v="Travel_Frequently"/>
    <n v="1297"/>
    <x v="0"/>
    <n v="1"/>
    <s v="Master"/>
    <x v="2"/>
    <s v="Medium"/>
    <x v="0"/>
    <n v="44"/>
    <s v="High"/>
    <x v="0"/>
    <s v="Healthcare Representative"/>
    <s v="High"/>
    <s v="Single"/>
    <n v="5399"/>
    <n v="14511"/>
    <n v="4"/>
    <s v="No"/>
    <n v="12"/>
    <s v="Excellent"/>
    <s v="High"/>
    <n v="0"/>
    <n v="12"/>
    <n v="3"/>
    <s v="Better"/>
    <x v="9"/>
    <s v="0-5"/>
    <n v="2"/>
    <n v="0"/>
    <n v="3"/>
    <n v="1363"/>
  </r>
  <r>
    <n v="33"/>
    <x v="2"/>
    <x v="1"/>
    <s v="Travel_Rarely"/>
    <n v="217"/>
    <x v="1"/>
    <n v="10"/>
    <s v="Master"/>
    <x v="3"/>
    <s v="Medium"/>
    <x v="0"/>
    <n v="43"/>
    <s v="High"/>
    <x v="0"/>
    <s v="Sales Executive"/>
    <s v="High"/>
    <s v="Single"/>
    <n v="5487"/>
    <n v="10410"/>
    <n v="1"/>
    <s v="No"/>
    <n v="14"/>
    <s v="Excellent"/>
    <s v="Medium"/>
    <n v="0"/>
    <n v="10"/>
    <n v="2"/>
    <s v="Good"/>
    <x v="1"/>
    <s v="5-10"/>
    <n v="4"/>
    <n v="0"/>
    <n v="9"/>
    <n v="1364"/>
  </r>
  <r>
    <n v="28"/>
    <x v="2"/>
    <x v="1"/>
    <s v="Travel_Frequently"/>
    <n v="783"/>
    <x v="1"/>
    <n v="1"/>
    <s v="College"/>
    <x v="0"/>
    <s v="High"/>
    <x v="0"/>
    <n v="42"/>
    <s v="Medium"/>
    <x v="0"/>
    <s v="Sales Executive"/>
    <s v="Very High"/>
    <s v="Married"/>
    <n v="6834"/>
    <n v="19255"/>
    <n v="1"/>
    <s v="Yes"/>
    <n v="12"/>
    <s v="Excellent"/>
    <s v="High"/>
    <n v="1"/>
    <n v="7"/>
    <n v="2"/>
    <s v="Better"/>
    <x v="5"/>
    <s v="5-10"/>
    <n v="7"/>
    <n v="0"/>
    <n v="7"/>
    <n v="1365"/>
  </r>
  <r>
    <n v="29"/>
    <x v="2"/>
    <x v="0"/>
    <s v="Travel_Frequently"/>
    <n v="746"/>
    <x v="1"/>
    <n v="24"/>
    <s v="Bachelor"/>
    <x v="4"/>
    <s v="High"/>
    <x v="0"/>
    <n v="45"/>
    <s v="Very High"/>
    <x v="1"/>
    <s v="Sales Representative"/>
    <s v="Low"/>
    <s v="Single"/>
    <n v="1091"/>
    <n v="10642"/>
    <n v="1"/>
    <s v="No"/>
    <n v="17"/>
    <s v="Excellent"/>
    <s v="Very High"/>
    <n v="0"/>
    <n v="1"/>
    <n v="3"/>
    <s v="Better"/>
    <x v="6"/>
    <s v="0-5"/>
    <n v="0"/>
    <n v="0"/>
    <n v="0"/>
    <n v="1366"/>
  </r>
  <r>
    <n v="39"/>
    <x v="0"/>
    <x v="1"/>
    <s v="Non-Travel"/>
    <n v="1251"/>
    <x v="1"/>
    <n v="21"/>
    <s v="Master"/>
    <x v="0"/>
    <s v="Low"/>
    <x v="1"/>
    <n v="32"/>
    <s v="Low"/>
    <x v="0"/>
    <s v="Sales Executive"/>
    <s v="High"/>
    <s v="Married"/>
    <n v="5736"/>
    <n v="3987"/>
    <n v="6"/>
    <s v="No"/>
    <n v="19"/>
    <s v="Excellent"/>
    <s v="High"/>
    <n v="1"/>
    <n v="10"/>
    <n v="1"/>
    <s v="Better"/>
    <x v="11"/>
    <s v="0-5"/>
    <n v="2"/>
    <n v="1"/>
    <n v="2"/>
    <n v="1367"/>
  </r>
  <r>
    <n v="27"/>
    <x v="2"/>
    <x v="1"/>
    <s v="Travel_Rarely"/>
    <n v="1354"/>
    <x v="0"/>
    <n v="2"/>
    <s v="Master"/>
    <x v="4"/>
    <s v="Medium"/>
    <x v="0"/>
    <n v="41"/>
    <s v="High"/>
    <x v="1"/>
    <s v="Research Scientist"/>
    <s v="Medium"/>
    <s v="Married"/>
    <n v="2226"/>
    <n v="6073"/>
    <n v="1"/>
    <s v="No"/>
    <n v="11"/>
    <s v="Excellent"/>
    <s v="High"/>
    <n v="1"/>
    <n v="6"/>
    <n v="3"/>
    <s v="Good"/>
    <x v="8"/>
    <s v="0-5"/>
    <n v="3"/>
    <n v="1"/>
    <n v="2"/>
    <n v="1368"/>
  </r>
  <r>
    <n v="34"/>
    <x v="2"/>
    <x v="1"/>
    <s v="Travel_Frequently"/>
    <n v="735"/>
    <x v="0"/>
    <n v="22"/>
    <s v="Master"/>
    <x v="1"/>
    <s v="High"/>
    <x v="0"/>
    <n v="86"/>
    <s v="Medium"/>
    <x v="0"/>
    <s v="Research Scientist"/>
    <s v="Very High"/>
    <s v="Married"/>
    <n v="5747"/>
    <n v="26496"/>
    <n v="1"/>
    <s v="Yes"/>
    <n v="15"/>
    <s v="Excellent"/>
    <s v="Medium"/>
    <n v="0"/>
    <n v="16"/>
    <n v="3"/>
    <s v="Better"/>
    <x v="15"/>
    <s v="10-40"/>
    <n v="10"/>
    <n v="6"/>
    <n v="11"/>
    <n v="1369"/>
  </r>
  <r>
    <n v="28"/>
    <x v="2"/>
    <x v="0"/>
    <s v="Travel_Rarely"/>
    <n v="1475"/>
    <x v="1"/>
    <n v="13"/>
    <s v="College"/>
    <x v="3"/>
    <s v="Very High"/>
    <x v="1"/>
    <n v="84"/>
    <s v="High"/>
    <x v="0"/>
    <s v="Sales Executive"/>
    <s v="High"/>
    <s v="Single"/>
    <n v="9854"/>
    <n v="23352"/>
    <n v="3"/>
    <s v="Yes"/>
    <n v="11"/>
    <s v="Excellent"/>
    <s v="Very High"/>
    <n v="0"/>
    <n v="6"/>
    <n v="0"/>
    <s v="Better"/>
    <x v="4"/>
    <s v="0-5"/>
    <n v="0"/>
    <n v="2"/>
    <n v="2"/>
    <n v="1370"/>
  </r>
  <r>
    <n v="47"/>
    <x v="1"/>
    <x v="1"/>
    <s v="Non-Travel"/>
    <n v="1169"/>
    <x v="0"/>
    <n v="14"/>
    <s v="Master"/>
    <x v="4"/>
    <s v="High"/>
    <x v="0"/>
    <n v="64"/>
    <s v="High"/>
    <x v="0"/>
    <s v="Research Scientist"/>
    <s v="Medium"/>
    <s v="Married"/>
    <n v="5467"/>
    <n v="2125"/>
    <n v="8"/>
    <s v="No"/>
    <n v="18"/>
    <s v="Excellent"/>
    <s v="High"/>
    <n v="1"/>
    <n v="16"/>
    <n v="4"/>
    <s v="Best"/>
    <x v="3"/>
    <s v="5-10"/>
    <n v="7"/>
    <n v="1"/>
    <n v="7"/>
    <n v="1371"/>
  </r>
  <r>
    <n v="56"/>
    <x v="3"/>
    <x v="1"/>
    <s v="Travel_Rarely"/>
    <n v="1443"/>
    <x v="1"/>
    <n v="11"/>
    <s v="Doctor"/>
    <x v="3"/>
    <s v="Very High"/>
    <x v="1"/>
    <n v="89"/>
    <s v="Medium"/>
    <x v="0"/>
    <s v="Sales Executive"/>
    <s v="Low"/>
    <s v="Married"/>
    <n v="5380"/>
    <n v="20328"/>
    <n v="4"/>
    <s v="No"/>
    <n v="16"/>
    <s v="Excellent"/>
    <s v="High"/>
    <n v="1"/>
    <n v="6"/>
    <n v="3"/>
    <s v="Better"/>
    <x v="2"/>
    <s v="0-5"/>
    <n v="0"/>
    <n v="0"/>
    <n v="0"/>
    <n v="1372"/>
  </r>
  <r>
    <n v="39"/>
    <x v="0"/>
    <x v="1"/>
    <s v="Travel_Rarely"/>
    <n v="867"/>
    <x v="0"/>
    <n v="9"/>
    <s v="College"/>
    <x v="2"/>
    <s v="Low"/>
    <x v="0"/>
    <n v="87"/>
    <s v="High"/>
    <x v="0"/>
    <s v="Manufacturing Director"/>
    <s v="Low"/>
    <s v="Married"/>
    <n v="5151"/>
    <n v="12315"/>
    <n v="1"/>
    <s v="No"/>
    <n v="25"/>
    <s v="Outstanding"/>
    <s v="Very High"/>
    <n v="1"/>
    <n v="10"/>
    <n v="3"/>
    <s v="Better"/>
    <x v="1"/>
    <s v="5-10"/>
    <n v="0"/>
    <n v="7"/>
    <n v="9"/>
    <n v="1373"/>
  </r>
  <r>
    <n v="38"/>
    <x v="0"/>
    <x v="1"/>
    <s v="Travel_Frequently"/>
    <n v="1394"/>
    <x v="0"/>
    <n v="8"/>
    <s v="Bachelor"/>
    <x v="2"/>
    <s v="Very High"/>
    <x v="1"/>
    <n v="58"/>
    <s v="Medium"/>
    <x v="0"/>
    <s v="Research Scientist"/>
    <s v="Medium"/>
    <s v="Divorced"/>
    <n v="2133"/>
    <n v="18115"/>
    <n v="1"/>
    <s v="Yes"/>
    <n v="16"/>
    <s v="Excellent"/>
    <s v="High"/>
    <n v="1"/>
    <n v="20"/>
    <n v="3"/>
    <s v="Better"/>
    <x v="23"/>
    <s v="10-40"/>
    <n v="11"/>
    <n v="0"/>
    <n v="7"/>
    <n v="1374"/>
  </r>
  <r>
    <n v="58"/>
    <x v="3"/>
    <x v="1"/>
    <s v="Travel_Rarely"/>
    <n v="605"/>
    <x v="1"/>
    <n v="21"/>
    <s v="Bachelor"/>
    <x v="0"/>
    <s v="Very High"/>
    <x v="1"/>
    <n v="72"/>
    <s v="High"/>
    <x v="3"/>
    <s v="Manager"/>
    <s v="Very High"/>
    <s v="Married"/>
    <n v="17875"/>
    <n v="11761"/>
    <n v="4"/>
    <s v="Yes"/>
    <n v="13"/>
    <s v="Excellent"/>
    <s v="High"/>
    <n v="1"/>
    <n v="29"/>
    <n v="2"/>
    <s v="Good"/>
    <x v="6"/>
    <s v="0-5"/>
    <n v="0"/>
    <n v="0"/>
    <n v="0"/>
    <n v="1375"/>
  </r>
  <r>
    <n v="32"/>
    <x v="2"/>
    <x v="0"/>
    <s v="Travel_Frequently"/>
    <n v="238"/>
    <x v="0"/>
    <n v="5"/>
    <s v="College"/>
    <x v="0"/>
    <s v="Low"/>
    <x v="1"/>
    <n v="47"/>
    <s v="Very High"/>
    <x v="1"/>
    <s v="Research Scientist"/>
    <s v="High"/>
    <s v="Single"/>
    <n v="2432"/>
    <n v="15318"/>
    <n v="3"/>
    <s v="Yes"/>
    <n v="14"/>
    <s v="Excellent"/>
    <s v="Low"/>
    <n v="0"/>
    <n v="8"/>
    <n v="2"/>
    <s v="Better"/>
    <x v="9"/>
    <s v="0-5"/>
    <n v="1"/>
    <n v="0"/>
    <n v="3"/>
    <n v="1376"/>
  </r>
  <r>
    <n v="38"/>
    <x v="0"/>
    <x v="1"/>
    <s v="Travel_Rarely"/>
    <n v="1206"/>
    <x v="0"/>
    <n v="9"/>
    <s v="College"/>
    <x v="0"/>
    <s v="Medium"/>
    <x v="0"/>
    <n v="71"/>
    <s v="High"/>
    <x v="1"/>
    <s v="Research Scientist"/>
    <s v="Very High"/>
    <s v="Divorced"/>
    <n v="4771"/>
    <n v="14293"/>
    <n v="2"/>
    <s v="No"/>
    <n v="19"/>
    <s v="Excellent"/>
    <s v="Very High"/>
    <n v="2"/>
    <n v="10"/>
    <n v="0"/>
    <s v="Best"/>
    <x v="8"/>
    <s v="0-5"/>
    <n v="2"/>
    <n v="0"/>
    <n v="3"/>
    <n v="1377"/>
  </r>
  <r>
    <n v="49"/>
    <x v="1"/>
    <x v="1"/>
    <s v="Travel_Frequently"/>
    <n v="1064"/>
    <x v="0"/>
    <n v="2"/>
    <s v="Below College"/>
    <x v="0"/>
    <s v="Medium"/>
    <x v="0"/>
    <n v="42"/>
    <s v="High"/>
    <x v="4"/>
    <s v="Research Director"/>
    <s v="Very High"/>
    <s v="Married"/>
    <n v="19161"/>
    <n v="13738"/>
    <n v="3"/>
    <s v="No"/>
    <n v="15"/>
    <s v="Excellent"/>
    <s v="Very High"/>
    <n v="0"/>
    <n v="28"/>
    <n v="3"/>
    <s v="Better"/>
    <x v="8"/>
    <s v="0-5"/>
    <n v="4"/>
    <n v="4"/>
    <n v="3"/>
    <n v="1378"/>
  </r>
  <r>
    <n v="42"/>
    <x v="0"/>
    <x v="1"/>
    <s v="Travel_Rarely"/>
    <n v="419"/>
    <x v="1"/>
    <n v="12"/>
    <s v="Master"/>
    <x v="3"/>
    <s v="Medium"/>
    <x v="0"/>
    <n v="77"/>
    <s v="High"/>
    <x v="0"/>
    <s v="Sales Executive"/>
    <s v="Very High"/>
    <s v="Divorced"/>
    <n v="5087"/>
    <n v="2900"/>
    <n v="3"/>
    <s v="Yes"/>
    <n v="12"/>
    <s v="Excellent"/>
    <s v="High"/>
    <n v="2"/>
    <n v="14"/>
    <n v="4"/>
    <s v="Better"/>
    <x v="2"/>
    <s v="0-5"/>
    <n v="0"/>
    <n v="0"/>
    <n v="0"/>
    <n v="1379"/>
  </r>
  <r>
    <n v="27"/>
    <x v="2"/>
    <x v="0"/>
    <s v="Travel_Frequently"/>
    <n v="1337"/>
    <x v="2"/>
    <n v="22"/>
    <s v="Bachelor"/>
    <x v="5"/>
    <s v="Low"/>
    <x v="1"/>
    <n v="58"/>
    <s v="Medium"/>
    <x v="1"/>
    <s v="Human Resources"/>
    <s v="Medium"/>
    <s v="Married"/>
    <n v="2863"/>
    <n v="19555"/>
    <n v="1"/>
    <s v="No"/>
    <n v="12"/>
    <s v="Excellent"/>
    <s v="Low"/>
    <n v="0"/>
    <n v="1"/>
    <n v="2"/>
    <s v="Better"/>
    <x v="6"/>
    <s v="0-5"/>
    <n v="0"/>
    <n v="0"/>
    <n v="0"/>
    <n v="1380"/>
  </r>
  <r>
    <n v="35"/>
    <x v="2"/>
    <x v="1"/>
    <s v="Travel_Rarely"/>
    <n v="682"/>
    <x v="1"/>
    <n v="18"/>
    <s v="Master"/>
    <x v="2"/>
    <s v="Medium"/>
    <x v="0"/>
    <n v="71"/>
    <s v="High"/>
    <x v="0"/>
    <s v="Sales Executive"/>
    <s v="Low"/>
    <s v="Married"/>
    <n v="5561"/>
    <n v="15975"/>
    <n v="0"/>
    <s v="No"/>
    <n v="16"/>
    <s v="Excellent"/>
    <s v="Very High"/>
    <n v="1"/>
    <n v="6"/>
    <n v="2"/>
    <s v="Bad"/>
    <x v="8"/>
    <s v="0-5"/>
    <n v="3"/>
    <n v="0"/>
    <n v="4"/>
    <n v="1381"/>
  </r>
  <r>
    <n v="28"/>
    <x v="2"/>
    <x v="1"/>
    <s v="Non-Travel"/>
    <n v="1103"/>
    <x v="0"/>
    <n v="16"/>
    <s v="Bachelor"/>
    <x v="2"/>
    <s v="High"/>
    <x v="0"/>
    <n v="49"/>
    <s v="High"/>
    <x v="1"/>
    <s v="Research Scientist"/>
    <s v="High"/>
    <s v="Single"/>
    <n v="2144"/>
    <n v="2122"/>
    <n v="1"/>
    <s v="No"/>
    <n v="14"/>
    <s v="Excellent"/>
    <s v="High"/>
    <n v="0"/>
    <n v="5"/>
    <n v="3"/>
    <s v="Good"/>
    <x v="8"/>
    <s v="0-5"/>
    <n v="3"/>
    <n v="1"/>
    <n v="4"/>
    <n v="1382"/>
  </r>
  <r>
    <n v="31"/>
    <x v="2"/>
    <x v="1"/>
    <s v="Non-Travel"/>
    <n v="976"/>
    <x v="0"/>
    <n v="3"/>
    <s v="College"/>
    <x v="2"/>
    <s v="High"/>
    <x v="0"/>
    <n v="48"/>
    <s v="High"/>
    <x v="1"/>
    <s v="Research Scientist"/>
    <s v="Low"/>
    <s v="Divorced"/>
    <n v="3065"/>
    <n v="3995"/>
    <n v="1"/>
    <s v="Yes"/>
    <n v="13"/>
    <s v="Excellent"/>
    <s v="Very High"/>
    <n v="1"/>
    <n v="4"/>
    <n v="3"/>
    <s v="Best"/>
    <x v="9"/>
    <s v="0-5"/>
    <n v="2"/>
    <n v="2"/>
    <n v="3"/>
    <n v="1383"/>
  </r>
  <r>
    <n v="36"/>
    <x v="0"/>
    <x v="1"/>
    <s v="Non-Travel"/>
    <n v="1351"/>
    <x v="0"/>
    <n v="9"/>
    <s v="Master"/>
    <x v="0"/>
    <s v="Low"/>
    <x v="0"/>
    <n v="66"/>
    <s v="Very High"/>
    <x v="1"/>
    <s v="Laboratory Technician"/>
    <s v="Medium"/>
    <s v="Married"/>
    <n v="2810"/>
    <n v="9238"/>
    <n v="1"/>
    <s v="No"/>
    <n v="22"/>
    <s v="Outstanding"/>
    <s v="Medium"/>
    <n v="0"/>
    <n v="5"/>
    <n v="3"/>
    <s v="Better"/>
    <x v="8"/>
    <s v="0-5"/>
    <n v="4"/>
    <n v="0"/>
    <n v="2"/>
    <n v="1384"/>
  </r>
  <r>
    <n v="34"/>
    <x v="2"/>
    <x v="1"/>
    <s v="Travel_Rarely"/>
    <n v="937"/>
    <x v="1"/>
    <n v="1"/>
    <s v="Bachelor"/>
    <x v="3"/>
    <s v="Low"/>
    <x v="0"/>
    <n v="32"/>
    <s v="High"/>
    <x v="2"/>
    <s v="Sales Executive"/>
    <s v="Very High"/>
    <s v="Single"/>
    <n v="9888"/>
    <n v="6770"/>
    <n v="1"/>
    <s v="No"/>
    <n v="21"/>
    <s v="Outstanding"/>
    <s v="Low"/>
    <n v="0"/>
    <n v="14"/>
    <n v="3"/>
    <s v="Good"/>
    <x v="13"/>
    <s v="10-40"/>
    <n v="8"/>
    <n v="2"/>
    <n v="1"/>
    <n v="1385"/>
  </r>
  <r>
    <n v="34"/>
    <x v="2"/>
    <x v="1"/>
    <s v="Travel_Rarely"/>
    <n v="1239"/>
    <x v="1"/>
    <n v="13"/>
    <s v="Master"/>
    <x v="2"/>
    <s v="Very High"/>
    <x v="0"/>
    <n v="39"/>
    <s v="High"/>
    <x v="2"/>
    <s v="Sales Executive"/>
    <s v="High"/>
    <s v="Divorced"/>
    <n v="8628"/>
    <n v="22914"/>
    <n v="1"/>
    <s v="No"/>
    <n v="18"/>
    <s v="Excellent"/>
    <s v="High"/>
    <n v="1"/>
    <n v="9"/>
    <n v="2"/>
    <s v="Good"/>
    <x v="3"/>
    <s v="5-10"/>
    <n v="7"/>
    <n v="1"/>
    <n v="1"/>
    <n v="1386"/>
  </r>
  <r>
    <n v="26"/>
    <x v="2"/>
    <x v="1"/>
    <s v="Travel_Rarely"/>
    <n v="157"/>
    <x v="0"/>
    <n v="1"/>
    <s v="Bachelor"/>
    <x v="2"/>
    <s v="High"/>
    <x v="0"/>
    <n v="95"/>
    <s v="High"/>
    <x v="1"/>
    <s v="Laboratory Technician"/>
    <s v="Low"/>
    <s v="Single"/>
    <n v="2867"/>
    <n v="20006"/>
    <n v="0"/>
    <s v="No"/>
    <n v="13"/>
    <s v="Excellent"/>
    <s v="Very High"/>
    <n v="0"/>
    <n v="8"/>
    <n v="6"/>
    <s v="Good"/>
    <x v="5"/>
    <s v="5-10"/>
    <n v="7"/>
    <n v="7"/>
    <n v="6"/>
    <n v="1387"/>
  </r>
  <r>
    <n v="29"/>
    <x v="2"/>
    <x v="1"/>
    <s v="Travel_Rarely"/>
    <n v="136"/>
    <x v="0"/>
    <n v="1"/>
    <s v="Bachelor"/>
    <x v="0"/>
    <s v="Low"/>
    <x v="0"/>
    <n v="89"/>
    <s v="High"/>
    <x v="0"/>
    <s v="Healthcare Representative"/>
    <s v="Low"/>
    <s v="Married"/>
    <n v="5373"/>
    <n v="6225"/>
    <n v="0"/>
    <s v="No"/>
    <n v="12"/>
    <s v="Excellent"/>
    <s v="Low"/>
    <n v="1"/>
    <n v="6"/>
    <n v="5"/>
    <s v="Good"/>
    <x v="8"/>
    <s v="0-5"/>
    <n v="3"/>
    <n v="0"/>
    <n v="2"/>
    <n v="1388"/>
  </r>
  <r>
    <n v="32"/>
    <x v="2"/>
    <x v="1"/>
    <s v="Non-Travel"/>
    <n v="1146"/>
    <x v="0"/>
    <n v="15"/>
    <s v="Master"/>
    <x v="2"/>
    <s v="High"/>
    <x v="1"/>
    <n v="34"/>
    <s v="High"/>
    <x v="0"/>
    <s v="Healthcare Representative"/>
    <s v="Very High"/>
    <s v="Divorced"/>
    <n v="6667"/>
    <n v="16542"/>
    <n v="5"/>
    <s v="No"/>
    <n v="18"/>
    <s v="Excellent"/>
    <s v="Medium"/>
    <n v="1"/>
    <n v="9"/>
    <n v="6"/>
    <s v="Better"/>
    <x v="8"/>
    <s v="0-5"/>
    <n v="1"/>
    <n v="1"/>
    <n v="2"/>
    <n v="1389"/>
  </r>
  <r>
    <n v="31"/>
    <x v="2"/>
    <x v="1"/>
    <s v="Travel_Frequently"/>
    <n v="1125"/>
    <x v="0"/>
    <n v="1"/>
    <s v="Bachelor"/>
    <x v="0"/>
    <s v="Very High"/>
    <x v="0"/>
    <n v="48"/>
    <s v="Low"/>
    <x v="0"/>
    <s v="Research Scientist"/>
    <s v="Low"/>
    <s v="Married"/>
    <n v="5003"/>
    <n v="5771"/>
    <n v="1"/>
    <s v="No"/>
    <n v="21"/>
    <s v="Outstanding"/>
    <s v="Medium"/>
    <n v="0"/>
    <n v="10"/>
    <n v="6"/>
    <s v="Better"/>
    <x v="1"/>
    <s v="5-10"/>
    <n v="8"/>
    <n v="8"/>
    <n v="7"/>
    <n v="1390"/>
  </r>
  <r>
    <n v="28"/>
    <x v="2"/>
    <x v="0"/>
    <s v="Travel_Rarely"/>
    <n v="1404"/>
    <x v="0"/>
    <n v="17"/>
    <s v="Bachelor"/>
    <x v="4"/>
    <s v="High"/>
    <x v="0"/>
    <n v="32"/>
    <s v="Medium"/>
    <x v="1"/>
    <s v="Laboratory Technician"/>
    <s v="Very High"/>
    <s v="Divorced"/>
    <n v="2367"/>
    <n v="18779"/>
    <n v="5"/>
    <s v="No"/>
    <n v="12"/>
    <s v="Excellent"/>
    <s v="Low"/>
    <n v="1"/>
    <n v="6"/>
    <n v="2"/>
    <s v="Good"/>
    <x v="9"/>
    <s v="0-5"/>
    <n v="1"/>
    <n v="0"/>
    <n v="3"/>
    <n v="1391"/>
  </r>
  <r>
    <n v="38"/>
    <x v="0"/>
    <x v="1"/>
    <s v="Travel_Rarely"/>
    <n v="1404"/>
    <x v="1"/>
    <n v="1"/>
    <s v="Bachelor"/>
    <x v="0"/>
    <s v="Low"/>
    <x v="0"/>
    <n v="59"/>
    <s v="Medium"/>
    <x v="1"/>
    <s v="Sales Representative"/>
    <s v="Low"/>
    <s v="Single"/>
    <n v="2858"/>
    <n v="11473"/>
    <n v="4"/>
    <s v="No"/>
    <n v="14"/>
    <s v="Excellent"/>
    <s v="Low"/>
    <n v="0"/>
    <n v="20"/>
    <n v="3"/>
    <s v="Good"/>
    <x v="6"/>
    <s v="0-5"/>
    <n v="0"/>
    <n v="0"/>
    <n v="0"/>
    <n v="1392"/>
  </r>
  <r>
    <n v="35"/>
    <x v="2"/>
    <x v="1"/>
    <s v="Travel_Rarely"/>
    <n v="1224"/>
    <x v="1"/>
    <n v="7"/>
    <s v="Master"/>
    <x v="0"/>
    <s v="High"/>
    <x v="1"/>
    <n v="55"/>
    <s v="High"/>
    <x v="0"/>
    <s v="Sales Executive"/>
    <s v="Very High"/>
    <s v="Married"/>
    <n v="5204"/>
    <n v="13586"/>
    <n v="1"/>
    <s v="Yes"/>
    <n v="11"/>
    <s v="Excellent"/>
    <s v="Very High"/>
    <n v="0"/>
    <n v="10"/>
    <n v="2"/>
    <s v="Better"/>
    <x v="1"/>
    <s v="5-10"/>
    <n v="8"/>
    <n v="0"/>
    <n v="9"/>
    <n v="1393"/>
  </r>
  <r>
    <n v="27"/>
    <x v="2"/>
    <x v="1"/>
    <s v="Travel_Rarely"/>
    <n v="954"/>
    <x v="1"/>
    <n v="9"/>
    <s v="Bachelor"/>
    <x v="3"/>
    <s v="Very High"/>
    <x v="0"/>
    <n v="44"/>
    <s v="High"/>
    <x v="0"/>
    <s v="Sales Executive"/>
    <s v="Very High"/>
    <s v="Single"/>
    <n v="4105"/>
    <n v="5099"/>
    <n v="1"/>
    <s v="No"/>
    <n v="14"/>
    <s v="Excellent"/>
    <s v="Low"/>
    <n v="0"/>
    <n v="7"/>
    <n v="5"/>
    <s v="Better"/>
    <x v="5"/>
    <s v="5-10"/>
    <n v="7"/>
    <n v="0"/>
    <n v="7"/>
    <n v="1394"/>
  </r>
  <r>
    <n v="32"/>
    <x v="2"/>
    <x v="1"/>
    <s v="Travel_Rarely"/>
    <n v="1373"/>
    <x v="0"/>
    <n v="5"/>
    <s v="Master"/>
    <x v="0"/>
    <s v="Very High"/>
    <x v="0"/>
    <n v="56"/>
    <s v="Medium"/>
    <x v="0"/>
    <s v="Manufacturing Director"/>
    <s v="Very High"/>
    <s v="Single"/>
    <n v="9679"/>
    <n v="10138"/>
    <n v="8"/>
    <s v="No"/>
    <n v="24"/>
    <s v="Outstanding"/>
    <s v="Medium"/>
    <n v="0"/>
    <n v="8"/>
    <n v="1"/>
    <s v="Better"/>
    <x v="6"/>
    <s v="0-5"/>
    <n v="0"/>
    <n v="0"/>
    <n v="0"/>
    <n v="1395"/>
  </r>
  <r>
    <n v="31"/>
    <x v="2"/>
    <x v="0"/>
    <s v="Travel_Frequently"/>
    <n v="754"/>
    <x v="1"/>
    <n v="26"/>
    <s v="Master"/>
    <x v="3"/>
    <s v="Low"/>
    <x v="0"/>
    <n v="63"/>
    <s v="High"/>
    <x v="0"/>
    <s v="Sales Executive"/>
    <s v="Very High"/>
    <s v="Married"/>
    <n v="5617"/>
    <n v="21075"/>
    <n v="1"/>
    <s v="Yes"/>
    <n v="11"/>
    <s v="Excellent"/>
    <s v="High"/>
    <n v="0"/>
    <n v="10"/>
    <n v="4"/>
    <s v="Better"/>
    <x v="1"/>
    <s v="5-10"/>
    <n v="7"/>
    <n v="0"/>
    <n v="8"/>
    <n v="1396"/>
  </r>
  <r>
    <n v="53"/>
    <x v="1"/>
    <x v="0"/>
    <s v="Travel_Rarely"/>
    <n v="1168"/>
    <x v="1"/>
    <n v="24"/>
    <s v="Master"/>
    <x v="0"/>
    <s v="Low"/>
    <x v="0"/>
    <n v="66"/>
    <s v="High"/>
    <x v="2"/>
    <s v="Sales Executive"/>
    <s v="Low"/>
    <s v="Single"/>
    <n v="10448"/>
    <n v="5843"/>
    <n v="6"/>
    <s v="Yes"/>
    <n v="13"/>
    <s v="Excellent"/>
    <s v="Medium"/>
    <n v="0"/>
    <n v="15"/>
    <n v="2"/>
    <s v="Good"/>
    <x v="4"/>
    <s v="0-5"/>
    <n v="2"/>
    <n v="2"/>
    <n v="2"/>
    <n v="1397"/>
  </r>
  <r>
    <n v="54"/>
    <x v="1"/>
    <x v="1"/>
    <s v="Travel_Rarely"/>
    <n v="155"/>
    <x v="0"/>
    <n v="9"/>
    <s v="College"/>
    <x v="0"/>
    <s v="Low"/>
    <x v="1"/>
    <n v="67"/>
    <s v="High"/>
    <x v="0"/>
    <s v="Research Scientist"/>
    <s v="High"/>
    <s v="Married"/>
    <n v="2897"/>
    <n v="22474"/>
    <n v="3"/>
    <s v="No"/>
    <n v="11"/>
    <s v="Excellent"/>
    <s v="High"/>
    <n v="2"/>
    <n v="9"/>
    <n v="6"/>
    <s v="Good"/>
    <x v="9"/>
    <s v="0-5"/>
    <n v="3"/>
    <n v="2"/>
    <n v="3"/>
    <n v="1398"/>
  </r>
  <r>
    <n v="33"/>
    <x v="2"/>
    <x v="1"/>
    <s v="Travel_Frequently"/>
    <n v="1303"/>
    <x v="0"/>
    <n v="7"/>
    <s v="College"/>
    <x v="0"/>
    <s v="Very High"/>
    <x v="0"/>
    <n v="36"/>
    <s v="High"/>
    <x v="0"/>
    <s v="Healthcare Representative"/>
    <s v="High"/>
    <s v="Divorced"/>
    <n v="5968"/>
    <n v="18079"/>
    <n v="1"/>
    <s v="No"/>
    <n v="20"/>
    <s v="Outstanding"/>
    <s v="High"/>
    <n v="3"/>
    <n v="9"/>
    <n v="2"/>
    <s v="Better"/>
    <x v="7"/>
    <s v="5-10"/>
    <n v="7"/>
    <n v="2"/>
    <n v="8"/>
    <n v="1399"/>
  </r>
  <r>
    <n v="43"/>
    <x v="0"/>
    <x v="1"/>
    <s v="Travel_Rarely"/>
    <n v="574"/>
    <x v="0"/>
    <n v="11"/>
    <s v="Bachelor"/>
    <x v="0"/>
    <s v="Low"/>
    <x v="0"/>
    <n v="30"/>
    <s v="High"/>
    <x v="2"/>
    <s v="Healthcare Representative"/>
    <s v="High"/>
    <s v="Married"/>
    <n v="7510"/>
    <n v="16873"/>
    <n v="1"/>
    <s v="No"/>
    <n v="17"/>
    <s v="Excellent"/>
    <s v="Medium"/>
    <n v="1"/>
    <n v="10"/>
    <n v="1"/>
    <s v="Better"/>
    <x v="1"/>
    <s v="5-10"/>
    <n v="9"/>
    <n v="0"/>
    <n v="9"/>
    <n v="1400"/>
  </r>
  <r>
    <n v="38"/>
    <x v="0"/>
    <x v="1"/>
    <s v="Travel_Frequently"/>
    <n v="1444"/>
    <x v="2"/>
    <n v="1"/>
    <s v="Master"/>
    <x v="1"/>
    <s v="Very High"/>
    <x v="0"/>
    <n v="88"/>
    <s v="High"/>
    <x v="1"/>
    <s v="Human Resources"/>
    <s v="Medium"/>
    <s v="Married"/>
    <n v="2991"/>
    <n v="5224"/>
    <n v="0"/>
    <s v="Yes"/>
    <n v="11"/>
    <s v="Excellent"/>
    <s v="Medium"/>
    <n v="1"/>
    <n v="7"/>
    <n v="2"/>
    <s v="Better"/>
    <x v="0"/>
    <s v="5-10"/>
    <n v="2"/>
    <n v="1"/>
    <n v="2"/>
    <n v="1401"/>
  </r>
  <r>
    <n v="55"/>
    <x v="1"/>
    <x v="1"/>
    <s v="Travel_Rarely"/>
    <n v="189"/>
    <x v="2"/>
    <n v="26"/>
    <s v="Master"/>
    <x v="5"/>
    <s v="High"/>
    <x v="0"/>
    <n v="71"/>
    <s v="Very High"/>
    <x v="4"/>
    <s v="Manager"/>
    <s v="Medium"/>
    <s v="Married"/>
    <n v="19636"/>
    <n v="25811"/>
    <n v="4"/>
    <s v="Yes"/>
    <n v="18"/>
    <s v="Excellent"/>
    <s v="Low"/>
    <n v="1"/>
    <n v="35"/>
    <n v="0"/>
    <s v="Better"/>
    <x v="1"/>
    <s v="5-10"/>
    <n v="9"/>
    <n v="1"/>
    <n v="4"/>
    <n v="1402"/>
  </r>
  <r>
    <n v="31"/>
    <x v="2"/>
    <x v="1"/>
    <s v="Travel_Rarely"/>
    <n v="1276"/>
    <x v="0"/>
    <n v="2"/>
    <s v="Below College"/>
    <x v="2"/>
    <s v="Very High"/>
    <x v="1"/>
    <n v="59"/>
    <s v="Low"/>
    <x v="1"/>
    <s v="Laboratory Technician"/>
    <s v="Very High"/>
    <s v="Divorced"/>
    <n v="1129"/>
    <n v="17536"/>
    <n v="1"/>
    <s v="Yes"/>
    <n v="11"/>
    <s v="Excellent"/>
    <s v="High"/>
    <n v="3"/>
    <n v="1"/>
    <n v="4"/>
    <s v="Better"/>
    <x v="6"/>
    <s v="0-5"/>
    <n v="0"/>
    <n v="0"/>
    <n v="0"/>
    <n v="1403"/>
  </r>
  <r>
    <n v="39"/>
    <x v="0"/>
    <x v="1"/>
    <s v="Travel_Rarely"/>
    <n v="119"/>
    <x v="1"/>
    <n v="15"/>
    <s v="Master"/>
    <x v="3"/>
    <s v="Medium"/>
    <x v="0"/>
    <n v="77"/>
    <s v="High"/>
    <x v="3"/>
    <s v="Sales Executive"/>
    <s v="Low"/>
    <s v="Single"/>
    <n v="13341"/>
    <n v="25098"/>
    <n v="0"/>
    <s v="No"/>
    <n v="12"/>
    <s v="Excellent"/>
    <s v="Low"/>
    <n v="0"/>
    <n v="21"/>
    <n v="3"/>
    <s v="Better"/>
    <x v="23"/>
    <s v="10-40"/>
    <n v="8"/>
    <n v="11"/>
    <n v="10"/>
    <n v="1404"/>
  </r>
  <r>
    <n v="42"/>
    <x v="0"/>
    <x v="1"/>
    <s v="Non-Travel"/>
    <n v="335"/>
    <x v="0"/>
    <n v="23"/>
    <s v="College"/>
    <x v="0"/>
    <s v="Very High"/>
    <x v="0"/>
    <n v="37"/>
    <s v="Medium"/>
    <x v="0"/>
    <s v="Research Scientist"/>
    <s v="High"/>
    <s v="Single"/>
    <n v="4332"/>
    <n v="14811"/>
    <n v="1"/>
    <s v="No"/>
    <n v="12"/>
    <s v="Excellent"/>
    <s v="Very High"/>
    <n v="0"/>
    <n v="20"/>
    <n v="2"/>
    <s v="Better"/>
    <x v="23"/>
    <s v="10-40"/>
    <n v="9"/>
    <n v="3"/>
    <n v="7"/>
    <n v="1405"/>
  </r>
  <r>
    <n v="31"/>
    <x v="2"/>
    <x v="1"/>
    <s v="Non-Travel"/>
    <n v="697"/>
    <x v="0"/>
    <n v="10"/>
    <s v="Bachelor"/>
    <x v="2"/>
    <s v="High"/>
    <x v="1"/>
    <n v="40"/>
    <s v="High"/>
    <x v="2"/>
    <s v="Research Director"/>
    <s v="High"/>
    <s v="Married"/>
    <n v="11031"/>
    <n v="26862"/>
    <n v="4"/>
    <s v="No"/>
    <n v="20"/>
    <s v="Outstanding"/>
    <s v="High"/>
    <n v="1"/>
    <n v="13"/>
    <n v="2"/>
    <s v="Best"/>
    <x v="19"/>
    <s v="10-40"/>
    <n v="7"/>
    <n v="4"/>
    <n v="8"/>
    <n v="1406"/>
  </r>
  <r>
    <n v="54"/>
    <x v="1"/>
    <x v="1"/>
    <s v="Travel_Rarely"/>
    <n v="157"/>
    <x v="0"/>
    <n v="10"/>
    <s v="Bachelor"/>
    <x v="2"/>
    <s v="High"/>
    <x v="1"/>
    <n v="77"/>
    <s v="High"/>
    <x v="0"/>
    <s v="Manufacturing Director"/>
    <s v="Low"/>
    <s v="Single"/>
    <n v="4440"/>
    <n v="25198"/>
    <n v="6"/>
    <s v="Yes"/>
    <n v="19"/>
    <s v="Excellent"/>
    <s v="Very High"/>
    <n v="0"/>
    <n v="9"/>
    <n v="3"/>
    <s v="Better"/>
    <x v="8"/>
    <s v="0-5"/>
    <n v="2"/>
    <n v="1"/>
    <n v="4"/>
    <n v="1407"/>
  </r>
  <r>
    <n v="24"/>
    <x v="4"/>
    <x v="1"/>
    <s v="Travel_Rarely"/>
    <n v="771"/>
    <x v="0"/>
    <n v="1"/>
    <s v="College"/>
    <x v="0"/>
    <s v="Medium"/>
    <x v="0"/>
    <n v="45"/>
    <s v="Medium"/>
    <x v="0"/>
    <s v="Healthcare Representative"/>
    <s v="High"/>
    <s v="Single"/>
    <n v="4617"/>
    <n v="14120"/>
    <n v="1"/>
    <s v="No"/>
    <n v="12"/>
    <s v="Excellent"/>
    <s v="Medium"/>
    <n v="0"/>
    <n v="4"/>
    <n v="2"/>
    <s v="Good"/>
    <x v="9"/>
    <s v="0-5"/>
    <n v="3"/>
    <n v="1"/>
    <n v="2"/>
    <n v="1408"/>
  </r>
  <r>
    <n v="23"/>
    <x v="4"/>
    <x v="1"/>
    <s v="Travel_Rarely"/>
    <n v="571"/>
    <x v="0"/>
    <n v="12"/>
    <s v="College"/>
    <x v="1"/>
    <s v="Very High"/>
    <x v="0"/>
    <n v="78"/>
    <s v="High"/>
    <x v="1"/>
    <s v="Laboratory Technician"/>
    <s v="Very High"/>
    <s v="Single"/>
    <n v="2647"/>
    <n v="13672"/>
    <n v="1"/>
    <s v="No"/>
    <n v="13"/>
    <s v="Excellent"/>
    <s v="High"/>
    <n v="0"/>
    <n v="5"/>
    <n v="6"/>
    <s v="Best"/>
    <x v="8"/>
    <s v="0-5"/>
    <n v="2"/>
    <n v="1"/>
    <n v="4"/>
    <n v="1409"/>
  </r>
  <r>
    <n v="40"/>
    <x v="0"/>
    <x v="1"/>
    <s v="Travel_Frequently"/>
    <n v="692"/>
    <x v="0"/>
    <n v="11"/>
    <s v="Bachelor"/>
    <x v="4"/>
    <s v="Very High"/>
    <x v="1"/>
    <n v="73"/>
    <s v="High"/>
    <x v="0"/>
    <s v="Laboratory Technician"/>
    <s v="High"/>
    <s v="Married"/>
    <n v="6323"/>
    <n v="26849"/>
    <n v="1"/>
    <s v="No"/>
    <n v="11"/>
    <s v="Excellent"/>
    <s v="Low"/>
    <n v="1"/>
    <n v="10"/>
    <n v="2"/>
    <s v="Best"/>
    <x v="1"/>
    <s v="5-10"/>
    <n v="9"/>
    <n v="9"/>
    <n v="4"/>
    <n v="1410"/>
  </r>
  <r>
    <n v="40"/>
    <x v="0"/>
    <x v="1"/>
    <s v="Travel_Rarely"/>
    <n v="444"/>
    <x v="1"/>
    <n v="2"/>
    <s v="College"/>
    <x v="3"/>
    <s v="Medium"/>
    <x v="1"/>
    <n v="92"/>
    <s v="High"/>
    <x v="0"/>
    <s v="Sales Executive"/>
    <s v="Medium"/>
    <s v="Married"/>
    <n v="5677"/>
    <n v="4258"/>
    <n v="3"/>
    <s v="No"/>
    <n v="14"/>
    <s v="Excellent"/>
    <s v="High"/>
    <n v="1"/>
    <n v="15"/>
    <n v="4"/>
    <s v="Better"/>
    <x v="19"/>
    <s v="10-40"/>
    <n v="8"/>
    <n v="5"/>
    <n v="10"/>
    <n v="1411"/>
  </r>
  <r>
    <n v="25"/>
    <x v="4"/>
    <x v="1"/>
    <s v="Travel_Rarely"/>
    <n v="309"/>
    <x v="2"/>
    <n v="2"/>
    <s v="Bachelor"/>
    <x v="5"/>
    <s v="High"/>
    <x v="1"/>
    <n v="82"/>
    <s v="High"/>
    <x v="1"/>
    <s v="Human Resources"/>
    <s v="Medium"/>
    <s v="Married"/>
    <n v="2187"/>
    <n v="19655"/>
    <n v="4"/>
    <s v="No"/>
    <n v="14"/>
    <s v="Excellent"/>
    <s v="High"/>
    <n v="0"/>
    <n v="6"/>
    <n v="3"/>
    <s v="Better"/>
    <x v="4"/>
    <s v="0-5"/>
    <n v="0"/>
    <n v="1"/>
    <n v="2"/>
    <n v="1412"/>
  </r>
  <r>
    <n v="30"/>
    <x v="2"/>
    <x v="1"/>
    <s v="Travel_Rarely"/>
    <n v="911"/>
    <x v="0"/>
    <n v="1"/>
    <s v="College"/>
    <x v="2"/>
    <s v="Very High"/>
    <x v="0"/>
    <n v="76"/>
    <s v="High"/>
    <x v="1"/>
    <s v="Laboratory Technician"/>
    <s v="Medium"/>
    <s v="Married"/>
    <n v="3748"/>
    <n v="4077"/>
    <n v="1"/>
    <s v="No"/>
    <n v="13"/>
    <s v="Excellent"/>
    <s v="High"/>
    <n v="0"/>
    <n v="12"/>
    <n v="6"/>
    <s v="Good"/>
    <x v="12"/>
    <s v="10-40"/>
    <n v="8"/>
    <n v="1"/>
    <n v="7"/>
    <n v="1413"/>
  </r>
  <r>
    <n v="25"/>
    <x v="4"/>
    <x v="1"/>
    <s v="Travel_Rarely"/>
    <n v="977"/>
    <x v="0"/>
    <n v="2"/>
    <s v="Below College"/>
    <x v="1"/>
    <s v="Very High"/>
    <x v="0"/>
    <n v="57"/>
    <s v="High"/>
    <x v="1"/>
    <s v="Laboratory Technician"/>
    <s v="High"/>
    <s v="Divorced"/>
    <n v="3977"/>
    <n v="7298"/>
    <n v="6"/>
    <s v="Yes"/>
    <n v="19"/>
    <s v="Excellent"/>
    <s v="High"/>
    <n v="1"/>
    <n v="7"/>
    <n v="2"/>
    <s v="Good"/>
    <x v="4"/>
    <s v="0-5"/>
    <n v="2"/>
    <n v="0"/>
    <n v="2"/>
    <n v="1414"/>
  </r>
  <r>
    <n v="47"/>
    <x v="1"/>
    <x v="1"/>
    <s v="Travel_Rarely"/>
    <n v="1180"/>
    <x v="0"/>
    <n v="25"/>
    <s v="Bachelor"/>
    <x v="2"/>
    <s v="Low"/>
    <x v="0"/>
    <n v="84"/>
    <s v="High"/>
    <x v="2"/>
    <s v="Healthcare Representative"/>
    <s v="High"/>
    <s v="Single"/>
    <n v="8633"/>
    <n v="13084"/>
    <n v="2"/>
    <s v="No"/>
    <n v="23"/>
    <s v="Outstanding"/>
    <s v="Medium"/>
    <n v="0"/>
    <n v="25"/>
    <n v="3"/>
    <s v="Better"/>
    <x v="18"/>
    <s v="10-40"/>
    <n v="14"/>
    <n v="12"/>
    <n v="11"/>
    <n v="1415"/>
  </r>
  <r>
    <n v="33"/>
    <x v="2"/>
    <x v="1"/>
    <s v="Non-Travel"/>
    <n v="1313"/>
    <x v="0"/>
    <n v="1"/>
    <s v="College"/>
    <x v="2"/>
    <s v="Medium"/>
    <x v="0"/>
    <n v="59"/>
    <s v="Medium"/>
    <x v="1"/>
    <s v="Laboratory Technician"/>
    <s v="High"/>
    <s v="Divorced"/>
    <n v="2008"/>
    <n v="20439"/>
    <n v="1"/>
    <s v="No"/>
    <n v="12"/>
    <s v="Excellent"/>
    <s v="High"/>
    <n v="3"/>
    <n v="1"/>
    <n v="2"/>
    <s v="Good"/>
    <x v="6"/>
    <s v="0-5"/>
    <n v="1"/>
    <n v="0"/>
    <n v="0"/>
    <n v="1416"/>
  </r>
  <r>
    <n v="38"/>
    <x v="0"/>
    <x v="1"/>
    <s v="Travel_Rarely"/>
    <n v="1321"/>
    <x v="1"/>
    <n v="1"/>
    <s v="Master"/>
    <x v="0"/>
    <s v="Very High"/>
    <x v="0"/>
    <n v="86"/>
    <s v="High"/>
    <x v="0"/>
    <s v="Sales Executive"/>
    <s v="Medium"/>
    <s v="Married"/>
    <n v="4440"/>
    <n v="7636"/>
    <n v="0"/>
    <s v="No"/>
    <n v="15"/>
    <s v="Excellent"/>
    <s v="Low"/>
    <n v="2"/>
    <n v="16"/>
    <n v="3"/>
    <s v="Better"/>
    <x v="15"/>
    <s v="10-40"/>
    <n v="13"/>
    <n v="5"/>
    <n v="8"/>
    <n v="1417"/>
  </r>
  <r>
    <n v="31"/>
    <x v="2"/>
    <x v="1"/>
    <s v="Travel_Rarely"/>
    <n v="1154"/>
    <x v="1"/>
    <n v="2"/>
    <s v="College"/>
    <x v="0"/>
    <s v="Low"/>
    <x v="0"/>
    <n v="54"/>
    <s v="High"/>
    <x v="1"/>
    <s v="Sales Representative"/>
    <s v="High"/>
    <s v="Married"/>
    <n v="3067"/>
    <n v="6393"/>
    <n v="0"/>
    <s v="No"/>
    <n v="19"/>
    <s v="Excellent"/>
    <s v="High"/>
    <n v="1"/>
    <n v="3"/>
    <n v="1"/>
    <s v="Better"/>
    <x v="4"/>
    <s v="0-5"/>
    <n v="2"/>
    <n v="1"/>
    <n v="2"/>
    <n v="1418"/>
  </r>
  <r>
    <n v="38"/>
    <x v="0"/>
    <x v="1"/>
    <s v="Travel_Frequently"/>
    <n v="508"/>
    <x v="0"/>
    <n v="6"/>
    <s v="Master"/>
    <x v="0"/>
    <s v="Low"/>
    <x v="0"/>
    <n v="72"/>
    <s v="Medium"/>
    <x v="0"/>
    <s v="Manufacturing Director"/>
    <s v="High"/>
    <s v="Married"/>
    <n v="5321"/>
    <n v="14284"/>
    <n v="2"/>
    <s v="No"/>
    <n v="11"/>
    <s v="Excellent"/>
    <s v="Very High"/>
    <n v="1"/>
    <n v="10"/>
    <n v="1"/>
    <s v="Better"/>
    <x v="3"/>
    <s v="5-10"/>
    <n v="3"/>
    <n v="7"/>
    <n v="7"/>
    <n v="1419"/>
  </r>
  <r>
    <n v="42"/>
    <x v="0"/>
    <x v="1"/>
    <s v="Travel_Rarely"/>
    <n v="557"/>
    <x v="0"/>
    <n v="18"/>
    <s v="Master"/>
    <x v="0"/>
    <s v="Very High"/>
    <x v="0"/>
    <n v="35"/>
    <s v="High"/>
    <x v="0"/>
    <s v="Research Scientist"/>
    <s v="Low"/>
    <s v="Divorced"/>
    <n v="5410"/>
    <n v="11189"/>
    <n v="6"/>
    <s v="Yes"/>
    <n v="17"/>
    <s v="Excellent"/>
    <s v="High"/>
    <n v="1"/>
    <n v="9"/>
    <n v="3"/>
    <s v="Good"/>
    <x v="9"/>
    <s v="0-5"/>
    <n v="3"/>
    <n v="1"/>
    <n v="2"/>
    <n v="1420"/>
  </r>
  <r>
    <n v="41"/>
    <x v="0"/>
    <x v="1"/>
    <s v="Travel_Rarely"/>
    <n v="642"/>
    <x v="0"/>
    <n v="1"/>
    <s v="Bachelor"/>
    <x v="0"/>
    <s v="Very High"/>
    <x v="0"/>
    <n v="76"/>
    <s v="High"/>
    <x v="1"/>
    <s v="Research Scientist"/>
    <s v="Very High"/>
    <s v="Married"/>
    <n v="2782"/>
    <n v="21412"/>
    <n v="3"/>
    <s v="No"/>
    <n v="22"/>
    <s v="Outstanding"/>
    <s v="Low"/>
    <n v="1"/>
    <n v="12"/>
    <n v="3"/>
    <s v="Better"/>
    <x v="8"/>
    <s v="0-5"/>
    <n v="3"/>
    <n v="1"/>
    <n v="0"/>
    <n v="1421"/>
  </r>
  <r>
    <n v="47"/>
    <x v="1"/>
    <x v="1"/>
    <s v="Non-Travel"/>
    <n v="1162"/>
    <x v="0"/>
    <n v="1"/>
    <s v="Below College"/>
    <x v="2"/>
    <s v="High"/>
    <x v="1"/>
    <n v="98"/>
    <s v="High"/>
    <x v="2"/>
    <s v="Research Director"/>
    <s v="Medium"/>
    <s v="Married"/>
    <n v="11957"/>
    <n v="17231"/>
    <n v="0"/>
    <s v="No"/>
    <n v="18"/>
    <s v="Excellent"/>
    <s v="Low"/>
    <n v="2"/>
    <n v="14"/>
    <n v="3"/>
    <s v="Bad"/>
    <x v="20"/>
    <s v="10-40"/>
    <n v="8"/>
    <n v="5"/>
    <n v="12"/>
    <n v="1422"/>
  </r>
  <r>
    <n v="35"/>
    <x v="2"/>
    <x v="1"/>
    <s v="Travel_Rarely"/>
    <n v="1490"/>
    <x v="0"/>
    <n v="11"/>
    <s v="Master"/>
    <x v="2"/>
    <s v="Very High"/>
    <x v="0"/>
    <n v="43"/>
    <s v="High"/>
    <x v="1"/>
    <s v="Laboratory Technician"/>
    <s v="High"/>
    <s v="Married"/>
    <n v="2660"/>
    <n v="20232"/>
    <n v="7"/>
    <s v="Yes"/>
    <n v="11"/>
    <s v="Excellent"/>
    <s v="High"/>
    <n v="1"/>
    <n v="5"/>
    <n v="3"/>
    <s v="Better"/>
    <x v="4"/>
    <s v="0-5"/>
    <n v="2"/>
    <n v="2"/>
    <n v="2"/>
    <n v="1423"/>
  </r>
  <r>
    <n v="22"/>
    <x v="4"/>
    <x v="1"/>
    <s v="Travel_Rarely"/>
    <n v="581"/>
    <x v="0"/>
    <n v="1"/>
    <s v="College"/>
    <x v="0"/>
    <s v="Very High"/>
    <x v="0"/>
    <n v="63"/>
    <s v="High"/>
    <x v="1"/>
    <s v="Research Scientist"/>
    <s v="High"/>
    <s v="Single"/>
    <n v="3375"/>
    <n v="17624"/>
    <n v="0"/>
    <s v="No"/>
    <n v="12"/>
    <s v="Excellent"/>
    <s v="Very High"/>
    <n v="0"/>
    <n v="4"/>
    <n v="2"/>
    <s v="Best"/>
    <x v="11"/>
    <s v="0-5"/>
    <n v="2"/>
    <n v="1"/>
    <n v="2"/>
    <n v="1424"/>
  </r>
  <r>
    <n v="35"/>
    <x v="2"/>
    <x v="1"/>
    <s v="Travel_Rarely"/>
    <n v="1395"/>
    <x v="0"/>
    <n v="9"/>
    <s v="Master"/>
    <x v="2"/>
    <s v="Medium"/>
    <x v="0"/>
    <n v="48"/>
    <s v="High"/>
    <x v="0"/>
    <s v="Research Scientist"/>
    <s v="High"/>
    <s v="Single"/>
    <n v="5098"/>
    <n v="18698"/>
    <n v="1"/>
    <s v="No"/>
    <n v="19"/>
    <s v="Excellent"/>
    <s v="Medium"/>
    <n v="0"/>
    <n v="10"/>
    <n v="5"/>
    <s v="Better"/>
    <x v="1"/>
    <s v="5-10"/>
    <n v="7"/>
    <n v="0"/>
    <n v="8"/>
    <n v="1425"/>
  </r>
  <r>
    <n v="33"/>
    <x v="2"/>
    <x v="1"/>
    <s v="Travel_Rarely"/>
    <n v="501"/>
    <x v="0"/>
    <n v="15"/>
    <s v="College"/>
    <x v="2"/>
    <s v="Medium"/>
    <x v="1"/>
    <n v="95"/>
    <s v="High"/>
    <x v="0"/>
    <s v="Healthcare Representative"/>
    <s v="Very High"/>
    <s v="Married"/>
    <n v="4878"/>
    <n v="21653"/>
    <n v="0"/>
    <s v="Yes"/>
    <n v="13"/>
    <s v="Excellent"/>
    <s v="Low"/>
    <n v="1"/>
    <n v="10"/>
    <n v="6"/>
    <s v="Better"/>
    <x v="7"/>
    <s v="5-10"/>
    <n v="7"/>
    <n v="8"/>
    <n v="1"/>
    <n v="1426"/>
  </r>
  <r>
    <n v="32"/>
    <x v="2"/>
    <x v="1"/>
    <s v="Travel_Rarely"/>
    <n v="267"/>
    <x v="0"/>
    <n v="29"/>
    <s v="Master"/>
    <x v="0"/>
    <s v="High"/>
    <x v="1"/>
    <n v="49"/>
    <s v="Medium"/>
    <x v="1"/>
    <s v="Laboratory Technician"/>
    <s v="Medium"/>
    <s v="Single"/>
    <n v="2837"/>
    <n v="15919"/>
    <n v="1"/>
    <s v="No"/>
    <n v="13"/>
    <s v="Excellent"/>
    <s v="High"/>
    <n v="0"/>
    <n v="6"/>
    <n v="3"/>
    <s v="Better"/>
    <x v="0"/>
    <s v="5-10"/>
    <n v="2"/>
    <n v="4"/>
    <n v="1"/>
    <n v="1427"/>
  </r>
  <r>
    <n v="40"/>
    <x v="0"/>
    <x v="1"/>
    <s v="Travel_Rarely"/>
    <n v="543"/>
    <x v="0"/>
    <n v="1"/>
    <s v="Master"/>
    <x v="0"/>
    <s v="Low"/>
    <x v="0"/>
    <n v="83"/>
    <s v="High"/>
    <x v="1"/>
    <s v="Laboratory Technician"/>
    <s v="Very High"/>
    <s v="Married"/>
    <n v="2406"/>
    <n v="4060"/>
    <n v="8"/>
    <s v="No"/>
    <n v="19"/>
    <s v="Excellent"/>
    <s v="High"/>
    <n v="2"/>
    <n v="8"/>
    <n v="3"/>
    <s v="Good"/>
    <x v="6"/>
    <s v="0-5"/>
    <n v="0"/>
    <n v="0"/>
    <n v="0"/>
    <n v="1428"/>
  </r>
  <r>
    <n v="32"/>
    <x v="2"/>
    <x v="1"/>
    <s v="Travel_Rarely"/>
    <n v="234"/>
    <x v="1"/>
    <n v="1"/>
    <s v="Master"/>
    <x v="2"/>
    <s v="Medium"/>
    <x v="0"/>
    <n v="68"/>
    <s v="Medium"/>
    <x v="1"/>
    <s v="Sales Representative"/>
    <s v="Medium"/>
    <s v="Married"/>
    <n v="2269"/>
    <n v="18024"/>
    <n v="0"/>
    <s v="No"/>
    <n v="14"/>
    <s v="Excellent"/>
    <s v="Medium"/>
    <n v="1"/>
    <n v="3"/>
    <n v="2"/>
    <s v="Better"/>
    <x v="4"/>
    <s v="0-5"/>
    <n v="2"/>
    <n v="2"/>
    <n v="2"/>
    <n v="1429"/>
  </r>
  <r>
    <n v="39"/>
    <x v="0"/>
    <x v="1"/>
    <s v="Travel_Rarely"/>
    <n v="116"/>
    <x v="0"/>
    <n v="24"/>
    <s v="Below College"/>
    <x v="0"/>
    <s v="Low"/>
    <x v="0"/>
    <n v="52"/>
    <s v="High"/>
    <x v="0"/>
    <s v="Research Scientist"/>
    <s v="Very High"/>
    <s v="Single"/>
    <n v="4108"/>
    <n v="5340"/>
    <n v="7"/>
    <s v="No"/>
    <n v="13"/>
    <s v="Excellent"/>
    <s v="Low"/>
    <n v="0"/>
    <n v="18"/>
    <n v="2"/>
    <s v="Better"/>
    <x v="5"/>
    <s v="5-10"/>
    <n v="7"/>
    <n v="1"/>
    <n v="7"/>
    <n v="1430"/>
  </r>
  <r>
    <n v="38"/>
    <x v="0"/>
    <x v="1"/>
    <s v="Travel_Rarely"/>
    <n v="201"/>
    <x v="0"/>
    <n v="10"/>
    <s v="Bachelor"/>
    <x v="2"/>
    <s v="Medium"/>
    <x v="1"/>
    <n v="99"/>
    <s v="Low"/>
    <x v="2"/>
    <s v="Research Director"/>
    <s v="High"/>
    <s v="Married"/>
    <n v="13206"/>
    <n v="3376"/>
    <n v="3"/>
    <s v="No"/>
    <n v="12"/>
    <s v="Excellent"/>
    <s v="Low"/>
    <n v="1"/>
    <n v="20"/>
    <n v="3"/>
    <s v="Better"/>
    <x v="29"/>
    <s v="10-40"/>
    <n v="16"/>
    <n v="1"/>
    <n v="11"/>
    <n v="1431"/>
  </r>
  <r>
    <n v="32"/>
    <x v="2"/>
    <x v="1"/>
    <s v="Travel_Rarely"/>
    <n v="801"/>
    <x v="1"/>
    <n v="1"/>
    <s v="Master"/>
    <x v="3"/>
    <s v="High"/>
    <x v="1"/>
    <n v="48"/>
    <s v="High"/>
    <x v="2"/>
    <s v="Sales Executive"/>
    <s v="Very High"/>
    <s v="Married"/>
    <n v="10422"/>
    <n v="24032"/>
    <n v="1"/>
    <s v="No"/>
    <n v="19"/>
    <s v="Excellent"/>
    <s v="High"/>
    <n v="2"/>
    <n v="14"/>
    <n v="3"/>
    <s v="Better"/>
    <x v="13"/>
    <s v="10-40"/>
    <n v="10"/>
    <n v="5"/>
    <n v="7"/>
    <n v="1432"/>
  </r>
  <r>
    <n v="37"/>
    <x v="0"/>
    <x v="1"/>
    <s v="Travel_Rarely"/>
    <n v="161"/>
    <x v="0"/>
    <n v="10"/>
    <s v="Bachelor"/>
    <x v="0"/>
    <s v="High"/>
    <x v="1"/>
    <n v="42"/>
    <s v="Very High"/>
    <x v="2"/>
    <s v="Research Director"/>
    <s v="Very High"/>
    <s v="Married"/>
    <n v="13744"/>
    <n v="15471"/>
    <n v="1"/>
    <s v="Yes"/>
    <n v="25"/>
    <s v="Outstanding"/>
    <s v="Low"/>
    <n v="1"/>
    <n v="16"/>
    <n v="2"/>
    <s v="Better"/>
    <x v="22"/>
    <s v="10-40"/>
    <n v="11"/>
    <n v="6"/>
    <n v="8"/>
    <n v="1433"/>
  </r>
  <r>
    <n v="25"/>
    <x v="4"/>
    <x v="1"/>
    <s v="Travel_Rarely"/>
    <n v="1382"/>
    <x v="1"/>
    <n v="8"/>
    <s v="College"/>
    <x v="1"/>
    <s v="Low"/>
    <x v="1"/>
    <n v="85"/>
    <s v="High"/>
    <x v="0"/>
    <s v="Sales Executive"/>
    <s v="High"/>
    <s v="Divorced"/>
    <n v="4907"/>
    <n v="13684"/>
    <n v="0"/>
    <s v="Yes"/>
    <n v="22"/>
    <s v="Outstanding"/>
    <s v="Medium"/>
    <n v="1"/>
    <n v="6"/>
    <n v="3"/>
    <s v="Good"/>
    <x v="8"/>
    <s v="0-5"/>
    <n v="3"/>
    <n v="0"/>
    <n v="4"/>
    <n v="1434"/>
  </r>
  <r>
    <n v="52"/>
    <x v="1"/>
    <x v="1"/>
    <s v="Non-Travel"/>
    <n v="585"/>
    <x v="1"/>
    <n v="29"/>
    <s v="Master"/>
    <x v="0"/>
    <s v="Low"/>
    <x v="0"/>
    <n v="40"/>
    <s v="High"/>
    <x v="1"/>
    <s v="Sales Representative"/>
    <s v="Very High"/>
    <s v="Divorced"/>
    <n v="3482"/>
    <n v="19788"/>
    <n v="2"/>
    <s v="No"/>
    <n v="15"/>
    <s v="Excellent"/>
    <s v="Medium"/>
    <n v="2"/>
    <n v="16"/>
    <n v="3"/>
    <s v="Good"/>
    <x v="7"/>
    <s v="5-10"/>
    <n v="8"/>
    <n v="0"/>
    <n v="0"/>
    <n v="1435"/>
  </r>
  <r>
    <n v="44"/>
    <x v="0"/>
    <x v="1"/>
    <s v="Travel_Rarely"/>
    <n v="1037"/>
    <x v="0"/>
    <n v="1"/>
    <s v="Bachelor"/>
    <x v="2"/>
    <s v="Medium"/>
    <x v="0"/>
    <n v="42"/>
    <s v="High"/>
    <x v="1"/>
    <s v="Research Scientist"/>
    <s v="Very High"/>
    <s v="Single"/>
    <n v="2436"/>
    <n v="13422"/>
    <n v="6"/>
    <s v="Yes"/>
    <n v="12"/>
    <s v="Excellent"/>
    <s v="High"/>
    <n v="0"/>
    <n v="6"/>
    <n v="2"/>
    <s v="Better"/>
    <x v="9"/>
    <s v="0-5"/>
    <n v="3"/>
    <n v="1"/>
    <n v="2"/>
    <n v="1436"/>
  </r>
  <r>
    <n v="21"/>
    <x v="4"/>
    <x v="1"/>
    <s v="Travel_Rarely"/>
    <n v="501"/>
    <x v="1"/>
    <n v="5"/>
    <s v="Below College"/>
    <x v="2"/>
    <s v="High"/>
    <x v="0"/>
    <n v="58"/>
    <s v="High"/>
    <x v="1"/>
    <s v="Sales Representative"/>
    <s v="Low"/>
    <s v="Single"/>
    <n v="2380"/>
    <n v="25479"/>
    <n v="1"/>
    <s v="Yes"/>
    <n v="11"/>
    <s v="Excellent"/>
    <s v="Very High"/>
    <n v="0"/>
    <n v="2"/>
    <n v="6"/>
    <s v="Better"/>
    <x v="4"/>
    <s v="0-5"/>
    <n v="2"/>
    <n v="1"/>
    <n v="2"/>
    <n v="1437"/>
  </r>
  <r>
    <n v="39"/>
    <x v="0"/>
    <x v="1"/>
    <s v="Non-Travel"/>
    <n v="105"/>
    <x v="0"/>
    <n v="9"/>
    <s v="Bachelor"/>
    <x v="0"/>
    <s v="Very High"/>
    <x v="0"/>
    <n v="87"/>
    <s v="High"/>
    <x v="4"/>
    <s v="Manager"/>
    <s v="Very High"/>
    <s v="Single"/>
    <n v="19431"/>
    <n v="15302"/>
    <n v="2"/>
    <s v="No"/>
    <n v="13"/>
    <s v="Excellent"/>
    <s v="High"/>
    <n v="0"/>
    <n v="21"/>
    <n v="3"/>
    <s v="Good"/>
    <x v="0"/>
    <s v="5-10"/>
    <n v="0"/>
    <n v="1"/>
    <n v="3"/>
    <n v="1438"/>
  </r>
  <r>
    <n v="23"/>
    <x v="4"/>
    <x v="0"/>
    <s v="Travel_Frequently"/>
    <n v="638"/>
    <x v="1"/>
    <n v="9"/>
    <s v="Bachelor"/>
    <x v="3"/>
    <s v="Very High"/>
    <x v="0"/>
    <n v="33"/>
    <s v="High"/>
    <x v="1"/>
    <s v="Sales Representative"/>
    <s v="Low"/>
    <s v="Married"/>
    <n v="1790"/>
    <n v="26956"/>
    <n v="1"/>
    <s v="No"/>
    <n v="19"/>
    <s v="Excellent"/>
    <s v="Low"/>
    <n v="1"/>
    <n v="1"/>
    <n v="3"/>
    <s v="Good"/>
    <x v="6"/>
    <s v="0-5"/>
    <n v="0"/>
    <n v="1"/>
    <n v="0"/>
    <n v="1439"/>
  </r>
  <r>
    <n v="36"/>
    <x v="0"/>
    <x v="1"/>
    <s v="Travel_Rarely"/>
    <n v="557"/>
    <x v="1"/>
    <n v="3"/>
    <s v="Bachelor"/>
    <x v="2"/>
    <s v="Low"/>
    <x v="1"/>
    <n v="94"/>
    <s v="Medium"/>
    <x v="2"/>
    <s v="Sales Executive"/>
    <s v="Very High"/>
    <s v="Married"/>
    <n v="7644"/>
    <n v="12695"/>
    <n v="0"/>
    <s v="No"/>
    <n v="19"/>
    <s v="Excellent"/>
    <s v="High"/>
    <n v="2"/>
    <n v="10"/>
    <n v="2"/>
    <s v="Better"/>
    <x v="7"/>
    <s v="5-10"/>
    <n v="7"/>
    <n v="3"/>
    <n v="4"/>
    <n v="1440"/>
  </r>
  <r>
    <n v="36"/>
    <x v="0"/>
    <x v="1"/>
    <s v="Travel_Frequently"/>
    <n v="688"/>
    <x v="0"/>
    <n v="4"/>
    <s v="College"/>
    <x v="0"/>
    <s v="Very High"/>
    <x v="1"/>
    <n v="97"/>
    <s v="High"/>
    <x v="0"/>
    <s v="Manufacturing Director"/>
    <s v="Medium"/>
    <s v="Divorced"/>
    <n v="5131"/>
    <n v="9192"/>
    <n v="7"/>
    <s v="No"/>
    <n v="13"/>
    <s v="Excellent"/>
    <s v="Medium"/>
    <n v="3"/>
    <n v="18"/>
    <n v="3"/>
    <s v="Better"/>
    <x v="9"/>
    <s v="0-5"/>
    <n v="2"/>
    <n v="0"/>
    <n v="2"/>
    <n v="1441"/>
  </r>
  <r>
    <n v="56"/>
    <x v="3"/>
    <x v="1"/>
    <s v="Non-Travel"/>
    <n v="667"/>
    <x v="0"/>
    <n v="1"/>
    <s v="Master"/>
    <x v="0"/>
    <s v="High"/>
    <x v="0"/>
    <n v="57"/>
    <s v="High"/>
    <x v="0"/>
    <s v="Healthcare Representative"/>
    <s v="High"/>
    <s v="Divorced"/>
    <n v="6306"/>
    <n v="26236"/>
    <n v="1"/>
    <s v="No"/>
    <n v="21"/>
    <s v="Outstanding"/>
    <s v="Low"/>
    <n v="1"/>
    <n v="13"/>
    <n v="2"/>
    <s v="Good"/>
    <x v="20"/>
    <s v="10-40"/>
    <n v="12"/>
    <n v="1"/>
    <n v="9"/>
    <n v="1442"/>
  </r>
  <r>
    <n v="29"/>
    <x v="2"/>
    <x v="0"/>
    <s v="Travel_Rarely"/>
    <n v="1092"/>
    <x v="0"/>
    <n v="1"/>
    <s v="Master"/>
    <x v="2"/>
    <s v="Low"/>
    <x v="0"/>
    <n v="36"/>
    <s v="High"/>
    <x v="1"/>
    <s v="Research Scientist"/>
    <s v="Very High"/>
    <s v="Married"/>
    <n v="4787"/>
    <n v="26124"/>
    <n v="9"/>
    <s v="Yes"/>
    <n v="14"/>
    <s v="Excellent"/>
    <s v="Medium"/>
    <n v="3"/>
    <n v="4"/>
    <n v="3"/>
    <s v="Best"/>
    <x v="4"/>
    <s v="0-5"/>
    <n v="2"/>
    <n v="2"/>
    <n v="2"/>
    <n v="1443"/>
  </r>
  <r>
    <n v="42"/>
    <x v="0"/>
    <x v="1"/>
    <s v="Travel_Rarely"/>
    <n v="300"/>
    <x v="0"/>
    <n v="2"/>
    <s v="Bachelor"/>
    <x v="0"/>
    <s v="Low"/>
    <x v="0"/>
    <n v="56"/>
    <s v="High"/>
    <x v="4"/>
    <s v="Manager"/>
    <s v="High"/>
    <s v="Married"/>
    <n v="18880"/>
    <n v="17312"/>
    <n v="5"/>
    <s v="No"/>
    <n v="11"/>
    <s v="Excellent"/>
    <s v="Low"/>
    <n v="0"/>
    <n v="24"/>
    <n v="2"/>
    <s v="Good"/>
    <x v="14"/>
    <s v="10-40"/>
    <n v="6"/>
    <n v="4"/>
    <n v="14"/>
    <n v="1444"/>
  </r>
  <r>
    <n v="56"/>
    <x v="3"/>
    <x v="0"/>
    <s v="Travel_Rarely"/>
    <n v="310"/>
    <x v="0"/>
    <n v="7"/>
    <s v="College"/>
    <x v="4"/>
    <s v="Very High"/>
    <x v="0"/>
    <n v="72"/>
    <s v="High"/>
    <x v="1"/>
    <s v="Laboratory Technician"/>
    <s v="High"/>
    <s v="Married"/>
    <n v="2339"/>
    <n v="3666"/>
    <n v="8"/>
    <s v="No"/>
    <n v="11"/>
    <s v="Excellent"/>
    <s v="Very High"/>
    <n v="1"/>
    <n v="14"/>
    <n v="4"/>
    <s v="Bad"/>
    <x v="1"/>
    <s v="5-10"/>
    <n v="9"/>
    <n v="9"/>
    <n v="8"/>
    <n v="1445"/>
  </r>
  <r>
    <n v="41"/>
    <x v="0"/>
    <x v="1"/>
    <s v="Travel_Rarely"/>
    <n v="582"/>
    <x v="0"/>
    <n v="28"/>
    <s v="Master"/>
    <x v="0"/>
    <s v="Low"/>
    <x v="1"/>
    <n v="60"/>
    <s v="Medium"/>
    <x v="3"/>
    <s v="Manufacturing Director"/>
    <s v="Medium"/>
    <s v="Married"/>
    <n v="13570"/>
    <n v="5640"/>
    <n v="0"/>
    <s v="No"/>
    <n v="23"/>
    <s v="Outstanding"/>
    <s v="High"/>
    <n v="1"/>
    <n v="21"/>
    <n v="3"/>
    <s v="Better"/>
    <x v="23"/>
    <s v="10-40"/>
    <n v="7"/>
    <n v="0"/>
    <n v="10"/>
    <n v="1446"/>
  </r>
  <r>
    <n v="34"/>
    <x v="2"/>
    <x v="1"/>
    <s v="Travel_Rarely"/>
    <n v="704"/>
    <x v="1"/>
    <n v="28"/>
    <s v="Bachelor"/>
    <x v="3"/>
    <s v="Very High"/>
    <x v="1"/>
    <n v="95"/>
    <s v="Medium"/>
    <x v="0"/>
    <s v="Sales Executive"/>
    <s v="High"/>
    <s v="Married"/>
    <n v="6712"/>
    <n v="8978"/>
    <n v="1"/>
    <s v="No"/>
    <n v="21"/>
    <s v="Outstanding"/>
    <s v="Very High"/>
    <n v="2"/>
    <n v="8"/>
    <n v="2"/>
    <s v="Better"/>
    <x v="3"/>
    <s v="5-10"/>
    <n v="7"/>
    <n v="1"/>
    <n v="7"/>
    <n v="1447"/>
  </r>
  <r>
    <n v="36"/>
    <x v="0"/>
    <x v="1"/>
    <s v="Non-Travel"/>
    <n v="301"/>
    <x v="1"/>
    <n v="15"/>
    <s v="Master"/>
    <x v="3"/>
    <s v="Very High"/>
    <x v="0"/>
    <n v="88"/>
    <s v="Low"/>
    <x v="0"/>
    <s v="Sales Executive"/>
    <s v="Very High"/>
    <s v="Divorced"/>
    <n v="5406"/>
    <n v="10436"/>
    <n v="1"/>
    <s v="No"/>
    <n v="24"/>
    <s v="Outstanding"/>
    <s v="Low"/>
    <n v="1"/>
    <n v="15"/>
    <n v="4"/>
    <s v="Good"/>
    <x v="15"/>
    <s v="10-40"/>
    <n v="12"/>
    <n v="11"/>
    <n v="11"/>
    <n v="1448"/>
  </r>
  <r>
    <n v="41"/>
    <x v="0"/>
    <x v="1"/>
    <s v="Travel_Rarely"/>
    <n v="930"/>
    <x v="1"/>
    <n v="3"/>
    <s v="Bachelor"/>
    <x v="0"/>
    <s v="High"/>
    <x v="0"/>
    <n v="57"/>
    <s v="Medium"/>
    <x v="0"/>
    <s v="Sales Executive"/>
    <s v="Medium"/>
    <s v="Divorced"/>
    <n v="8938"/>
    <n v="12227"/>
    <n v="2"/>
    <s v="No"/>
    <n v="11"/>
    <s v="Excellent"/>
    <s v="High"/>
    <n v="1"/>
    <n v="14"/>
    <n v="5"/>
    <s v="Better"/>
    <x v="8"/>
    <s v="0-5"/>
    <n v="4"/>
    <n v="0"/>
    <n v="4"/>
    <n v="1449"/>
  </r>
  <r>
    <n v="32"/>
    <x v="2"/>
    <x v="1"/>
    <s v="Travel_Rarely"/>
    <n v="529"/>
    <x v="0"/>
    <n v="2"/>
    <s v="Bachelor"/>
    <x v="4"/>
    <s v="Very High"/>
    <x v="0"/>
    <n v="78"/>
    <s v="High"/>
    <x v="1"/>
    <s v="Research Scientist"/>
    <s v="Low"/>
    <s v="Single"/>
    <n v="2439"/>
    <n v="11288"/>
    <n v="1"/>
    <s v="No"/>
    <n v="14"/>
    <s v="Excellent"/>
    <s v="Very High"/>
    <n v="0"/>
    <n v="4"/>
    <n v="4"/>
    <s v="Better"/>
    <x v="9"/>
    <s v="0-5"/>
    <n v="2"/>
    <n v="1"/>
    <n v="2"/>
    <n v="1450"/>
  </r>
  <r>
    <n v="35"/>
    <x v="2"/>
    <x v="1"/>
    <s v="Travel_Rarely"/>
    <n v="1146"/>
    <x v="2"/>
    <n v="26"/>
    <s v="Master"/>
    <x v="0"/>
    <s v="High"/>
    <x v="1"/>
    <n v="31"/>
    <s v="High"/>
    <x v="2"/>
    <s v="Human Resources"/>
    <s v="Very High"/>
    <s v="Single"/>
    <n v="8837"/>
    <n v="16642"/>
    <n v="1"/>
    <s v="Yes"/>
    <n v="16"/>
    <s v="Excellent"/>
    <s v="High"/>
    <n v="0"/>
    <n v="9"/>
    <n v="2"/>
    <s v="Better"/>
    <x v="7"/>
    <s v="5-10"/>
    <n v="0"/>
    <n v="1"/>
    <n v="7"/>
    <n v="1451"/>
  </r>
  <r>
    <n v="38"/>
    <x v="0"/>
    <x v="1"/>
    <s v="Travel_Rarely"/>
    <n v="345"/>
    <x v="1"/>
    <n v="10"/>
    <s v="College"/>
    <x v="0"/>
    <s v="Low"/>
    <x v="1"/>
    <n v="100"/>
    <s v="High"/>
    <x v="0"/>
    <s v="Sales Executive"/>
    <s v="Very High"/>
    <s v="Married"/>
    <n v="5343"/>
    <n v="5982"/>
    <n v="1"/>
    <s v="No"/>
    <n v="11"/>
    <s v="Excellent"/>
    <s v="High"/>
    <n v="1"/>
    <n v="10"/>
    <n v="1"/>
    <s v="Better"/>
    <x v="1"/>
    <s v="5-10"/>
    <n v="7"/>
    <n v="1"/>
    <n v="9"/>
    <n v="1452"/>
  </r>
  <r>
    <n v="50"/>
    <x v="1"/>
    <x v="0"/>
    <s v="Travel_Frequently"/>
    <n v="878"/>
    <x v="1"/>
    <n v="1"/>
    <s v="Master"/>
    <x v="0"/>
    <s v="Medium"/>
    <x v="0"/>
    <n v="94"/>
    <s v="High"/>
    <x v="0"/>
    <s v="Sales Executive"/>
    <s v="High"/>
    <s v="Divorced"/>
    <n v="6728"/>
    <n v="14255"/>
    <n v="7"/>
    <s v="No"/>
    <n v="12"/>
    <s v="Excellent"/>
    <s v="Very High"/>
    <n v="2"/>
    <n v="12"/>
    <n v="3"/>
    <s v="Better"/>
    <x v="0"/>
    <s v="5-10"/>
    <n v="3"/>
    <n v="0"/>
    <n v="1"/>
    <n v="1453"/>
  </r>
  <r>
    <n v="36"/>
    <x v="0"/>
    <x v="1"/>
    <s v="Travel_Rarely"/>
    <n v="1120"/>
    <x v="1"/>
    <n v="11"/>
    <s v="Master"/>
    <x v="3"/>
    <s v="Medium"/>
    <x v="1"/>
    <n v="100"/>
    <s v="Medium"/>
    <x v="0"/>
    <s v="Sales Executive"/>
    <s v="Very High"/>
    <s v="Married"/>
    <n v="6652"/>
    <n v="14369"/>
    <n v="4"/>
    <s v="No"/>
    <n v="13"/>
    <s v="Excellent"/>
    <s v="Low"/>
    <n v="1"/>
    <n v="8"/>
    <n v="2"/>
    <s v="Good"/>
    <x v="0"/>
    <s v="5-10"/>
    <n v="3"/>
    <n v="0"/>
    <n v="0"/>
    <n v="1454"/>
  </r>
  <r>
    <n v="45"/>
    <x v="0"/>
    <x v="1"/>
    <s v="Travel_Rarely"/>
    <n v="374"/>
    <x v="1"/>
    <n v="20"/>
    <s v="Bachelor"/>
    <x v="0"/>
    <s v="Very High"/>
    <x v="1"/>
    <n v="50"/>
    <s v="High"/>
    <x v="0"/>
    <s v="Sales Executive"/>
    <s v="High"/>
    <s v="Single"/>
    <n v="4850"/>
    <n v="23333"/>
    <n v="8"/>
    <s v="No"/>
    <n v="15"/>
    <s v="Excellent"/>
    <s v="High"/>
    <n v="0"/>
    <n v="8"/>
    <n v="3"/>
    <s v="Better"/>
    <x v="8"/>
    <s v="0-5"/>
    <n v="3"/>
    <n v="0"/>
    <n v="1"/>
    <n v="1455"/>
  </r>
  <r>
    <n v="40"/>
    <x v="0"/>
    <x v="1"/>
    <s v="Travel_Rarely"/>
    <n v="1322"/>
    <x v="0"/>
    <n v="2"/>
    <s v="Master"/>
    <x v="0"/>
    <s v="High"/>
    <x v="0"/>
    <n v="52"/>
    <s v="Medium"/>
    <x v="1"/>
    <s v="Research Scientist"/>
    <s v="High"/>
    <s v="Single"/>
    <n v="2809"/>
    <n v="2725"/>
    <n v="2"/>
    <s v="No"/>
    <n v="14"/>
    <s v="Excellent"/>
    <s v="Very High"/>
    <n v="0"/>
    <n v="8"/>
    <n v="2"/>
    <s v="Better"/>
    <x v="4"/>
    <s v="0-5"/>
    <n v="2"/>
    <n v="2"/>
    <n v="2"/>
    <n v="1456"/>
  </r>
  <r>
    <n v="35"/>
    <x v="2"/>
    <x v="1"/>
    <s v="Travel_Frequently"/>
    <n v="1199"/>
    <x v="0"/>
    <n v="18"/>
    <s v="Master"/>
    <x v="0"/>
    <s v="High"/>
    <x v="0"/>
    <n v="80"/>
    <s v="High"/>
    <x v="0"/>
    <s v="Healthcare Representative"/>
    <s v="High"/>
    <s v="Married"/>
    <n v="5689"/>
    <n v="24594"/>
    <n v="1"/>
    <s v="Yes"/>
    <n v="14"/>
    <s v="Excellent"/>
    <s v="Very High"/>
    <n v="2"/>
    <n v="10"/>
    <n v="2"/>
    <s v="Best"/>
    <x v="1"/>
    <s v="5-10"/>
    <n v="2"/>
    <n v="0"/>
    <n v="2"/>
    <n v="1457"/>
  </r>
  <r>
    <n v="40"/>
    <x v="0"/>
    <x v="1"/>
    <s v="Travel_Rarely"/>
    <n v="1194"/>
    <x v="0"/>
    <n v="2"/>
    <s v="Master"/>
    <x v="2"/>
    <s v="High"/>
    <x v="1"/>
    <n v="98"/>
    <s v="High"/>
    <x v="1"/>
    <s v="Research Scientist"/>
    <s v="High"/>
    <s v="Married"/>
    <n v="2001"/>
    <n v="12549"/>
    <n v="2"/>
    <s v="No"/>
    <n v="14"/>
    <s v="Excellent"/>
    <s v="Medium"/>
    <n v="3"/>
    <n v="20"/>
    <n v="2"/>
    <s v="Better"/>
    <x v="8"/>
    <s v="0-5"/>
    <n v="3"/>
    <n v="0"/>
    <n v="2"/>
    <n v="1458"/>
  </r>
  <r>
    <n v="35"/>
    <x v="2"/>
    <x v="1"/>
    <s v="Travel_Rarely"/>
    <n v="287"/>
    <x v="0"/>
    <n v="1"/>
    <s v="Master"/>
    <x v="0"/>
    <s v="High"/>
    <x v="1"/>
    <n v="62"/>
    <s v="Low"/>
    <x v="1"/>
    <s v="Research Scientist"/>
    <s v="Very High"/>
    <s v="Married"/>
    <n v="2977"/>
    <n v="8952"/>
    <n v="1"/>
    <s v="No"/>
    <n v="12"/>
    <s v="Excellent"/>
    <s v="Very High"/>
    <n v="1"/>
    <n v="4"/>
    <n v="5"/>
    <s v="Better"/>
    <x v="9"/>
    <s v="0-5"/>
    <n v="3"/>
    <n v="1"/>
    <n v="1"/>
    <n v="1459"/>
  </r>
  <r>
    <n v="29"/>
    <x v="2"/>
    <x v="1"/>
    <s v="Travel_Rarely"/>
    <n v="1378"/>
    <x v="0"/>
    <n v="13"/>
    <s v="College"/>
    <x v="1"/>
    <s v="Very High"/>
    <x v="0"/>
    <n v="46"/>
    <s v="Medium"/>
    <x v="0"/>
    <s v="Laboratory Technician"/>
    <s v="Medium"/>
    <s v="Married"/>
    <n v="4025"/>
    <n v="23679"/>
    <n v="4"/>
    <s v="Yes"/>
    <n v="13"/>
    <s v="Excellent"/>
    <s v="Low"/>
    <n v="1"/>
    <n v="10"/>
    <n v="2"/>
    <s v="Better"/>
    <x v="9"/>
    <s v="0-5"/>
    <n v="3"/>
    <n v="0"/>
    <n v="3"/>
    <n v="1460"/>
  </r>
  <r>
    <n v="29"/>
    <x v="2"/>
    <x v="1"/>
    <s v="Travel_Rarely"/>
    <n v="468"/>
    <x v="0"/>
    <n v="28"/>
    <s v="Master"/>
    <x v="2"/>
    <s v="Very High"/>
    <x v="1"/>
    <n v="73"/>
    <s v="Medium"/>
    <x v="1"/>
    <s v="Research Scientist"/>
    <s v="Low"/>
    <s v="Single"/>
    <n v="3785"/>
    <n v="8489"/>
    <n v="1"/>
    <s v="No"/>
    <n v="14"/>
    <s v="Excellent"/>
    <s v="Medium"/>
    <n v="0"/>
    <n v="5"/>
    <n v="3"/>
    <s v="Bad"/>
    <x v="8"/>
    <s v="0-5"/>
    <n v="4"/>
    <n v="0"/>
    <n v="4"/>
    <n v="1461"/>
  </r>
  <r>
    <n v="50"/>
    <x v="1"/>
    <x v="0"/>
    <s v="Travel_Rarely"/>
    <n v="410"/>
    <x v="1"/>
    <n v="28"/>
    <s v="Bachelor"/>
    <x v="3"/>
    <s v="Very High"/>
    <x v="0"/>
    <n v="39"/>
    <s v="Medium"/>
    <x v="2"/>
    <s v="Sales Executive"/>
    <s v="Low"/>
    <s v="Divorced"/>
    <n v="10854"/>
    <n v="16586"/>
    <n v="4"/>
    <s v="Yes"/>
    <n v="13"/>
    <s v="Excellent"/>
    <s v="Medium"/>
    <n v="1"/>
    <n v="20"/>
    <n v="3"/>
    <s v="Better"/>
    <x v="11"/>
    <s v="0-5"/>
    <n v="2"/>
    <n v="2"/>
    <n v="0"/>
    <n v="1462"/>
  </r>
  <r>
    <n v="39"/>
    <x v="0"/>
    <x v="1"/>
    <s v="Travel_Rarely"/>
    <n v="722"/>
    <x v="1"/>
    <n v="24"/>
    <s v="Below College"/>
    <x v="3"/>
    <s v="Medium"/>
    <x v="1"/>
    <n v="60"/>
    <s v="Medium"/>
    <x v="3"/>
    <s v="Sales Executive"/>
    <s v="Very High"/>
    <s v="Married"/>
    <n v="12031"/>
    <n v="8828"/>
    <n v="0"/>
    <s v="No"/>
    <n v="11"/>
    <s v="Excellent"/>
    <s v="Low"/>
    <n v="1"/>
    <n v="21"/>
    <n v="2"/>
    <s v="Good"/>
    <x v="23"/>
    <s v="10-40"/>
    <n v="9"/>
    <n v="9"/>
    <n v="6"/>
    <n v="1463"/>
  </r>
  <r>
    <n v="31"/>
    <x v="2"/>
    <x v="1"/>
    <s v="Non-Travel"/>
    <n v="325"/>
    <x v="0"/>
    <n v="5"/>
    <s v="Bachelor"/>
    <x v="2"/>
    <s v="Medium"/>
    <x v="0"/>
    <n v="74"/>
    <s v="High"/>
    <x v="0"/>
    <s v="Manufacturing Director"/>
    <s v="Low"/>
    <s v="Single"/>
    <n v="9936"/>
    <n v="3787"/>
    <n v="0"/>
    <s v="No"/>
    <n v="19"/>
    <s v="Excellent"/>
    <s v="Medium"/>
    <n v="0"/>
    <n v="10"/>
    <n v="2"/>
    <s v="Better"/>
    <x v="7"/>
    <s v="5-10"/>
    <n v="4"/>
    <n v="1"/>
    <n v="7"/>
    <n v="1464"/>
  </r>
  <r>
    <n v="26"/>
    <x v="2"/>
    <x v="1"/>
    <s v="Travel_Rarely"/>
    <n v="1167"/>
    <x v="1"/>
    <n v="5"/>
    <s v="Bachelor"/>
    <x v="1"/>
    <s v="Very High"/>
    <x v="1"/>
    <n v="30"/>
    <s v="Medium"/>
    <x v="1"/>
    <s v="Sales Representative"/>
    <s v="High"/>
    <s v="Single"/>
    <n v="2966"/>
    <n v="21378"/>
    <n v="0"/>
    <s v="No"/>
    <n v="18"/>
    <s v="Excellent"/>
    <s v="Very High"/>
    <n v="0"/>
    <n v="5"/>
    <n v="2"/>
    <s v="Better"/>
    <x v="9"/>
    <s v="0-5"/>
    <n v="2"/>
    <n v="0"/>
    <n v="0"/>
    <n v="1465"/>
  </r>
  <r>
    <n v="36"/>
    <x v="0"/>
    <x v="1"/>
    <s v="Travel_Frequently"/>
    <n v="884"/>
    <x v="0"/>
    <n v="23"/>
    <s v="College"/>
    <x v="2"/>
    <s v="High"/>
    <x v="0"/>
    <n v="41"/>
    <s v="Very High"/>
    <x v="0"/>
    <s v="Laboratory Technician"/>
    <s v="Very High"/>
    <s v="Married"/>
    <n v="2571"/>
    <n v="12290"/>
    <n v="4"/>
    <s v="No"/>
    <n v="17"/>
    <s v="Excellent"/>
    <s v="High"/>
    <n v="1"/>
    <n v="17"/>
    <n v="3"/>
    <s v="Better"/>
    <x v="8"/>
    <s v="0-5"/>
    <n v="2"/>
    <n v="0"/>
    <n v="3"/>
    <n v="1466"/>
  </r>
  <r>
    <n v="39"/>
    <x v="0"/>
    <x v="1"/>
    <s v="Travel_Rarely"/>
    <n v="613"/>
    <x v="0"/>
    <n v="6"/>
    <s v="Below College"/>
    <x v="2"/>
    <s v="Very High"/>
    <x v="0"/>
    <n v="42"/>
    <s v="Medium"/>
    <x v="2"/>
    <s v="Healthcare Representative"/>
    <s v="Low"/>
    <s v="Married"/>
    <n v="9991"/>
    <n v="21457"/>
    <n v="4"/>
    <s v="No"/>
    <n v="15"/>
    <s v="Excellent"/>
    <s v="Low"/>
    <n v="1"/>
    <n v="9"/>
    <n v="5"/>
    <s v="Better"/>
    <x v="5"/>
    <s v="5-10"/>
    <n v="7"/>
    <n v="1"/>
    <n v="7"/>
    <n v="1467"/>
  </r>
  <r>
    <n v="27"/>
    <x v="2"/>
    <x v="1"/>
    <s v="Travel_Rarely"/>
    <n v="155"/>
    <x v="0"/>
    <n v="4"/>
    <s v="Bachelor"/>
    <x v="0"/>
    <s v="Medium"/>
    <x v="0"/>
    <n v="87"/>
    <s v="Very High"/>
    <x v="0"/>
    <s v="Manufacturing Director"/>
    <s v="Medium"/>
    <s v="Married"/>
    <n v="6142"/>
    <n v="5174"/>
    <n v="1"/>
    <s v="Yes"/>
    <n v="20"/>
    <s v="Outstanding"/>
    <s v="Medium"/>
    <n v="1"/>
    <n v="6"/>
    <n v="0"/>
    <s v="Better"/>
    <x v="0"/>
    <s v="5-10"/>
    <n v="2"/>
    <n v="0"/>
    <n v="3"/>
    <n v="1468"/>
  </r>
  <r>
    <n v="49"/>
    <x v="1"/>
    <x v="1"/>
    <s v="Travel_Frequently"/>
    <n v="1023"/>
    <x v="1"/>
    <n v="2"/>
    <s v="Bachelor"/>
    <x v="2"/>
    <s v="Very High"/>
    <x v="0"/>
    <n v="63"/>
    <s v="Medium"/>
    <x v="0"/>
    <s v="Sales Executive"/>
    <s v="Medium"/>
    <s v="Married"/>
    <n v="5390"/>
    <n v="13243"/>
    <n v="2"/>
    <s v="No"/>
    <n v="14"/>
    <s v="Excellent"/>
    <s v="Very High"/>
    <n v="0"/>
    <n v="17"/>
    <n v="3"/>
    <s v="Good"/>
    <x v="7"/>
    <s v="5-10"/>
    <n v="6"/>
    <n v="0"/>
    <n v="8"/>
    <n v="1469"/>
  </r>
  <r>
    <n v="34"/>
    <x v="2"/>
    <x v="1"/>
    <s v="Travel_Rarely"/>
    <n v="628"/>
    <x v="0"/>
    <n v="8"/>
    <s v="Bachelor"/>
    <x v="2"/>
    <s v="Medium"/>
    <x v="0"/>
    <n v="82"/>
    <s v="Very High"/>
    <x v="0"/>
    <s v="Laboratory Technician"/>
    <s v="High"/>
    <s v="Married"/>
    <n v="4404"/>
    <n v="10228"/>
    <n v="2"/>
    <s v="No"/>
    <n v="12"/>
    <s v="Excellent"/>
    <s v="Low"/>
    <n v="0"/>
    <n v="6"/>
    <n v="3"/>
    <s v="Best"/>
    <x v="9"/>
    <s v="0-5"/>
    <n v="3"/>
    <n v="1"/>
    <n v="2"/>
    <n v="147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226A00D-3A2B-49E8-884E-E2DDAC072AAE}" name="PivotTable7" cacheId="6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P3:Q41" firstHeaderRow="1" firstDataRow="1" firstDataCol="1" rowPageCount="1" colPageCount="1"/>
  <pivotFields count="34">
    <pivotField showAll="0"/>
    <pivotField showAll="0"/>
    <pivotField axis="axisPage" showAll="0">
      <items count="3">
        <item x="1"/>
        <item x="0"/>
        <item t="default"/>
      </items>
    </pivotField>
    <pivotField showAll="0"/>
    <pivotField showAll="0"/>
    <pivotField showAll="0">
      <items count="5">
        <item m="1" x="3"/>
        <item x="2"/>
        <item x="0"/>
        <item x="1"/>
        <item t="default"/>
      </items>
    </pivotField>
    <pivotField showAll="0"/>
    <pivotField showAll="0"/>
    <pivotField showAll="0"/>
    <pivotField showAll="0"/>
    <pivotField showAll="0"/>
    <pivotField showAll="0"/>
    <pivotField showAll="0" sortType="ascending"/>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38">
        <item x="2"/>
        <item x="6"/>
        <item x="4"/>
        <item x="11"/>
        <item x="9"/>
        <item x="8"/>
        <item x="0"/>
        <item x="5"/>
        <item x="3"/>
        <item x="7"/>
        <item x="1"/>
        <item x="19"/>
        <item x="12"/>
        <item x="20"/>
        <item x="13"/>
        <item x="15"/>
        <item x="22"/>
        <item x="18"/>
        <item x="29"/>
        <item x="27"/>
        <item x="23"/>
        <item x="17"/>
        <item x="14"/>
        <item x="36"/>
        <item x="25"/>
        <item x="10"/>
        <item x="34"/>
        <item x="16"/>
        <item x="30"/>
        <item x="35"/>
        <item x="31"/>
        <item x="32"/>
        <item x="26"/>
        <item x="33"/>
        <item x="28"/>
        <item x="21"/>
        <item x="24"/>
        <item t="default"/>
      </items>
    </pivotField>
    <pivotField showAll="0"/>
    <pivotField showAll="0"/>
    <pivotField showAll="0"/>
    <pivotField showAll="0"/>
    <pivotField dataField="1" showAll="0"/>
  </pivotFields>
  <rowFields count="1">
    <field x="28"/>
  </rowFields>
  <rowItems count="3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t="grand">
      <x/>
    </i>
  </rowItems>
  <colItems count="1">
    <i/>
  </colItems>
  <pageFields count="1">
    <pageField fld="2" hier="-1"/>
  </pageFields>
  <dataFields count="1">
    <dataField name="Count of employe id" fld="33" subtotal="count" baseField="0" baseItem="0"/>
  </dataFields>
  <chartFormats count="2">
    <chartFormat chart="8" format="6"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99A9A6B-FE0D-4098-B5A3-0F5ED9B26F5D}" name="PivotTable6" cacheId="6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M3:N7" firstHeaderRow="1" firstDataRow="1" firstDataCol="1"/>
  <pivotFields count="34">
    <pivotField showAll="0"/>
    <pivotField showAll="0"/>
    <pivotField showAll="0"/>
    <pivotField showAll="0"/>
    <pivotField showAll="0"/>
    <pivotField axis="axisRow" showAll="0">
      <items count="5">
        <item x="2"/>
        <item x="0"/>
        <item x="1"/>
        <item m="1" x="3"/>
        <item t="default"/>
      </items>
    </pivotField>
    <pivotField showAll="0"/>
    <pivotField showAll="0"/>
    <pivotField showAll="0"/>
    <pivotField showAll="0"/>
    <pivotField showAll="0"/>
    <pivotField showAll="0"/>
    <pivotField showAll="0" sortType="ascending"/>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s>
  <rowFields count="1">
    <field x="5"/>
  </rowFields>
  <rowItems count="4">
    <i>
      <x/>
    </i>
    <i>
      <x v="1"/>
    </i>
    <i>
      <x v="2"/>
    </i>
    <i t="grand">
      <x/>
    </i>
  </rowItems>
  <colItems count="1">
    <i/>
  </colItems>
  <dataFields count="1">
    <dataField name="Count of employe id" fld="33" subtotal="count" baseField="4" baseItem="0"/>
  </dataFields>
  <chartFormats count="5">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4" format="3">
      <pivotArea type="data" outline="0" fieldPosition="0">
        <references count="2">
          <reference field="4294967294" count="1" selected="0">
            <x v="0"/>
          </reference>
          <reference field="5" count="1" selected="0">
            <x v="2"/>
          </reference>
        </references>
      </pivotArea>
    </chartFormat>
    <chartFormat chart="4" format="4">
      <pivotArea type="data" outline="0" fieldPosition="0">
        <references count="2">
          <reference field="4294967294" count="1" selected="0">
            <x v="0"/>
          </reference>
          <reference field="5" count="1" selected="0">
            <x v="0"/>
          </reference>
        </references>
      </pivotArea>
    </chartFormat>
    <chartFormat chart="4" format="5">
      <pivotArea type="data" outline="0" fieldPosition="0">
        <references count="2">
          <reference field="4294967294" count="1" selected="0">
            <x v="0"/>
          </reference>
          <reference field="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7C544B4-DD49-45B3-B678-2155EA11F171}" name="PivotTable5" cacheId="6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J10:K16" firstHeaderRow="1" firstDataRow="1" firstDataCol="1"/>
  <pivotFields count="34">
    <pivotField showAll="0"/>
    <pivotField showAll="0"/>
    <pivotField dataField="1" showAll="0"/>
    <pivotField showAll="0"/>
    <pivotField showAll="0"/>
    <pivotField showAll="0">
      <items count="5">
        <item m="1" x="3"/>
        <item x="2"/>
        <item x="0"/>
        <item x="1"/>
        <item t="default"/>
      </items>
    </pivotField>
    <pivotField showAll="0"/>
    <pivotField showAll="0"/>
    <pivotField showAll="0"/>
    <pivotField showAll="0"/>
    <pivotField showAll="0"/>
    <pivotField showAll="0"/>
    <pivotField showAll="0" sortType="ascending"/>
    <pivotField axis="axisRow" showAll="0">
      <items count="6">
        <item x="1"/>
        <item x="4"/>
        <item x="0"/>
        <item x="2"/>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3"/>
  </rowFields>
  <rowItems count="6">
    <i>
      <x/>
    </i>
    <i>
      <x v="1"/>
    </i>
    <i>
      <x v="2"/>
    </i>
    <i>
      <x v="3"/>
    </i>
    <i>
      <x v="4"/>
    </i>
    <i t="grand">
      <x/>
    </i>
  </rowItems>
  <colItems count="1">
    <i/>
  </colItems>
  <dataFields count="1">
    <dataField name="Sum of Attrition" fld="2" baseField="0" baseItem="0"/>
  </dataFields>
  <chartFormats count="7">
    <chartFormat chart="1" format="2"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13" count="1" selected="0">
            <x v="0"/>
          </reference>
        </references>
      </pivotArea>
    </chartFormat>
    <chartFormat chart="3" format="6">
      <pivotArea type="data" outline="0" fieldPosition="0">
        <references count="2">
          <reference field="4294967294" count="1" selected="0">
            <x v="0"/>
          </reference>
          <reference field="13" count="1" selected="0">
            <x v="2"/>
          </reference>
        </references>
      </pivotArea>
    </chartFormat>
    <chartFormat chart="3" format="7">
      <pivotArea type="data" outline="0" fieldPosition="0">
        <references count="2">
          <reference field="4294967294" count="1" selected="0">
            <x v="0"/>
          </reference>
          <reference field="13" count="1" selected="0">
            <x v="3"/>
          </reference>
        </references>
      </pivotArea>
    </chartFormat>
    <chartFormat chart="3" format="8">
      <pivotArea type="data" outline="0" fieldPosition="0">
        <references count="2">
          <reference field="4294967294" count="1" selected="0">
            <x v="0"/>
          </reference>
          <reference field="13" count="1" selected="0">
            <x v="4"/>
          </reference>
        </references>
      </pivotArea>
    </chartFormat>
    <chartFormat chart="3" format="9">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5394659-A0E4-46A5-9E12-D353CE161A0B}" name="PivotTable4" cacheId="6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J3:K6" firstHeaderRow="1" firstDataRow="1" firstDataCol="1"/>
  <pivotFields count="34">
    <pivotField showAll="0"/>
    <pivotField showAll="0"/>
    <pivotField dataField="1" showAll="0"/>
    <pivotField showAll="0"/>
    <pivotField showAll="0"/>
    <pivotField showAll="0">
      <items count="5">
        <item m="1" x="3"/>
        <item x="2"/>
        <item x="0"/>
        <item x="1"/>
        <item t="default"/>
      </items>
    </pivotField>
    <pivotField showAll="0"/>
    <pivotField showAll="0"/>
    <pivotField showAll="0"/>
    <pivotField showAll="0"/>
    <pivotField axis="axisRow" showAll="0">
      <items count="4">
        <item x="1"/>
        <item x="0"/>
        <item m="1" x="2"/>
        <item t="default"/>
      </items>
    </pivotField>
    <pivotField showAll="0"/>
    <pivotField showAll="0" sortType="ascending"/>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0"/>
  </rowFields>
  <rowItems count="3">
    <i>
      <x/>
    </i>
    <i>
      <x v="1"/>
    </i>
    <i t="grand">
      <x/>
    </i>
  </rowItems>
  <colItems count="1">
    <i/>
  </colItems>
  <dataFields count="1">
    <dataField name="Sum of Attrition" fld="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45520F0-FACB-469D-874C-512E24B89AF9}" name="PivotTable3" cacheId="6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G3:H9" firstHeaderRow="1" firstDataRow="1" firstDataCol="1"/>
  <pivotFields count="34">
    <pivotField showAll="0"/>
    <pivotField axis="axisRow" showAll="0">
      <items count="6">
        <item x="4"/>
        <item x="2"/>
        <item x="0"/>
        <item x="1"/>
        <item x="3"/>
        <item t="default"/>
      </items>
    </pivotField>
    <pivotField dataField="1" showAll="0"/>
    <pivotField showAll="0"/>
    <pivotField showAll="0"/>
    <pivotField showAll="0">
      <items count="5">
        <item m="1" x="3"/>
        <item x="2"/>
        <item x="0"/>
        <item x="1"/>
        <item t="default"/>
      </items>
    </pivotField>
    <pivotField showAll="0"/>
    <pivotField showAll="0"/>
    <pivotField showAll="0"/>
    <pivotField showAll="0"/>
    <pivotField showAll="0"/>
    <pivotField showAll="0"/>
    <pivotField showAll="0" sortType="ascending"/>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6">
    <i>
      <x/>
    </i>
    <i>
      <x v="1"/>
    </i>
    <i>
      <x v="2"/>
    </i>
    <i>
      <x v="3"/>
    </i>
    <i>
      <x v="4"/>
    </i>
    <i t="grand">
      <x/>
    </i>
  </rowItems>
  <colItems count="1">
    <i/>
  </colItems>
  <dataFields count="1">
    <dataField name="Sum of Attrition" fld="2" baseField="0" baseItem="0"/>
  </dataFields>
  <chartFormats count="7">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1" count="1" selected="0">
            <x v="1"/>
          </reference>
        </references>
      </pivotArea>
    </chartFormat>
    <chartFormat chart="3" format="4">
      <pivotArea type="data" outline="0" fieldPosition="0">
        <references count="2">
          <reference field="4294967294" count="1" selected="0">
            <x v="0"/>
          </reference>
          <reference field="1" count="1" selected="0">
            <x v="0"/>
          </reference>
        </references>
      </pivotArea>
    </chartFormat>
    <chartFormat chart="3" format="5">
      <pivotArea type="data" outline="0" fieldPosition="0">
        <references count="2">
          <reference field="4294967294" count="1" selected="0">
            <x v="0"/>
          </reference>
          <reference field="1" count="1" selected="0">
            <x v="4"/>
          </reference>
        </references>
      </pivotArea>
    </chartFormat>
    <chartFormat chart="3" format="6">
      <pivotArea type="data" outline="0" fieldPosition="0">
        <references count="2">
          <reference field="4294967294" count="1" selected="0">
            <x v="0"/>
          </reference>
          <reference field="1" count="1" selected="0">
            <x v="2"/>
          </reference>
        </references>
      </pivotArea>
    </chartFormat>
    <chartFormat chart="3" format="7">
      <pivotArea type="data" outline="0" fieldPosition="0">
        <references count="2">
          <reference field="4294967294" count="1" selected="0">
            <x v="0"/>
          </reference>
          <reference field="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050AD2B-381A-4DF6-A777-0AC15D6A0A7E}" name="PivotTable2" cacheId="6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D3:E10" firstHeaderRow="1" firstDataRow="1" firstDataCol="1"/>
  <pivotFields count="34">
    <pivotField showAll="0"/>
    <pivotField showAll="0"/>
    <pivotField dataField="1" showAll="0"/>
    <pivotField showAll="0"/>
    <pivotField showAll="0"/>
    <pivotField showAll="0">
      <items count="5">
        <item m="1" x="3"/>
        <item x="2"/>
        <item x="0"/>
        <item x="1"/>
        <item t="default"/>
      </items>
    </pivotField>
    <pivotField showAll="0"/>
    <pivotField showAll="0"/>
    <pivotField axis="axisRow" showAll="0">
      <items count="8">
        <item x="5"/>
        <item x="0"/>
        <item x="3"/>
        <item x="2"/>
        <item x="1"/>
        <item x="4"/>
        <item m="1" x="6"/>
        <item t="default"/>
      </items>
    </pivotField>
    <pivotField showAll="0"/>
    <pivotField showAll="0"/>
    <pivotField showAll="0"/>
    <pivotField showAll="0" sortType="ascending"/>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7">
    <i>
      <x/>
    </i>
    <i>
      <x v="1"/>
    </i>
    <i>
      <x v="2"/>
    </i>
    <i>
      <x v="3"/>
    </i>
    <i>
      <x v="4"/>
    </i>
    <i>
      <x v="5"/>
    </i>
    <i t="grand">
      <x/>
    </i>
  </rowItems>
  <colItems count="1">
    <i/>
  </colItems>
  <dataFields count="1">
    <dataField name="Sum of Attrition" fld="2" baseField="0" baseItem="0"/>
  </dataFields>
  <chartFormats count="9">
    <chartFormat chart="0" format="0" series="1">
      <pivotArea type="data" outline="0" fieldPosition="0">
        <references count="1">
          <reference field="4294967294" count="1" selected="0">
            <x v="0"/>
          </reference>
        </references>
      </pivotArea>
    </chartFormat>
    <chartFormat chart="2" format="8" series="1">
      <pivotArea type="data" outline="0" fieldPosition="0">
        <references count="1">
          <reference field="4294967294" count="1" selected="0">
            <x v="0"/>
          </reference>
        </references>
      </pivotArea>
    </chartFormat>
    <chartFormat chart="2" format="9">
      <pivotArea type="data" outline="0" fieldPosition="0">
        <references count="2">
          <reference field="4294967294" count="1" selected="0">
            <x v="0"/>
          </reference>
          <reference field="8" count="1" selected="0">
            <x v="0"/>
          </reference>
        </references>
      </pivotArea>
    </chartFormat>
    <chartFormat chart="2" format="10">
      <pivotArea type="data" outline="0" fieldPosition="0">
        <references count="2">
          <reference field="4294967294" count="1" selected="0">
            <x v="0"/>
          </reference>
          <reference field="8" count="1" selected="0">
            <x v="1"/>
          </reference>
        </references>
      </pivotArea>
    </chartFormat>
    <chartFormat chart="2" format="11">
      <pivotArea type="data" outline="0" fieldPosition="0">
        <references count="2">
          <reference field="4294967294" count="1" selected="0">
            <x v="0"/>
          </reference>
          <reference field="8" count="1" selected="0">
            <x v="2"/>
          </reference>
        </references>
      </pivotArea>
    </chartFormat>
    <chartFormat chart="2" format="12">
      <pivotArea type="data" outline="0" fieldPosition="0">
        <references count="2">
          <reference field="4294967294" count="1" selected="0">
            <x v="0"/>
          </reference>
          <reference field="8" count="1" selected="0">
            <x v="3"/>
          </reference>
        </references>
      </pivotArea>
    </chartFormat>
    <chartFormat chart="2" format="13">
      <pivotArea type="data" outline="0" fieldPosition="0">
        <references count="2">
          <reference field="4294967294" count="1" selected="0">
            <x v="0"/>
          </reference>
          <reference field="8" count="1" selected="0">
            <x v="4"/>
          </reference>
        </references>
      </pivotArea>
    </chartFormat>
    <chartFormat chart="2" format="14">
      <pivotArea type="data" outline="0" fieldPosition="0">
        <references count="2">
          <reference field="4294967294" count="1" selected="0">
            <x v="0"/>
          </reference>
          <reference field="8" count="1" selected="0">
            <x v="5"/>
          </reference>
        </references>
      </pivotArea>
    </chartFormat>
    <chartFormat chart="2" format="15">
      <pivotArea type="data" outline="0" fieldPosition="0">
        <references count="2">
          <reference field="4294967294" count="1" selected="0">
            <x v="0"/>
          </reference>
          <reference field="8"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A574E3C-D570-4EBD-834E-3150485885E5}" name="PivotTable1" cacheId="6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7" firstHeaderRow="1" firstDataRow="1" firstDataCol="1"/>
  <pivotFields count="34">
    <pivotField showAll="0"/>
    <pivotField showAll="0"/>
    <pivotField dataField="1" showAll="0"/>
    <pivotField showAll="0"/>
    <pivotField showAll="0"/>
    <pivotField axis="axisRow" showAll="0">
      <items count="5">
        <item x="2"/>
        <item x="0"/>
        <item x="1"/>
        <item m="1" x="3"/>
        <item t="default"/>
      </items>
    </pivotField>
    <pivotField showAll="0"/>
    <pivotField showAll="0"/>
    <pivotField showAll="0"/>
    <pivotField showAll="0"/>
    <pivotField showAll="0"/>
    <pivotField showAll="0"/>
    <pivotField showAll="0" sortType="ascending"/>
    <pivotField showAll="0"/>
    <pivotField showAll="0"/>
    <pivotField showAll="0"/>
    <pivotField showAll="0"/>
    <pivotField showAll="0" sumSubtotal="1"/>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4">
    <i>
      <x/>
    </i>
    <i>
      <x v="1"/>
    </i>
    <i>
      <x v="2"/>
    </i>
    <i t="grand">
      <x/>
    </i>
  </rowItems>
  <colItems count="1">
    <i/>
  </colItems>
  <dataFields count="1">
    <dataField name="Sum of Attrition" fld="2" baseField="0" baseItem="0"/>
  </dataFields>
  <chartFormats count="5">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5" count="1" selected="0">
            <x v="2"/>
          </reference>
        </references>
      </pivotArea>
    </chartFormat>
    <chartFormat chart="2" format="4">
      <pivotArea type="data" outline="0" fieldPosition="0">
        <references count="2">
          <reference field="4294967294" count="1" selected="0">
            <x v="0"/>
          </reference>
          <reference field="5" count="1" selected="0">
            <x v="0"/>
          </reference>
        </references>
      </pivotArea>
    </chartFormat>
    <chartFormat chart="2" format="5">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691FEAC1-1473-42E4-9DBF-B6DBFE9587B3}" sourceName="Department">
  <pivotTables>
    <pivotTable tabId="3" name="PivotTable1"/>
    <pivotTable tabId="3" name="PivotTable2"/>
    <pivotTable tabId="3" name="PivotTable3"/>
    <pivotTable tabId="3" name="PivotTable4"/>
    <pivotTable tabId="3" name="PivotTable5"/>
    <pivotTable tabId="3" name="PivotTable6"/>
    <pivotTable tabId="3" name="PivotTable7"/>
  </pivotTables>
  <data>
    <tabular pivotCacheId="1565911729">
      <items count="4">
        <i x="2" s="1"/>
        <i x="0" s="1"/>
        <i x="1" s="1"/>
        <i x="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1AF6B06D-76D5-4D29-9C21-AF3F531337CC}" cache="Slicer_Department" caption="Department" style="SlicerStyleOther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58A3C64-749C-48ED-9238-7011562328A3}" name="Table1" displayName="Table1" ref="A1:AH1471" totalsRowShown="0">
  <autoFilter ref="A1:AH1471" xr:uid="{158A3C64-749C-48ED-9238-7011562328A3}"/>
  <tableColumns count="34">
    <tableColumn id="1" xr3:uid="{EE1167CD-4576-4FDC-A14A-0E32429F3537}" name="Age"/>
    <tableColumn id="34" xr3:uid="{1EB0AFE3-1028-4155-9417-6A686197FCF8}" name="Age group" dataDxfId="1">
      <calculatedColumnFormula array="1">_xlfn.IFS(A2&lt;=25,"18-25",A2&lt;=35,"26-35",A2&lt;=45,"36-45",A2&lt;=55,"46-55",A2&gt;55,"55+")</calculatedColumnFormula>
    </tableColumn>
    <tableColumn id="2" xr3:uid="{3B2E3C49-EA2E-4B78-9DF8-D87A8B73F4EE}" name="Attrition"/>
    <tableColumn id="3" xr3:uid="{B1CC2F90-EA2C-4004-BB00-0FF246F0E533}" name="BusinessTravel"/>
    <tableColumn id="4" xr3:uid="{48BEAD13-E369-4697-90A3-120492447087}" name="DailyRate"/>
    <tableColumn id="5" xr3:uid="{6C59B08C-3FFE-40C6-8BBC-25BE9B56A5E0}" name="Department"/>
    <tableColumn id="6" xr3:uid="{D12107F5-20D6-4DE1-9EFE-2E981324E45C}" name="DistanceFromHome"/>
    <tableColumn id="7" xr3:uid="{2E5E843E-8629-4045-924D-07A3127E3F57}" name="Education"/>
    <tableColumn id="8" xr3:uid="{94AE9C7D-5AEA-4254-87C2-543AA3A430E8}" name="EducationField"/>
    <tableColumn id="9" xr3:uid="{F5D1919C-3A6A-481B-AC97-32592EDCA5AE}" name="EnvironmentSatisfaction"/>
    <tableColumn id="10" xr3:uid="{0AD7436A-D074-4A1A-AA4E-2AFE6B0952FA}" name="Gender"/>
    <tableColumn id="11" xr3:uid="{1191E4CE-A3DF-48CA-BCC1-575F486AEE24}" name="HourlyRate"/>
    <tableColumn id="12" xr3:uid="{7C8EF8BA-D075-40E4-B5F0-921AC50D1C79}" name="JobInvolvement"/>
    <tableColumn id="13" xr3:uid="{450618DA-F800-47E6-B34B-5CDBDBDAD1D3}" name="JobLevel"/>
    <tableColumn id="14" xr3:uid="{131B7286-BB1A-48E5-8094-FF7051CB7FCB}" name="JobRole"/>
    <tableColumn id="15" xr3:uid="{D9BB7B35-82A3-4120-9E47-95350F8A9FF6}" name="JobSatisfaction"/>
    <tableColumn id="16" xr3:uid="{826B7C22-DA00-4959-9A50-D983B2D4CA0A}" name="MaritalStatus"/>
    <tableColumn id="17" xr3:uid="{48520CE8-E3ED-4165-872A-6D04EC0F8628}" name="MonthlyIncome"/>
    <tableColumn id="18" xr3:uid="{5DF5251A-30DD-4A1A-95FD-ADFD6613E93E}" name="MonthlyRate"/>
    <tableColumn id="19" xr3:uid="{EAB333B7-E6DE-422A-9E66-7E6A8577B4C3}" name="NumCompaniesWorked"/>
    <tableColumn id="20" xr3:uid="{11F2F387-0DB9-4DAD-A55F-60CE8AA084D6}" name="OverTime"/>
    <tableColumn id="21" xr3:uid="{ADD11323-74E6-4015-9A62-85B79AF02873}" name="PercentSalaryHike"/>
    <tableColumn id="22" xr3:uid="{E9858340-44C5-485B-B8C6-42FBD3D0FA81}" name="PerformanceRating"/>
    <tableColumn id="23" xr3:uid="{A79FC124-4752-4D4D-9BFC-D560B26348AC}" name="RelationshipSatisfaction"/>
    <tableColumn id="24" xr3:uid="{831D8D3D-E0A0-4524-8F0A-62E100224D9D}" name="StockOptionLevel"/>
    <tableColumn id="25" xr3:uid="{8FC5C599-9BB0-42EA-B2A8-6D5AEF8E34B2}" name="TotalWorkingYears"/>
    <tableColumn id="26" xr3:uid="{9777C934-7B02-492F-8054-D1A5A90D7749}" name="TrainingTimesLastYear"/>
    <tableColumn id="27" xr3:uid="{B2EC8874-A540-466D-881A-9D8FF9930FBC}" name="WorkLifeBalance"/>
    <tableColumn id="28" xr3:uid="{D43CB5AB-BF96-4914-B832-8DE10BAD9D94}" name="YearsAtCompany"/>
    <tableColumn id="35" xr3:uid="{C7ADFDC4-ACE2-4F62-A0BA-F8A43EB2F506}" name="years group" dataDxfId="0">
      <calculatedColumnFormula array="1">_xlfn.IFS(AC2&lt;=5,"0-5",AC2&lt;=10,"5-10",AC2&lt;=40,"10-40")</calculatedColumnFormula>
    </tableColumn>
    <tableColumn id="29" xr3:uid="{3356AB6B-706F-4787-BA34-B0DDCA71D3E3}" name="YearsInCurrentRole"/>
    <tableColumn id="30" xr3:uid="{3CEB3DC9-AD91-439B-8846-AD3BFDABAA2D}" name="YearsSinceLastPromotion"/>
    <tableColumn id="31" xr3:uid="{5CCC639F-FF7C-448E-9B71-766A7C88DB6F}" name="YearsWithCurrManager"/>
    <tableColumn id="33" xr3:uid="{ABBDF1CD-7301-400F-B86B-86DC719D9EF9}" name="employe id"/>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1D2287-5FB9-4B6C-B973-626A78CF09BD}">
  <dimension ref="A1:Q41"/>
  <sheetViews>
    <sheetView workbookViewId="0">
      <selection activeCell="A3" sqref="A3"/>
    </sheetView>
  </sheetViews>
  <sheetFormatPr defaultRowHeight="14.4" x14ac:dyDescent="0.3"/>
  <cols>
    <col min="1" max="1" width="21.88671875" bestFit="1" customWidth="1"/>
    <col min="2" max="2" width="14.5546875" bestFit="1" customWidth="1"/>
    <col min="4" max="4" width="15.6640625" bestFit="1" customWidth="1"/>
    <col min="5" max="5" width="14.5546875" bestFit="1" customWidth="1"/>
    <col min="7" max="7" width="12.5546875" bestFit="1" customWidth="1"/>
    <col min="8" max="8" width="14.5546875" bestFit="1" customWidth="1"/>
    <col min="10" max="10" width="13.5546875" bestFit="1" customWidth="1"/>
    <col min="11" max="11" width="14.5546875" bestFit="1" customWidth="1"/>
    <col min="13" max="13" width="21.88671875" bestFit="1" customWidth="1"/>
    <col min="14" max="14" width="18.33203125" bestFit="1" customWidth="1"/>
    <col min="16" max="16" width="12.5546875" bestFit="1" customWidth="1"/>
    <col min="17" max="17" width="18.33203125" bestFit="1" customWidth="1"/>
  </cols>
  <sheetData>
    <row r="1" spans="1:17" x14ac:dyDescent="0.3">
      <c r="P1" s="2" t="s">
        <v>1</v>
      </c>
      <c r="Q1" t="s">
        <v>98</v>
      </c>
    </row>
    <row r="3" spans="1:17" x14ac:dyDescent="0.3">
      <c r="A3" s="2" t="s">
        <v>78</v>
      </c>
      <c r="B3" t="s">
        <v>77</v>
      </c>
      <c r="D3" s="2" t="s">
        <v>78</v>
      </c>
      <c r="E3" t="s">
        <v>77</v>
      </c>
      <c r="G3" s="2" t="s">
        <v>78</v>
      </c>
      <c r="H3" t="s">
        <v>77</v>
      </c>
      <c r="J3" s="2" t="s">
        <v>78</v>
      </c>
      <c r="K3" t="s">
        <v>77</v>
      </c>
      <c r="M3" s="2" t="s">
        <v>78</v>
      </c>
      <c r="N3" t="s">
        <v>84</v>
      </c>
      <c r="P3" s="2" t="s">
        <v>78</v>
      </c>
      <c r="Q3" t="s">
        <v>84</v>
      </c>
    </row>
    <row r="4" spans="1:17" x14ac:dyDescent="0.3">
      <c r="A4" s="3" t="s">
        <v>76</v>
      </c>
      <c r="B4" s="1">
        <v>12</v>
      </c>
      <c r="D4" s="3" t="s">
        <v>76</v>
      </c>
      <c r="E4" s="1">
        <v>7</v>
      </c>
      <c r="G4" s="3" t="s">
        <v>89</v>
      </c>
      <c r="H4" s="1">
        <v>44</v>
      </c>
      <c r="J4" s="3" t="s">
        <v>37</v>
      </c>
      <c r="K4" s="1">
        <v>86</v>
      </c>
      <c r="M4" s="3" t="s">
        <v>76</v>
      </c>
      <c r="N4" s="1">
        <v>63</v>
      </c>
      <c r="P4" s="3">
        <v>0</v>
      </c>
      <c r="Q4" s="1">
        <v>44</v>
      </c>
    </row>
    <row r="5" spans="1:17" x14ac:dyDescent="0.3">
      <c r="A5" s="3" t="s">
        <v>48</v>
      </c>
      <c r="B5" s="1">
        <v>134</v>
      </c>
      <c r="D5" s="3" t="s">
        <v>35</v>
      </c>
      <c r="E5" s="1">
        <v>89</v>
      </c>
      <c r="G5" s="3" t="s">
        <v>91</v>
      </c>
      <c r="H5" s="1">
        <v>116</v>
      </c>
      <c r="J5" s="3" t="s">
        <v>50</v>
      </c>
      <c r="K5" s="1">
        <v>151</v>
      </c>
      <c r="M5" s="3" t="s">
        <v>48</v>
      </c>
      <c r="N5" s="1">
        <v>962</v>
      </c>
      <c r="P5" s="3">
        <v>1</v>
      </c>
      <c r="Q5" s="1">
        <v>171</v>
      </c>
    </row>
    <row r="6" spans="1:17" x14ac:dyDescent="0.3">
      <c r="A6" s="3" t="s">
        <v>33</v>
      </c>
      <c r="B6" s="1">
        <v>91</v>
      </c>
      <c r="D6" s="3" t="s">
        <v>72</v>
      </c>
      <c r="E6" s="1">
        <v>35</v>
      </c>
      <c r="G6" s="3" t="s">
        <v>92</v>
      </c>
      <c r="H6" s="1">
        <v>43</v>
      </c>
      <c r="J6" s="3" t="s">
        <v>79</v>
      </c>
      <c r="K6" s="1">
        <v>237</v>
      </c>
      <c r="M6" s="3" t="s">
        <v>33</v>
      </c>
      <c r="N6" s="1">
        <v>445</v>
      </c>
      <c r="P6" s="3">
        <v>2</v>
      </c>
      <c r="Q6" s="1">
        <v>127</v>
      </c>
    </row>
    <row r="7" spans="1:17" x14ac:dyDescent="0.3">
      <c r="A7" s="3" t="s">
        <v>79</v>
      </c>
      <c r="B7" s="1">
        <v>237</v>
      </c>
      <c r="D7" s="3" t="s">
        <v>59</v>
      </c>
      <c r="E7" s="1">
        <v>63</v>
      </c>
      <c r="G7" s="3" t="s">
        <v>94</v>
      </c>
      <c r="H7" s="1">
        <v>26</v>
      </c>
      <c r="M7" s="3" t="s">
        <v>79</v>
      </c>
      <c r="N7" s="1">
        <v>1470</v>
      </c>
      <c r="P7" s="3">
        <v>3</v>
      </c>
      <c r="Q7" s="1">
        <v>128</v>
      </c>
    </row>
    <row r="8" spans="1:17" x14ac:dyDescent="0.3">
      <c r="D8" s="3" t="s">
        <v>55</v>
      </c>
      <c r="E8" s="1">
        <v>11</v>
      </c>
      <c r="G8" s="3" t="s">
        <v>96</v>
      </c>
      <c r="H8" s="1">
        <v>8</v>
      </c>
      <c r="P8" s="3">
        <v>4</v>
      </c>
      <c r="Q8" s="1">
        <v>110</v>
      </c>
    </row>
    <row r="9" spans="1:17" x14ac:dyDescent="0.3">
      <c r="D9" s="3" t="s">
        <v>74</v>
      </c>
      <c r="E9" s="1">
        <v>32</v>
      </c>
      <c r="G9" s="3" t="s">
        <v>79</v>
      </c>
      <c r="H9" s="1">
        <v>237</v>
      </c>
      <c r="P9" s="3">
        <v>5</v>
      </c>
      <c r="Q9" s="1">
        <v>196</v>
      </c>
    </row>
    <row r="10" spans="1:17" x14ac:dyDescent="0.3">
      <c r="D10" s="3" t="s">
        <v>79</v>
      </c>
      <c r="E10" s="1">
        <v>237</v>
      </c>
      <c r="J10" s="2" t="s">
        <v>78</v>
      </c>
      <c r="K10" t="s">
        <v>77</v>
      </c>
      <c r="P10" s="3">
        <v>6</v>
      </c>
      <c r="Q10" s="1">
        <v>76</v>
      </c>
    </row>
    <row r="11" spans="1:17" x14ac:dyDescent="0.3">
      <c r="J11" s="3" t="s">
        <v>56</v>
      </c>
      <c r="K11" s="1">
        <v>143</v>
      </c>
      <c r="P11" s="3">
        <v>7</v>
      </c>
      <c r="Q11" s="1">
        <v>90</v>
      </c>
    </row>
    <row r="12" spans="1:17" x14ac:dyDescent="0.3">
      <c r="J12" s="3" t="s">
        <v>71</v>
      </c>
      <c r="K12" s="1">
        <v>5</v>
      </c>
      <c r="P12" s="3">
        <v>8</v>
      </c>
      <c r="Q12" s="1">
        <v>80</v>
      </c>
    </row>
    <row r="13" spans="1:17" x14ac:dyDescent="0.3">
      <c r="J13" s="3" t="s">
        <v>39</v>
      </c>
      <c r="K13" s="1">
        <v>52</v>
      </c>
      <c r="P13" s="3">
        <v>9</v>
      </c>
      <c r="Q13" s="1">
        <v>82</v>
      </c>
    </row>
    <row r="14" spans="1:17" x14ac:dyDescent="0.3">
      <c r="J14" s="3" t="s">
        <v>63</v>
      </c>
      <c r="K14" s="1">
        <v>32</v>
      </c>
      <c r="P14" s="3">
        <v>10</v>
      </c>
      <c r="Q14" s="1">
        <v>120</v>
      </c>
    </row>
    <row r="15" spans="1:17" x14ac:dyDescent="0.3">
      <c r="J15" s="3" t="s">
        <v>67</v>
      </c>
      <c r="K15" s="1">
        <v>5</v>
      </c>
      <c r="P15" s="3">
        <v>11</v>
      </c>
      <c r="Q15" s="1">
        <v>32</v>
      </c>
    </row>
    <row r="16" spans="1:17" x14ac:dyDescent="0.3">
      <c r="J16" s="3" t="s">
        <v>79</v>
      </c>
      <c r="K16" s="1">
        <v>237</v>
      </c>
      <c r="P16" s="3">
        <v>12</v>
      </c>
      <c r="Q16" s="1">
        <v>14</v>
      </c>
    </row>
    <row r="17" spans="1:17" x14ac:dyDescent="0.3">
      <c r="P17" s="3">
        <v>13</v>
      </c>
      <c r="Q17" s="1">
        <v>24</v>
      </c>
    </row>
    <row r="18" spans="1:17" x14ac:dyDescent="0.3">
      <c r="P18" s="3">
        <v>14</v>
      </c>
      <c r="Q18" s="1">
        <v>18</v>
      </c>
    </row>
    <row r="19" spans="1:17" x14ac:dyDescent="0.3">
      <c r="P19" s="3">
        <v>15</v>
      </c>
      <c r="Q19" s="1">
        <v>20</v>
      </c>
    </row>
    <row r="20" spans="1:17" x14ac:dyDescent="0.3">
      <c r="A20" t="s">
        <v>80</v>
      </c>
      <c r="P20" s="3">
        <v>16</v>
      </c>
      <c r="Q20" s="1">
        <v>12</v>
      </c>
    </row>
    <row r="21" spans="1:17" x14ac:dyDescent="0.3">
      <c r="A21" t="s">
        <v>81</v>
      </c>
      <c r="B21">
        <v>1233</v>
      </c>
      <c r="P21" s="3">
        <v>17</v>
      </c>
      <c r="Q21" s="1">
        <v>9</v>
      </c>
    </row>
    <row r="22" spans="1:17" x14ac:dyDescent="0.3">
      <c r="A22" t="s">
        <v>82</v>
      </c>
      <c r="B22" s="4">
        <v>0.25</v>
      </c>
      <c r="P22" s="3">
        <v>18</v>
      </c>
      <c r="Q22" s="1">
        <v>13</v>
      </c>
    </row>
    <row r="23" spans="1:17" x14ac:dyDescent="0.3">
      <c r="A23" t="s">
        <v>85</v>
      </c>
      <c r="B23">
        <v>39</v>
      </c>
      <c r="P23" s="3">
        <v>19</v>
      </c>
      <c r="Q23" s="1">
        <v>11</v>
      </c>
    </row>
    <row r="24" spans="1:17" x14ac:dyDescent="0.3">
      <c r="A24" t="s">
        <v>86</v>
      </c>
      <c r="B24" s="5">
        <v>6502.9312929999996</v>
      </c>
      <c r="P24" s="3">
        <v>20</v>
      </c>
      <c r="Q24" s="1">
        <v>27</v>
      </c>
    </row>
    <row r="25" spans="1:17" x14ac:dyDescent="0.3">
      <c r="A25" t="s">
        <v>87</v>
      </c>
      <c r="B25">
        <v>7</v>
      </c>
      <c r="P25" s="3">
        <v>21</v>
      </c>
      <c r="Q25" s="1">
        <v>14</v>
      </c>
    </row>
    <row r="26" spans="1:17" x14ac:dyDescent="0.3">
      <c r="P26" s="3">
        <v>22</v>
      </c>
      <c r="Q26" s="1">
        <v>15</v>
      </c>
    </row>
    <row r="27" spans="1:17" x14ac:dyDescent="0.3">
      <c r="P27" s="3">
        <v>23</v>
      </c>
      <c r="Q27" s="1">
        <v>2</v>
      </c>
    </row>
    <row r="28" spans="1:17" x14ac:dyDescent="0.3">
      <c r="P28" s="3">
        <v>24</v>
      </c>
      <c r="Q28" s="1">
        <v>6</v>
      </c>
    </row>
    <row r="29" spans="1:17" x14ac:dyDescent="0.3">
      <c r="P29" s="3">
        <v>25</v>
      </c>
      <c r="Q29" s="1">
        <v>4</v>
      </c>
    </row>
    <row r="30" spans="1:17" x14ac:dyDescent="0.3">
      <c r="P30" s="3">
        <v>26</v>
      </c>
      <c r="Q30" s="1">
        <v>4</v>
      </c>
    </row>
    <row r="31" spans="1:17" x14ac:dyDescent="0.3">
      <c r="P31" s="3">
        <v>27</v>
      </c>
      <c r="Q31" s="1">
        <v>2</v>
      </c>
    </row>
    <row r="32" spans="1:17" x14ac:dyDescent="0.3">
      <c r="P32" s="3">
        <v>29</v>
      </c>
      <c r="Q32" s="1">
        <v>2</v>
      </c>
    </row>
    <row r="33" spans="16:17" x14ac:dyDescent="0.3">
      <c r="P33" s="3">
        <v>30</v>
      </c>
      <c r="Q33" s="1">
        <v>1</v>
      </c>
    </row>
    <row r="34" spans="16:17" x14ac:dyDescent="0.3">
      <c r="P34" s="3">
        <v>31</v>
      </c>
      <c r="Q34" s="1">
        <v>3</v>
      </c>
    </row>
    <row r="35" spans="16:17" x14ac:dyDescent="0.3">
      <c r="P35" s="3">
        <v>32</v>
      </c>
      <c r="Q35" s="1">
        <v>3</v>
      </c>
    </row>
    <row r="36" spans="16:17" x14ac:dyDescent="0.3">
      <c r="P36" s="3">
        <v>33</v>
      </c>
      <c r="Q36" s="1">
        <v>5</v>
      </c>
    </row>
    <row r="37" spans="16:17" x14ac:dyDescent="0.3">
      <c r="P37" s="3">
        <v>34</v>
      </c>
      <c r="Q37" s="1">
        <v>1</v>
      </c>
    </row>
    <row r="38" spans="16:17" x14ac:dyDescent="0.3">
      <c r="P38" s="3">
        <v>36</v>
      </c>
      <c r="Q38" s="1">
        <v>2</v>
      </c>
    </row>
    <row r="39" spans="16:17" x14ac:dyDescent="0.3">
      <c r="P39" s="3">
        <v>37</v>
      </c>
      <c r="Q39" s="1">
        <v>1</v>
      </c>
    </row>
    <row r="40" spans="16:17" x14ac:dyDescent="0.3">
      <c r="P40" s="3">
        <v>40</v>
      </c>
      <c r="Q40" s="1">
        <v>1</v>
      </c>
    </row>
    <row r="41" spans="16:17" x14ac:dyDescent="0.3">
      <c r="P41" s="3" t="s">
        <v>79</v>
      </c>
      <c r="Q41" s="1">
        <v>1470</v>
      </c>
    </row>
  </sheetData>
  <pageMargins left="0.7" right="0.7" top="0.75" bottom="0.75" header="0.3" footer="0.3"/>
  <drawing r:id="rId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E2631-AD11-4C04-A16D-E1922707AE9C}">
  <dimension ref="A1:N7"/>
  <sheetViews>
    <sheetView showGridLines="0" tabSelected="1" zoomScale="70" zoomScaleNormal="70" workbookViewId="0">
      <selection activeCell="P40" sqref="P40"/>
    </sheetView>
  </sheetViews>
  <sheetFormatPr defaultRowHeight="14.4" x14ac:dyDescent="0.3"/>
  <cols>
    <col min="1" max="16384" width="8.88671875" style="6"/>
  </cols>
  <sheetData>
    <row r="1" spans="1:14" x14ac:dyDescent="0.3">
      <c r="A1" s="15" t="s">
        <v>99</v>
      </c>
      <c r="B1" s="7"/>
      <c r="C1" s="7"/>
      <c r="D1" s="7"/>
      <c r="E1" s="7"/>
      <c r="F1" s="7"/>
      <c r="G1" s="7"/>
      <c r="H1" s="7"/>
      <c r="I1" s="7"/>
      <c r="J1" s="7"/>
      <c r="K1" s="7"/>
      <c r="L1" s="7"/>
      <c r="M1" s="7"/>
      <c r="N1" s="8"/>
    </row>
    <row r="2" spans="1:14" x14ac:dyDescent="0.3">
      <c r="A2" s="9"/>
      <c r="B2" s="10"/>
      <c r="C2" s="10"/>
      <c r="D2" s="10"/>
      <c r="E2" s="10"/>
      <c r="F2" s="10"/>
      <c r="G2" s="10"/>
      <c r="H2" s="10"/>
      <c r="I2" s="10"/>
      <c r="J2" s="10"/>
      <c r="K2" s="10"/>
      <c r="L2" s="10"/>
      <c r="M2" s="10"/>
      <c r="N2" s="11"/>
    </row>
    <row r="3" spans="1:14" x14ac:dyDescent="0.3">
      <c r="A3" s="9"/>
      <c r="B3" s="10"/>
      <c r="C3" s="10"/>
      <c r="D3" s="10"/>
      <c r="E3" s="10"/>
      <c r="F3" s="10"/>
      <c r="G3" s="10"/>
      <c r="H3" s="10"/>
      <c r="I3" s="10"/>
      <c r="J3" s="10"/>
      <c r="K3" s="10"/>
      <c r="L3" s="10"/>
      <c r="M3" s="10"/>
      <c r="N3" s="11"/>
    </row>
    <row r="4" spans="1:14" x14ac:dyDescent="0.3">
      <c r="A4" s="9"/>
      <c r="B4" s="10"/>
      <c r="C4" s="10"/>
      <c r="D4" s="10"/>
      <c r="E4" s="10"/>
      <c r="F4" s="10"/>
      <c r="G4" s="10"/>
      <c r="H4" s="10"/>
      <c r="I4" s="10"/>
      <c r="J4" s="10"/>
      <c r="K4" s="10"/>
      <c r="L4" s="10"/>
      <c r="M4" s="10"/>
      <c r="N4" s="11"/>
    </row>
    <row r="5" spans="1:14" x14ac:dyDescent="0.3">
      <c r="A5" s="9"/>
      <c r="B5" s="10"/>
      <c r="C5" s="10"/>
      <c r="D5" s="10"/>
      <c r="E5" s="10"/>
      <c r="F5" s="10"/>
      <c r="G5" s="10"/>
      <c r="H5" s="10"/>
      <c r="I5" s="10"/>
      <c r="J5" s="10"/>
      <c r="K5" s="10"/>
      <c r="L5" s="10"/>
      <c r="M5" s="10"/>
      <c r="N5" s="11"/>
    </row>
    <row r="6" spans="1:14" x14ac:dyDescent="0.3">
      <c r="A6" s="9"/>
      <c r="B6" s="10"/>
      <c r="C6" s="10"/>
      <c r="D6" s="10"/>
      <c r="E6" s="10"/>
      <c r="F6" s="10"/>
      <c r="G6" s="10"/>
      <c r="H6" s="10"/>
      <c r="I6" s="10"/>
      <c r="J6" s="10"/>
      <c r="K6" s="10"/>
      <c r="L6" s="10"/>
      <c r="M6" s="10"/>
      <c r="N6" s="11"/>
    </row>
    <row r="7" spans="1:14" ht="15" thickBot="1" x14ac:dyDescent="0.35">
      <c r="A7" s="12"/>
      <c r="B7" s="13"/>
      <c r="C7" s="13"/>
      <c r="D7" s="13"/>
      <c r="E7" s="13"/>
      <c r="F7" s="13"/>
      <c r="G7" s="13"/>
      <c r="H7" s="13"/>
      <c r="I7" s="13"/>
      <c r="J7" s="13"/>
      <c r="K7" s="13"/>
      <c r="L7" s="13"/>
      <c r="M7" s="13"/>
      <c r="N7" s="14"/>
    </row>
  </sheetData>
  <mergeCells count="1">
    <mergeCell ref="A1:N7"/>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CCFF3D-0226-482A-85D8-6CF81395E910}">
  <dimension ref="A1:AH1471"/>
  <sheetViews>
    <sheetView workbookViewId="0">
      <selection activeCell="K3" sqref="K3"/>
    </sheetView>
  </sheetViews>
  <sheetFormatPr defaultRowHeight="14.4" x14ac:dyDescent="0.3"/>
  <cols>
    <col min="2" max="2" width="9.88671875" customWidth="1"/>
    <col min="3" max="3" width="15.109375" customWidth="1"/>
    <col min="4" max="4" width="10.77734375" customWidth="1"/>
    <col min="5" max="5" width="16.88671875" customWidth="1"/>
    <col min="6" max="6" width="19.33203125" customWidth="1"/>
    <col min="7" max="7" width="11.33203125" customWidth="1"/>
    <col min="8" max="8" width="15.21875" customWidth="1"/>
    <col min="9" max="9" width="23.5546875" customWidth="1"/>
    <col min="10" max="10" width="9" customWidth="1"/>
    <col min="11" max="11" width="12.21875" customWidth="1"/>
    <col min="12" max="12" width="16.44140625" customWidth="1"/>
    <col min="13" max="13" width="10.109375" customWidth="1"/>
    <col min="14" max="14" width="9.44140625" customWidth="1"/>
    <col min="15" max="15" width="15.5546875" customWidth="1"/>
    <col min="16" max="16" width="14.109375" customWidth="1"/>
    <col min="17" max="17" width="16.44140625" customWidth="1"/>
    <col min="18" max="18" width="13.88671875" customWidth="1"/>
    <col min="19" max="19" width="23" customWidth="1"/>
    <col min="20" max="20" width="11" customWidth="1"/>
    <col min="21" max="21" width="18.109375" customWidth="1"/>
    <col min="22" max="22" width="19.109375" customWidth="1"/>
    <col min="23" max="23" width="23" customWidth="1"/>
    <col min="24" max="24" width="17.6640625" customWidth="1"/>
    <col min="25" max="25" width="18.6640625" customWidth="1"/>
    <col min="26" max="26" width="21.5546875" customWidth="1"/>
    <col min="27" max="27" width="17" customWidth="1"/>
    <col min="28" max="28" width="17.33203125" customWidth="1"/>
    <col min="29" max="29" width="19" customWidth="1"/>
    <col min="30" max="30" width="24.109375" customWidth="1"/>
    <col min="31" max="31" width="22.44140625" customWidth="1"/>
  </cols>
  <sheetData>
    <row r="1" spans="1:34" x14ac:dyDescent="0.3">
      <c r="A1" t="s">
        <v>0</v>
      </c>
      <c r="B1" t="s">
        <v>88</v>
      </c>
      <c r="C1" t="s">
        <v>1</v>
      </c>
      <c r="D1" t="s">
        <v>2</v>
      </c>
      <c r="E1" t="s">
        <v>3</v>
      </c>
      <c r="F1" t="s">
        <v>4</v>
      </c>
      <c r="G1" t="s">
        <v>5</v>
      </c>
      <c r="H1" t="s">
        <v>6</v>
      </c>
      <c r="I1" t="s">
        <v>7</v>
      </c>
      <c r="J1" t="s">
        <v>8</v>
      </c>
      <c r="K1" t="s">
        <v>9</v>
      </c>
      <c r="L1" t="s">
        <v>10</v>
      </c>
      <c r="M1" t="s">
        <v>11</v>
      </c>
      <c r="N1" t="s">
        <v>12</v>
      </c>
      <c r="O1" t="s">
        <v>13</v>
      </c>
      <c r="P1" t="s">
        <v>14</v>
      </c>
      <c r="Q1" t="s">
        <v>15</v>
      </c>
      <c r="R1" t="s">
        <v>16</v>
      </c>
      <c r="S1" t="s">
        <v>17</v>
      </c>
      <c r="T1" t="s">
        <v>18</v>
      </c>
      <c r="U1" t="s">
        <v>19</v>
      </c>
      <c r="V1" t="s">
        <v>20</v>
      </c>
      <c r="W1" t="s">
        <v>21</v>
      </c>
      <c r="X1" t="s">
        <v>22</v>
      </c>
      <c r="Y1" t="s">
        <v>23</v>
      </c>
      <c r="Z1" t="s">
        <v>24</v>
      </c>
      <c r="AA1" t="s">
        <v>25</v>
      </c>
      <c r="AB1" t="s">
        <v>26</v>
      </c>
      <c r="AC1" t="s">
        <v>27</v>
      </c>
      <c r="AD1" t="s">
        <v>97</v>
      </c>
      <c r="AE1" t="s">
        <v>28</v>
      </c>
      <c r="AF1" t="s">
        <v>29</v>
      </c>
      <c r="AG1" t="s">
        <v>30</v>
      </c>
      <c r="AH1" t="s">
        <v>83</v>
      </c>
    </row>
    <row r="2" spans="1:34" x14ac:dyDescent="0.3">
      <c r="A2">
        <v>41</v>
      </c>
      <c r="B2" t="str" cm="1">
        <f t="array" ref="B2">_xlfn.IFS(A2&lt;=25,"18-25",A2&lt;=35,"26-35",A2&lt;=45,"36-45",A2&lt;=55,"46-55",A2&gt;55,"55+")</f>
        <v>36-45</v>
      </c>
      <c r="C2">
        <v>1</v>
      </c>
      <c r="D2" t="s">
        <v>90</v>
      </c>
      <c r="E2" t="s">
        <v>91</v>
      </c>
      <c r="F2" t="s">
        <v>48</v>
      </c>
      <c r="G2" t="s">
        <v>92</v>
      </c>
      <c r="H2" t="s">
        <v>93</v>
      </c>
      <c r="I2" t="s">
        <v>35</v>
      </c>
      <c r="J2" t="s">
        <v>95</v>
      </c>
      <c r="K2" t="s">
        <v>50</v>
      </c>
      <c r="L2">
        <v>94</v>
      </c>
      <c r="M2" t="s">
        <v>38</v>
      </c>
      <c r="N2" t="s">
        <v>39</v>
      </c>
      <c r="O2" t="s">
        <v>40</v>
      </c>
      <c r="P2" t="s">
        <v>41</v>
      </c>
      <c r="Q2" t="s">
        <v>42</v>
      </c>
      <c r="R2">
        <v>5993</v>
      </c>
      <c r="S2">
        <v>19479</v>
      </c>
      <c r="T2">
        <v>8</v>
      </c>
      <c r="U2" t="s">
        <v>31</v>
      </c>
      <c r="V2">
        <v>11</v>
      </c>
      <c r="W2" t="s">
        <v>43</v>
      </c>
      <c r="X2" t="s">
        <v>44</v>
      </c>
      <c r="Y2">
        <v>0</v>
      </c>
      <c r="Z2">
        <v>8</v>
      </c>
      <c r="AA2">
        <v>0</v>
      </c>
      <c r="AB2" t="s">
        <v>45</v>
      </c>
      <c r="AC2">
        <v>6</v>
      </c>
      <c r="AD2" t="str" cm="1">
        <f t="array" ref="AD2">_xlfn.IFS(AC2&lt;=5,"0-5",AC2&lt;=10,"5-10",AC2&lt;=40,"10-40")</f>
        <v>5-10</v>
      </c>
      <c r="AE2">
        <v>4</v>
      </c>
      <c r="AF2">
        <v>0</v>
      </c>
      <c r="AG2">
        <v>5</v>
      </c>
      <c r="AH2">
        <v>1</v>
      </c>
    </row>
    <row r="3" spans="1:34" x14ac:dyDescent="0.3">
      <c r="A3">
        <v>49</v>
      </c>
      <c r="B3" t="str" cm="1">
        <f t="array" ref="B3">_xlfn.IFS(A3&lt;=25,"18-25",A3&lt;=35,"26-35",A3&lt;=45,"36-45",A3&lt;=55,"46-55",A3&gt;55,"55+")</f>
        <v>46-55</v>
      </c>
      <c r="C3">
        <v>0</v>
      </c>
      <c r="D3" t="s">
        <v>47</v>
      </c>
      <c r="E3">
        <v>279</v>
      </c>
      <c r="F3" t="s">
        <v>48</v>
      </c>
      <c r="G3">
        <v>8</v>
      </c>
      <c r="H3" t="s">
        <v>49</v>
      </c>
      <c r="I3" t="s">
        <v>35</v>
      </c>
      <c r="J3" t="s">
        <v>38</v>
      </c>
      <c r="K3" t="s">
        <v>50</v>
      </c>
      <c r="L3">
        <v>61</v>
      </c>
      <c r="M3" t="s">
        <v>36</v>
      </c>
      <c r="N3" t="s">
        <v>39</v>
      </c>
      <c r="O3" t="s">
        <v>51</v>
      </c>
      <c r="P3" t="s">
        <v>36</v>
      </c>
      <c r="Q3" t="s">
        <v>52</v>
      </c>
      <c r="R3">
        <v>5130</v>
      </c>
      <c r="S3">
        <v>24907</v>
      </c>
      <c r="T3">
        <v>1</v>
      </c>
      <c r="U3" t="s">
        <v>46</v>
      </c>
      <c r="V3">
        <v>23</v>
      </c>
      <c r="W3" t="s">
        <v>53</v>
      </c>
      <c r="X3" t="s">
        <v>41</v>
      </c>
      <c r="Y3">
        <v>1</v>
      </c>
      <c r="Z3">
        <v>10</v>
      </c>
      <c r="AA3">
        <v>3</v>
      </c>
      <c r="AB3" t="s">
        <v>54</v>
      </c>
      <c r="AC3">
        <v>10</v>
      </c>
      <c r="AD3" t="str" cm="1">
        <f t="array" ref="AD3">_xlfn.IFS(AC3&lt;=5,"0-5",AC3&lt;=10,"5-10",AC3&lt;=40,"10-40")</f>
        <v>5-10</v>
      </c>
      <c r="AE3">
        <v>7</v>
      </c>
      <c r="AF3">
        <v>1</v>
      </c>
      <c r="AG3">
        <v>7</v>
      </c>
      <c r="AH3">
        <v>2</v>
      </c>
    </row>
    <row r="4" spans="1:34" x14ac:dyDescent="0.3">
      <c r="A4">
        <v>37</v>
      </c>
      <c r="B4" t="str" cm="1">
        <f t="array" ref="B4">_xlfn.IFS(A4&lt;=25,"18-25",A4&lt;=35,"26-35",A4&lt;=45,"36-45",A4&lt;=55,"46-55",A4&gt;55,"55+")</f>
        <v>36-45</v>
      </c>
      <c r="C4">
        <v>1</v>
      </c>
      <c r="D4" t="s">
        <v>32</v>
      </c>
      <c r="E4">
        <v>1373</v>
      </c>
      <c r="F4" t="s">
        <v>48</v>
      </c>
      <c r="G4">
        <v>2</v>
      </c>
      <c r="H4" t="s">
        <v>34</v>
      </c>
      <c r="I4" t="s">
        <v>55</v>
      </c>
      <c r="J4" t="s">
        <v>41</v>
      </c>
      <c r="K4" t="s">
        <v>50</v>
      </c>
      <c r="L4">
        <v>92</v>
      </c>
      <c r="M4" t="s">
        <v>36</v>
      </c>
      <c r="N4" t="s">
        <v>56</v>
      </c>
      <c r="O4" t="s">
        <v>57</v>
      </c>
      <c r="P4" t="s">
        <v>38</v>
      </c>
      <c r="Q4" t="s">
        <v>42</v>
      </c>
      <c r="R4">
        <v>2090</v>
      </c>
      <c r="S4">
        <v>2396</v>
      </c>
      <c r="T4">
        <v>6</v>
      </c>
      <c r="U4" t="s">
        <v>31</v>
      </c>
      <c r="V4">
        <v>15</v>
      </c>
      <c r="W4" t="s">
        <v>43</v>
      </c>
      <c r="X4" t="s">
        <v>36</v>
      </c>
      <c r="Y4">
        <v>0</v>
      </c>
      <c r="Z4">
        <v>7</v>
      </c>
      <c r="AA4">
        <v>3</v>
      </c>
      <c r="AB4" t="s">
        <v>54</v>
      </c>
      <c r="AC4">
        <v>0</v>
      </c>
      <c r="AD4" t="str" cm="1">
        <f t="array" ref="AD4">_xlfn.IFS(AC4&lt;=5,"0-5",AC4&lt;=10,"5-10",AC4&lt;=40,"10-40")</f>
        <v>0-5</v>
      </c>
      <c r="AE4">
        <v>0</v>
      </c>
      <c r="AF4">
        <v>0</v>
      </c>
      <c r="AG4">
        <v>0</v>
      </c>
      <c r="AH4">
        <v>3</v>
      </c>
    </row>
    <row r="5" spans="1:34" x14ac:dyDescent="0.3">
      <c r="A5">
        <v>33</v>
      </c>
      <c r="B5" t="str" cm="1">
        <f t="array" ref="B5">_xlfn.IFS(A5&lt;=25,"18-25",A5&lt;=35,"26-35",A5&lt;=45,"36-45",A5&lt;=55,"46-55",A5&gt;55,"55+")</f>
        <v>26-35</v>
      </c>
      <c r="C5">
        <v>0</v>
      </c>
      <c r="D5" t="s">
        <v>47</v>
      </c>
      <c r="E5">
        <v>1392</v>
      </c>
      <c r="F5" t="s">
        <v>48</v>
      </c>
      <c r="G5">
        <v>3</v>
      </c>
      <c r="H5" t="s">
        <v>58</v>
      </c>
      <c r="I5" t="s">
        <v>35</v>
      </c>
      <c r="J5" t="s">
        <v>41</v>
      </c>
      <c r="K5" t="s">
        <v>37</v>
      </c>
      <c r="L5">
        <v>56</v>
      </c>
      <c r="M5" t="s">
        <v>38</v>
      </c>
      <c r="N5" t="s">
        <v>56</v>
      </c>
      <c r="O5" t="s">
        <v>51</v>
      </c>
      <c r="P5" t="s">
        <v>38</v>
      </c>
      <c r="Q5" t="s">
        <v>52</v>
      </c>
      <c r="R5">
        <v>2909</v>
      </c>
      <c r="S5">
        <v>23159</v>
      </c>
      <c r="T5">
        <v>1</v>
      </c>
      <c r="U5" t="s">
        <v>31</v>
      </c>
      <c r="V5">
        <v>11</v>
      </c>
      <c r="W5" t="s">
        <v>43</v>
      </c>
      <c r="X5" t="s">
        <v>38</v>
      </c>
      <c r="Y5">
        <v>0</v>
      </c>
      <c r="Z5">
        <v>8</v>
      </c>
      <c r="AA5">
        <v>3</v>
      </c>
      <c r="AB5" t="s">
        <v>54</v>
      </c>
      <c r="AC5">
        <v>8</v>
      </c>
      <c r="AD5" t="str" cm="1">
        <f t="array" ref="AD5">_xlfn.IFS(AC5&lt;=5,"0-5",AC5&lt;=10,"5-10",AC5&lt;=40,"10-40")</f>
        <v>5-10</v>
      </c>
      <c r="AE5">
        <v>7</v>
      </c>
      <c r="AF5">
        <v>3</v>
      </c>
      <c r="AG5">
        <v>0</v>
      </c>
      <c r="AH5">
        <v>4</v>
      </c>
    </row>
    <row r="6" spans="1:34" x14ac:dyDescent="0.3">
      <c r="A6">
        <v>27</v>
      </c>
      <c r="B6" t="str" cm="1">
        <f t="array" ref="B6">_xlfn.IFS(A6&lt;=25,"18-25",A6&lt;=35,"26-35",A6&lt;=45,"36-45",A6&lt;=55,"46-55",A6&gt;55,"55+")</f>
        <v>26-35</v>
      </c>
      <c r="C6">
        <v>0</v>
      </c>
      <c r="D6" t="s">
        <v>32</v>
      </c>
      <c r="E6">
        <v>591</v>
      </c>
      <c r="F6" t="s">
        <v>48</v>
      </c>
      <c r="G6">
        <v>2</v>
      </c>
      <c r="H6" t="s">
        <v>49</v>
      </c>
      <c r="I6" t="s">
        <v>59</v>
      </c>
      <c r="J6" t="s">
        <v>44</v>
      </c>
      <c r="K6" t="s">
        <v>50</v>
      </c>
      <c r="L6">
        <v>40</v>
      </c>
      <c r="M6" t="s">
        <v>38</v>
      </c>
      <c r="N6" t="s">
        <v>56</v>
      </c>
      <c r="O6" t="s">
        <v>57</v>
      </c>
      <c r="P6" t="s">
        <v>36</v>
      </c>
      <c r="Q6" t="s">
        <v>52</v>
      </c>
      <c r="R6">
        <v>3468</v>
      </c>
      <c r="S6">
        <v>16632</v>
      </c>
      <c r="T6">
        <v>9</v>
      </c>
      <c r="U6" t="s">
        <v>46</v>
      </c>
      <c r="V6">
        <v>12</v>
      </c>
      <c r="W6" t="s">
        <v>43</v>
      </c>
      <c r="X6" t="s">
        <v>41</v>
      </c>
      <c r="Y6">
        <v>1</v>
      </c>
      <c r="Z6">
        <v>6</v>
      </c>
      <c r="AA6">
        <v>3</v>
      </c>
      <c r="AB6" t="s">
        <v>54</v>
      </c>
      <c r="AC6">
        <v>2</v>
      </c>
      <c r="AD6" t="str" cm="1">
        <f t="array" ref="AD6">_xlfn.IFS(AC6&lt;=5,"0-5",AC6&lt;=10,"5-10",AC6&lt;=40,"10-40")</f>
        <v>0-5</v>
      </c>
      <c r="AE6">
        <v>2</v>
      </c>
      <c r="AF6">
        <v>2</v>
      </c>
      <c r="AG6">
        <v>2</v>
      </c>
      <c r="AH6">
        <v>5</v>
      </c>
    </row>
    <row r="7" spans="1:34" x14ac:dyDescent="0.3">
      <c r="A7">
        <v>32</v>
      </c>
      <c r="B7" t="str" cm="1">
        <f t="array" ref="B7">_xlfn.IFS(A7&lt;=25,"18-25",A7&lt;=35,"26-35",A7&lt;=45,"36-45",A7&lt;=55,"46-55",A7&gt;55,"55+")</f>
        <v>26-35</v>
      </c>
      <c r="C7">
        <v>0</v>
      </c>
      <c r="D7" t="s">
        <v>47</v>
      </c>
      <c r="E7">
        <v>1005</v>
      </c>
      <c r="F7" t="s">
        <v>48</v>
      </c>
      <c r="G7">
        <v>2</v>
      </c>
      <c r="H7" t="s">
        <v>34</v>
      </c>
      <c r="I7" t="s">
        <v>35</v>
      </c>
      <c r="J7" t="s">
        <v>41</v>
      </c>
      <c r="K7" t="s">
        <v>50</v>
      </c>
      <c r="L7">
        <v>79</v>
      </c>
      <c r="M7" t="s">
        <v>38</v>
      </c>
      <c r="N7" t="s">
        <v>56</v>
      </c>
      <c r="O7" t="s">
        <v>57</v>
      </c>
      <c r="P7" t="s">
        <v>41</v>
      </c>
      <c r="Q7" t="s">
        <v>42</v>
      </c>
      <c r="R7">
        <v>3068</v>
      </c>
      <c r="S7">
        <v>11864</v>
      </c>
      <c r="T7">
        <v>0</v>
      </c>
      <c r="U7" t="s">
        <v>46</v>
      </c>
      <c r="V7">
        <v>13</v>
      </c>
      <c r="W7" t="s">
        <v>43</v>
      </c>
      <c r="X7" t="s">
        <v>38</v>
      </c>
      <c r="Y7">
        <v>0</v>
      </c>
      <c r="Z7">
        <v>8</v>
      </c>
      <c r="AA7">
        <v>2</v>
      </c>
      <c r="AB7" t="s">
        <v>60</v>
      </c>
      <c r="AC7">
        <v>7</v>
      </c>
      <c r="AD7" t="str" cm="1">
        <f t="array" ref="AD7">_xlfn.IFS(AC7&lt;=5,"0-5",AC7&lt;=10,"5-10",AC7&lt;=40,"10-40")</f>
        <v>5-10</v>
      </c>
      <c r="AE7">
        <v>7</v>
      </c>
      <c r="AF7">
        <v>3</v>
      </c>
      <c r="AG7">
        <v>6</v>
      </c>
      <c r="AH7">
        <v>6</v>
      </c>
    </row>
    <row r="8" spans="1:34" x14ac:dyDescent="0.3">
      <c r="A8">
        <v>59</v>
      </c>
      <c r="B8" t="str" cm="1">
        <f t="array" ref="B8">_xlfn.IFS(A8&lt;=25,"18-25",A8&lt;=35,"26-35",A8&lt;=45,"36-45",A8&lt;=55,"46-55",A8&gt;55,"55+")</f>
        <v>55+</v>
      </c>
      <c r="C8">
        <v>0</v>
      </c>
      <c r="D8" t="s">
        <v>32</v>
      </c>
      <c r="E8">
        <v>1324</v>
      </c>
      <c r="F8" t="s">
        <v>48</v>
      </c>
      <c r="G8">
        <v>3</v>
      </c>
      <c r="H8" t="s">
        <v>61</v>
      </c>
      <c r="I8" t="s">
        <v>59</v>
      </c>
      <c r="J8" t="s">
        <v>38</v>
      </c>
      <c r="K8" t="s">
        <v>37</v>
      </c>
      <c r="L8">
        <v>81</v>
      </c>
      <c r="M8" t="s">
        <v>41</v>
      </c>
      <c r="N8" t="s">
        <v>56</v>
      </c>
      <c r="O8" t="s">
        <v>57</v>
      </c>
      <c r="P8" t="s">
        <v>44</v>
      </c>
      <c r="Q8" t="s">
        <v>52</v>
      </c>
      <c r="R8">
        <v>2670</v>
      </c>
      <c r="S8">
        <v>9964</v>
      </c>
      <c r="T8">
        <v>4</v>
      </c>
      <c r="U8" t="s">
        <v>31</v>
      </c>
      <c r="V8">
        <v>20</v>
      </c>
      <c r="W8" t="s">
        <v>53</v>
      </c>
      <c r="X8" t="s">
        <v>44</v>
      </c>
      <c r="Y8">
        <v>3</v>
      </c>
      <c r="Z8">
        <v>12</v>
      </c>
      <c r="AA8">
        <v>3</v>
      </c>
      <c r="AB8" t="s">
        <v>60</v>
      </c>
      <c r="AC8">
        <v>1</v>
      </c>
      <c r="AD8" t="str" cm="1">
        <f t="array" ref="AD8">_xlfn.IFS(AC8&lt;=5,"0-5",AC8&lt;=10,"5-10",AC8&lt;=40,"10-40")</f>
        <v>0-5</v>
      </c>
      <c r="AE8">
        <v>0</v>
      </c>
      <c r="AF8">
        <v>0</v>
      </c>
      <c r="AG8">
        <v>0</v>
      </c>
      <c r="AH8">
        <v>7</v>
      </c>
    </row>
    <row r="9" spans="1:34" x14ac:dyDescent="0.3">
      <c r="A9">
        <v>30</v>
      </c>
      <c r="B9" t="str" cm="1">
        <f t="array" ref="B9">_xlfn.IFS(A9&lt;=25,"18-25",A9&lt;=35,"26-35",A9&lt;=45,"36-45",A9&lt;=55,"46-55",A9&gt;55,"55+")</f>
        <v>26-35</v>
      </c>
      <c r="C9">
        <v>0</v>
      </c>
      <c r="D9" t="s">
        <v>32</v>
      </c>
      <c r="E9">
        <v>1358</v>
      </c>
      <c r="F9" t="s">
        <v>48</v>
      </c>
      <c r="G9">
        <v>24</v>
      </c>
      <c r="H9" t="s">
        <v>49</v>
      </c>
      <c r="I9" t="s">
        <v>35</v>
      </c>
      <c r="J9" t="s">
        <v>41</v>
      </c>
      <c r="K9" t="s">
        <v>50</v>
      </c>
      <c r="L9">
        <v>67</v>
      </c>
      <c r="M9" t="s">
        <v>38</v>
      </c>
      <c r="N9" t="s">
        <v>56</v>
      </c>
      <c r="O9" t="s">
        <v>57</v>
      </c>
      <c r="P9" t="s">
        <v>38</v>
      </c>
      <c r="Q9" t="s">
        <v>62</v>
      </c>
      <c r="R9">
        <v>2693</v>
      </c>
      <c r="S9">
        <v>13335</v>
      </c>
      <c r="T9">
        <v>1</v>
      </c>
      <c r="U9" t="s">
        <v>46</v>
      </c>
      <c r="V9">
        <v>22</v>
      </c>
      <c r="W9" t="s">
        <v>53</v>
      </c>
      <c r="X9" t="s">
        <v>36</v>
      </c>
      <c r="Y9">
        <v>1</v>
      </c>
      <c r="Z9">
        <v>1</v>
      </c>
      <c r="AA9">
        <v>2</v>
      </c>
      <c r="AB9" t="s">
        <v>54</v>
      </c>
      <c r="AC9">
        <v>1</v>
      </c>
      <c r="AD9" t="str" cm="1">
        <f t="array" ref="AD9">_xlfn.IFS(AC9&lt;=5,"0-5",AC9&lt;=10,"5-10",AC9&lt;=40,"10-40")</f>
        <v>0-5</v>
      </c>
      <c r="AE9">
        <v>0</v>
      </c>
      <c r="AF9">
        <v>0</v>
      </c>
      <c r="AG9">
        <v>0</v>
      </c>
      <c r="AH9">
        <v>8</v>
      </c>
    </row>
    <row r="10" spans="1:34" x14ac:dyDescent="0.3">
      <c r="A10">
        <v>38</v>
      </c>
      <c r="B10" t="str" cm="1">
        <f t="array" ref="B10">_xlfn.IFS(A10&lt;=25,"18-25",A10&lt;=35,"26-35",A10&lt;=45,"36-45",A10&lt;=55,"46-55",A10&gt;55,"55+")</f>
        <v>36-45</v>
      </c>
      <c r="C10">
        <v>0</v>
      </c>
      <c r="D10" t="s">
        <v>47</v>
      </c>
      <c r="E10">
        <v>216</v>
      </c>
      <c r="F10" t="s">
        <v>48</v>
      </c>
      <c r="G10">
        <v>23</v>
      </c>
      <c r="H10" t="s">
        <v>61</v>
      </c>
      <c r="I10" t="s">
        <v>35</v>
      </c>
      <c r="J10" t="s">
        <v>41</v>
      </c>
      <c r="K10" t="s">
        <v>50</v>
      </c>
      <c r="L10">
        <v>44</v>
      </c>
      <c r="M10" t="s">
        <v>36</v>
      </c>
      <c r="N10" t="s">
        <v>63</v>
      </c>
      <c r="O10" t="s">
        <v>64</v>
      </c>
      <c r="P10" t="s">
        <v>38</v>
      </c>
      <c r="Q10" t="s">
        <v>42</v>
      </c>
      <c r="R10">
        <v>9526</v>
      </c>
      <c r="S10">
        <v>8787</v>
      </c>
      <c r="T10">
        <v>0</v>
      </c>
      <c r="U10" t="s">
        <v>46</v>
      </c>
      <c r="V10">
        <v>21</v>
      </c>
      <c r="W10" t="s">
        <v>53</v>
      </c>
      <c r="X10" t="s">
        <v>36</v>
      </c>
      <c r="Y10">
        <v>0</v>
      </c>
      <c r="Z10">
        <v>10</v>
      </c>
      <c r="AA10">
        <v>2</v>
      </c>
      <c r="AB10" t="s">
        <v>54</v>
      </c>
      <c r="AC10">
        <v>9</v>
      </c>
      <c r="AD10" t="str" cm="1">
        <f t="array" ref="AD10">_xlfn.IFS(AC10&lt;=5,"0-5",AC10&lt;=10,"5-10",AC10&lt;=40,"10-40")</f>
        <v>5-10</v>
      </c>
      <c r="AE10">
        <v>7</v>
      </c>
      <c r="AF10">
        <v>1</v>
      </c>
      <c r="AG10">
        <v>8</v>
      </c>
      <c r="AH10">
        <v>9</v>
      </c>
    </row>
    <row r="11" spans="1:34" x14ac:dyDescent="0.3">
      <c r="A11">
        <v>36</v>
      </c>
      <c r="B11" t="str" cm="1">
        <f t="array" ref="B11">_xlfn.IFS(A11&lt;=25,"18-25",A11&lt;=35,"26-35",A11&lt;=45,"36-45",A11&lt;=55,"46-55",A11&gt;55,"55+")</f>
        <v>36-45</v>
      </c>
      <c r="C11">
        <v>0</v>
      </c>
      <c r="D11" t="s">
        <v>32</v>
      </c>
      <c r="E11">
        <v>1299</v>
      </c>
      <c r="F11" t="s">
        <v>48</v>
      </c>
      <c r="G11">
        <v>27</v>
      </c>
      <c r="H11" t="s">
        <v>61</v>
      </c>
      <c r="I11" t="s">
        <v>59</v>
      </c>
      <c r="J11" t="s">
        <v>38</v>
      </c>
      <c r="K11" t="s">
        <v>50</v>
      </c>
      <c r="L11">
        <v>94</v>
      </c>
      <c r="M11" t="s">
        <v>38</v>
      </c>
      <c r="N11" t="s">
        <v>39</v>
      </c>
      <c r="O11" t="s">
        <v>65</v>
      </c>
      <c r="P11" t="s">
        <v>38</v>
      </c>
      <c r="Q11" t="s">
        <v>52</v>
      </c>
      <c r="R11">
        <v>5237</v>
      </c>
      <c r="S11">
        <v>16577</v>
      </c>
      <c r="T11">
        <v>6</v>
      </c>
      <c r="U11" t="s">
        <v>46</v>
      </c>
      <c r="V11">
        <v>13</v>
      </c>
      <c r="W11" t="s">
        <v>43</v>
      </c>
      <c r="X11" t="s">
        <v>36</v>
      </c>
      <c r="Y11">
        <v>2</v>
      </c>
      <c r="Z11">
        <v>17</v>
      </c>
      <c r="AA11">
        <v>3</v>
      </c>
      <c r="AB11" t="s">
        <v>60</v>
      </c>
      <c r="AC11">
        <v>7</v>
      </c>
      <c r="AD11" t="str" cm="1">
        <f t="array" ref="AD11">_xlfn.IFS(AC11&lt;=5,"0-5",AC11&lt;=10,"5-10",AC11&lt;=40,"10-40")</f>
        <v>5-10</v>
      </c>
      <c r="AE11">
        <v>7</v>
      </c>
      <c r="AF11">
        <v>7</v>
      </c>
      <c r="AG11">
        <v>7</v>
      </c>
      <c r="AH11">
        <v>10</v>
      </c>
    </row>
    <row r="12" spans="1:34" x14ac:dyDescent="0.3">
      <c r="A12">
        <v>35</v>
      </c>
      <c r="B12" t="str" cm="1">
        <f t="array" ref="B12">_xlfn.IFS(A12&lt;=25,"18-25",A12&lt;=35,"26-35",A12&lt;=45,"36-45",A12&lt;=55,"46-55",A12&gt;55,"55+")</f>
        <v>26-35</v>
      </c>
      <c r="C12">
        <v>0</v>
      </c>
      <c r="D12" t="s">
        <v>32</v>
      </c>
      <c r="E12">
        <v>809</v>
      </c>
      <c r="F12" t="s">
        <v>48</v>
      </c>
      <c r="G12">
        <v>16</v>
      </c>
      <c r="H12" t="s">
        <v>61</v>
      </c>
      <c r="I12" t="s">
        <v>59</v>
      </c>
      <c r="J12" t="s">
        <v>44</v>
      </c>
      <c r="K12" t="s">
        <v>50</v>
      </c>
      <c r="L12">
        <v>84</v>
      </c>
      <c r="M12" t="s">
        <v>41</v>
      </c>
      <c r="N12" t="s">
        <v>56</v>
      </c>
      <c r="O12" t="s">
        <v>57</v>
      </c>
      <c r="P12" t="s">
        <v>36</v>
      </c>
      <c r="Q12" t="s">
        <v>52</v>
      </c>
      <c r="R12">
        <v>2426</v>
      </c>
      <c r="S12">
        <v>16479</v>
      </c>
      <c r="T12">
        <v>0</v>
      </c>
      <c r="U12" t="s">
        <v>46</v>
      </c>
      <c r="V12">
        <v>13</v>
      </c>
      <c r="W12" t="s">
        <v>43</v>
      </c>
      <c r="X12" t="s">
        <v>38</v>
      </c>
      <c r="Y12">
        <v>1</v>
      </c>
      <c r="Z12">
        <v>6</v>
      </c>
      <c r="AA12">
        <v>5</v>
      </c>
      <c r="AB12" t="s">
        <v>54</v>
      </c>
      <c r="AC12">
        <v>5</v>
      </c>
      <c r="AD12" t="str" cm="1">
        <f t="array" ref="AD12">_xlfn.IFS(AC12&lt;=5,"0-5",AC12&lt;=10,"5-10",AC12&lt;=40,"10-40")</f>
        <v>0-5</v>
      </c>
      <c r="AE12">
        <v>4</v>
      </c>
      <c r="AF12">
        <v>0</v>
      </c>
      <c r="AG12">
        <v>3</v>
      </c>
      <c r="AH12">
        <v>11</v>
      </c>
    </row>
    <row r="13" spans="1:34" x14ac:dyDescent="0.3">
      <c r="A13">
        <v>29</v>
      </c>
      <c r="B13" t="str" cm="1">
        <f t="array" ref="B13">_xlfn.IFS(A13&lt;=25,"18-25",A13&lt;=35,"26-35",A13&lt;=45,"36-45",A13&lt;=55,"46-55",A13&gt;55,"55+")</f>
        <v>26-35</v>
      </c>
      <c r="C13">
        <v>0</v>
      </c>
      <c r="D13" t="s">
        <v>32</v>
      </c>
      <c r="E13">
        <v>153</v>
      </c>
      <c r="F13" t="s">
        <v>48</v>
      </c>
      <c r="G13">
        <v>15</v>
      </c>
      <c r="H13" t="s">
        <v>34</v>
      </c>
      <c r="I13" t="s">
        <v>35</v>
      </c>
      <c r="J13" t="s">
        <v>41</v>
      </c>
      <c r="K13" t="s">
        <v>37</v>
      </c>
      <c r="L13">
        <v>49</v>
      </c>
      <c r="M13" t="s">
        <v>36</v>
      </c>
      <c r="N13" t="s">
        <v>39</v>
      </c>
      <c r="O13" t="s">
        <v>57</v>
      </c>
      <c r="P13" t="s">
        <v>38</v>
      </c>
      <c r="Q13" t="s">
        <v>42</v>
      </c>
      <c r="R13">
        <v>4193</v>
      </c>
      <c r="S13">
        <v>12682</v>
      </c>
      <c r="T13">
        <v>0</v>
      </c>
      <c r="U13" t="s">
        <v>31</v>
      </c>
      <c r="V13">
        <v>12</v>
      </c>
      <c r="W13" t="s">
        <v>43</v>
      </c>
      <c r="X13" t="s">
        <v>41</v>
      </c>
      <c r="Y13">
        <v>0</v>
      </c>
      <c r="Z13">
        <v>10</v>
      </c>
      <c r="AA13">
        <v>3</v>
      </c>
      <c r="AB13" t="s">
        <v>54</v>
      </c>
      <c r="AC13">
        <v>9</v>
      </c>
      <c r="AD13" t="str" cm="1">
        <f t="array" ref="AD13">_xlfn.IFS(AC13&lt;=5,"0-5",AC13&lt;=10,"5-10",AC13&lt;=40,"10-40")</f>
        <v>5-10</v>
      </c>
      <c r="AE13">
        <v>5</v>
      </c>
      <c r="AF13">
        <v>0</v>
      </c>
      <c r="AG13">
        <v>8</v>
      </c>
      <c r="AH13">
        <v>12</v>
      </c>
    </row>
    <row r="14" spans="1:34" x14ac:dyDescent="0.3">
      <c r="A14">
        <v>31</v>
      </c>
      <c r="B14" t="str" cm="1">
        <f t="array" ref="B14">_xlfn.IFS(A14&lt;=25,"18-25",A14&lt;=35,"26-35",A14&lt;=45,"36-45",A14&lt;=55,"46-55",A14&gt;55,"55+")</f>
        <v>26-35</v>
      </c>
      <c r="C14">
        <v>0</v>
      </c>
      <c r="D14" t="s">
        <v>32</v>
      </c>
      <c r="E14">
        <v>670</v>
      </c>
      <c r="F14" t="s">
        <v>48</v>
      </c>
      <c r="G14">
        <v>26</v>
      </c>
      <c r="H14" t="s">
        <v>49</v>
      </c>
      <c r="I14" t="s">
        <v>35</v>
      </c>
      <c r="J14" t="s">
        <v>44</v>
      </c>
      <c r="K14" t="s">
        <v>50</v>
      </c>
      <c r="L14">
        <v>31</v>
      </c>
      <c r="M14" t="s">
        <v>38</v>
      </c>
      <c r="N14" t="s">
        <v>56</v>
      </c>
      <c r="O14" t="s">
        <v>51</v>
      </c>
      <c r="P14" t="s">
        <v>38</v>
      </c>
      <c r="Q14" t="s">
        <v>62</v>
      </c>
      <c r="R14">
        <v>2911</v>
      </c>
      <c r="S14">
        <v>15170</v>
      </c>
      <c r="T14">
        <v>1</v>
      </c>
      <c r="U14" t="s">
        <v>46</v>
      </c>
      <c r="V14">
        <v>17</v>
      </c>
      <c r="W14" t="s">
        <v>43</v>
      </c>
      <c r="X14" t="s">
        <v>41</v>
      </c>
      <c r="Y14">
        <v>1</v>
      </c>
      <c r="Z14">
        <v>5</v>
      </c>
      <c r="AA14">
        <v>1</v>
      </c>
      <c r="AB14" t="s">
        <v>60</v>
      </c>
      <c r="AC14">
        <v>5</v>
      </c>
      <c r="AD14" t="str" cm="1">
        <f t="array" ref="AD14">_xlfn.IFS(AC14&lt;=5,"0-5",AC14&lt;=10,"5-10",AC14&lt;=40,"10-40")</f>
        <v>0-5</v>
      </c>
      <c r="AE14">
        <v>2</v>
      </c>
      <c r="AF14">
        <v>4</v>
      </c>
      <c r="AG14">
        <v>3</v>
      </c>
      <c r="AH14">
        <v>13</v>
      </c>
    </row>
    <row r="15" spans="1:34" x14ac:dyDescent="0.3">
      <c r="A15">
        <v>34</v>
      </c>
      <c r="B15" t="str" cm="1">
        <f t="array" ref="B15">_xlfn.IFS(A15&lt;=25,"18-25",A15&lt;=35,"26-35",A15&lt;=45,"36-45",A15&lt;=55,"46-55",A15&gt;55,"55+")</f>
        <v>26-35</v>
      </c>
      <c r="C15">
        <v>0</v>
      </c>
      <c r="D15" t="s">
        <v>32</v>
      </c>
      <c r="E15">
        <v>1346</v>
      </c>
      <c r="F15" t="s">
        <v>48</v>
      </c>
      <c r="G15">
        <v>19</v>
      </c>
      <c r="H15" t="s">
        <v>34</v>
      </c>
      <c r="I15" t="s">
        <v>59</v>
      </c>
      <c r="J15" t="s">
        <v>36</v>
      </c>
      <c r="K15" t="s">
        <v>50</v>
      </c>
      <c r="L15">
        <v>93</v>
      </c>
      <c r="M15" t="s">
        <v>38</v>
      </c>
      <c r="N15" t="s">
        <v>56</v>
      </c>
      <c r="O15" t="s">
        <v>57</v>
      </c>
      <c r="P15" t="s">
        <v>41</v>
      </c>
      <c r="Q15" t="s">
        <v>62</v>
      </c>
      <c r="R15">
        <v>2661</v>
      </c>
      <c r="S15">
        <v>8758</v>
      </c>
      <c r="T15">
        <v>0</v>
      </c>
      <c r="U15" t="s">
        <v>46</v>
      </c>
      <c r="V15">
        <v>11</v>
      </c>
      <c r="W15" t="s">
        <v>43</v>
      </c>
      <c r="X15" t="s">
        <v>38</v>
      </c>
      <c r="Y15">
        <v>1</v>
      </c>
      <c r="Z15">
        <v>3</v>
      </c>
      <c r="AA15">
        <v>2</v>
      </c>
      <c r="AB15" t="s">
        <v>54</v>
      </c>
      <c r="AC15">
        <v>2</v>
      </c>
      <c r="AD15" t="str" cm="1">
        <f t="array" ref="AD15">_xlfn.IFS(AC15&lt;=5,"0-5",AC15&lt;=10,"5-10",AC15&lt;=40,"10-40")</f>
        <v>0-5</v>
      </c>
      <c r="AE15">
        <v>2</v>
      </c>
      <c r="AF15">
        <v>1</v>
      </c>
      <c r="AG15">
        <v>2</v>
      </c>
      <c r="AH15">
        <v>14</v>
      </c>
    </row>
    <row r="16" spans="1:34" x14ac:dyDescent="0.3">
      <c r="A16">
        <v>28</v>
      </c>
      <c r="B16" t="str" cm="1">
        <f t="array" ref="B16">_xlfn.IFS(A16&lt;=25,"18-25",A16&lt;=35,"26-35",A16&lt;=45,"36-45",A16&lt;=55,"46-55",A16&gt;55,"55+")</f>
        <v>26-35</v>
      </c>
      <c r="C16">
        <v>1</v>
      </c>
      <c r="D16" t="s">
        <v>32</v>
      </c>
      <c r="E16">
        <v>103</v>
      </c>
      <c r="F16" t="s">
        <v>48</v>
      </c>
      <c r="G16">
        <v>24</v>
      </c>
      <c r="H16" t="s">
        <v>61</v>
      </c>
      <c r="I16" t="s">
        <v>35</v>
      </c>
      <c r="J16" t="s">
        <v>38</v>
      </c>
      <c r="K16" t="s">
        <v>50</v>
      </c>
      <c r="L16">
        <v>50</v>
      </c>
      <c r="M16" t="s">
        <v>36</v>
      </c>
      <c r="N16" t="s">
        <v>56</v>
      </c>
      <c r="O16" t="s">
        <v>57</v>
      </c>
      <c r="P16" t="s">
        <v>38</v>
      </c>
      <c r="Q16" t="s">
        <v>42</v>
      </c>
      <c r="R16">
        <v>2028</v>
      </c>
      <c r="S16">
        <v>12947</v>
      </c>
      <c r="T16">
        <v>5</v>
      </c>
      <c r="U16" t="s">
        <v>31</v>
      </c>
      <c r="V16">
        <v>14</v>
      </c>
      <c r="W16" t="s">
        <v>43</v>
      </c>
      <c r="X16" t="s">
        <v>36</v>
      </c>
      <c r="Y16">
        <v>0</v>
      </c>
      <c r="Z16">
        <v>6</v>
      </c>
      <c r="AA16">
        <v>4</v>
      </c>
      <c r="AB16" t="s">
        <v>54</v>
      </c>
      <c r="AC16">
        <v>4</v>
      </c>
      <c r="AD16" t="str" cm="1">
        <f t="array" ref="AD16">_xlfn.IFS(AC16&lt;=5,"0-5",AC16&lt;=10,"5-10",AC16&lt;=40,"10-40")</f>
        <v>0-5</v>
      </c>
      <c r="AE16">
        <v>2</v>
      </c>
      <c r="AF16">
        <v>0</v>
      </c>
      <c r="AG16">
        <v>3</v>
      </c>
      <c r="AH16">
        <v>15</v>
      </c>
    </row>
    <row r="17" spans="1:34" x14ac:dyDescent="0.3">
      <c r="A17">
        <v>29</v>
      </c>
      <c r="B17" t="str" cm="1">
        <f t="array" ref="B17">_xlfn.IFS(A17&lt;=25,"18-25",A17&lt;=35,"26-35",A17&lt;=45,"36-45",A17&lt;=55,"46-55",A17&gt;55,"55+")</f>
        <v>26-35</v>
      </c>
      <c r="C17">
        <v>0</v>
      </c>
      <c r="D17" t="s">
        <v>32</v>
      </c>
      <c r="E17">
        <v>1389</v>
      </c>
      <c r="F17" t="s">
        <v>48</v>
      </c>
      <c r="G17">
        <v>21</v>
      </c>
      <c r="H17" t="s">
        <v>58</v>
      </c>
      <c r="I17" t="s">
        <v>35</v>
      </c>
      <c r="J17" t="s">
        <v>36</v>
      </c>
      <c r="K17" t="s">
        <v>37</v>
      </c>
      <c r="L17">
        <v>51</v>
      </c>
      <c r="M17" t="s">
        <v>41</v>
      </c>
      <c r="N17" t="s">
        <v>63</v>
      </c>
      <c r="O17" t="s">
        <v>64</v>
      </c>
      <c r="P17" t="s">
        <v>44</v>
      </c>
      <c r="Q17" t="s">
        <v>62</v>
      </c>
      <c r="R17">
        <v>9980</v>
      </c>
      <c r="S17">
        <v>10195</v>
      </c>
      <c r="T17">
        <v>1</v>
      </c>
      <c r="U17" t="s">
        <v>46</v>
      </c>
      <c r="V17">
        <v>11</v>
      </c>
      <c r="W17" t="s">
        <v>43</v>
      </c>
      <c r="X17" t="s">
        <v>38</v>
      </c>
      <c r="Y17">
        <v>1</v>
      </c>
      <c r="Z17">
        <v>10</v>
      </c>
      <c r="AA17">
        <v>1</v>
      </c>
      <c r="AB17" t="s">
        <v>54</v>
      </c>
      <c r="AC17">
        <v>10</v>
      </c>
      <c r="AD17" t="str" cm="1">
        <f t="array" ref="AD17">_xlfn.IFS(AC17&lt;=5,"0-5",AC17&lt;=10,"5-10",AC17&lt;=40,"10-40")</f>
        <v>5-10</v>
      </c>
      <c r="AE17">
        <v>9</v>
      </c>
      <c r="AF17">
        <v>8</v>
      </c>
      <c r="AG17">
        <v>8</v>
      </c>
      <c r="AH17">
        <v>16</v>
      </c>
    </row>
    <row r="18" spans="1:34" x14ac:dyDescent="0.3">
      <c r="A18">
        <v>32</v>
      </c>
      <c r="B18" t="str" cm="1">
        <f t="array" ref="B18">_xlfn.IFS(A18&lt;=25,"18-25",A18&lt;=35,"26-35",A18&lt;=45,"36-45",A18&lt;=55,"46-55",A18&gt;55,"55+")</f>
        <v>26-35</v>
      </c>
      <c r="C18">
        <v>0</v>
      </c>
      <c r="D18" t="s">
        <v>32</v>
      </c>
      <c r="E18">
        <v>334</v>
      </c>
      <c r="F18" t="s">
        <v>48</v>
      </c>
      <c r="G18">
        <v>5</v>
      </c>
      <c r="H18" t="s">
        <v>34</v>
      </c>
      <c r="I18" t="s">
        <v>35</v>
      </c>
      <c r="J18" t="s">
        <v>44</v>
      </c>
      <c r="K18" t="s">
        <v>50</v>
      </c>
      <c r="L18">
        <v>80</v>
      </c>
      <c r="M18" t="s">
        <v>41</v>
      </c>
      <c r="N18" t="s">
        <v>56</v>
      </c>
      <c r="O18" t="s">
        <v>51</v>
      </c>
      <c r="P18" t="s">
        <v>36</v>
      </c>
      <c r="Q18" t="s">
        <v>62</v>
      </c>
      <c r="R18">
        <v>3298</v>
      </c>
      <c r="S18">
        <v>15053</v>
      </c>
      <c r="T18">
        <v>0</v>
      </c>
      <c r="U18" t="s">
        <v>31</v>
      </c>
      <c r="V18">
        <v>12</v>
      </c>
      <c r="W18" t="s">
        <v>43</v>
      </c>
      <c r="X18" t="s">
        <v>41</v>
      </c>
      <c r="Y18">
        <v>2</v>
      </c>
      <c r="Z18">
        <v>7</v>
      </c>
      <c r="AA18">
        <v>5</v>
      </c>
      <c r="AB18" t="s">
        <v>60</v>
      </c>
      <c r="AC18">
        <v>6</v>
      </c>
      <c r="AD18" t="str" cm="1">
        <f t="array" ref="AD18">_xlfn.IFS(AC18&lt;=5,"0-5",AC18&lt;=10,"5-10",AC18&lt;=40,"10-40")</f>
        <v>5-10</v>
      </c>
      <c r="AE18">
        <v>2</v>
      </c>
      <c r="AF18">
        <v>0</v>
      </c>
      <c r="AG18">
        <v>5</v>
      </c>
      <c r="AH18">
        <v>17</v>
      </c>
    </row>
    <row r="19" spans="1:34" x14ac:dyDescent="0.3">
      <c r="A19">
        <v>22</v>
      </c>
      <c r="B19" t="str" cm="1">
        <f t="array" ref="B19">_xlfn.IFS(A19&lt;=25,"18-25",A19&lt;=35,"26-35",A19&lt;=45,"36-45",A19&lt;=55,"46-55",A19&gt;55,"55+")</f>
        <v>18-25</v>
      </c>
      <c r="C19">
        <v>0</v>
      </c>
      <c r="D19" t="s">
        <v>66</v>
      </c>
      <c r="E19">
        <v>1123</v>
      </c>
      <c r="F19" t="s">
        <v>48</v>
      </c>
      <c r="G19">
        <v>16</v>
      </c>
      <c r="H19" t="s">
        <v>34</v>
      </c>
      <c r="I19" t="s">
        <v>59</v>
      </c>
      <c r="J19" t="s">
        <v>41</v>
      </c>
      <c r="K19" t="s">
        <v>50</v>
      </c>
      <c r="L19">
        <v>96</v>
      </c>
      <c r="M19" t="s">
        <v>41</v>
      </c>
      <c r="N19" t="s">
        <v>56</v>
      </c>
      <c r="O19" t="s">
        <v>57</v>
      </c>
      <c r="P19" t="s">
        <v>41</v>
      </c>
      <c r="Q19" t="s">
        <v>62</v>
      </c>
      <c r="R19">
        <v>2935</v>
      </c>
      <c r="S19">
        <v>7324</v>
      </c>
      <c r="T19">
        <v>1</v>
      </c>
      <c r="U19" t="s">
        <v>31</v>
      </c>
      <c r="V19">
        <v>13</v>
      </c>
      <c r="W19" t="s">
        <v>43</v>
      </c>
      <c r="X19" t="s">
        <v>36</v>
      </c>
      <c r="Y19">
        <v>2</v>
      </c>
      <c r="Z19">
        <v>1</v>
      </c>
      <c r="AA19">
        <v>2</v>
      </c>
      <c r="AB19" t="s">
        <v>60</v>
      </c>
      <c r="AC19">
        <v>1</v>
      </c>
      <c r="AD19" t="str" cm="1">
        <f t="array" ref="AD19">_xlfn.IFS(AC19&lt;=5,"0-5",AC19&lt;=10,"5-10",AC19&lt;=40,"10-40")</f>
        <v>0-5</v>
      </c>
      <c r="AE19">
        <v>0</v>
      </c>
      <c r="AF19">
        <v>0</v>
      </c>
      <c r="AG19">
        <v>0</v>
      </c>
      <c r="AH19">
        <v>18</v>
      </c>
    </row>
    <row r="20" spans="1:34" x14ac:dyDescent="0.3">
      <c r="A20">
        <v>53</v>
      </c>
      <c r="B20" t="str" cm="1">
        <f t="array" ref="B20">_xlfn.IFS(A20&lt;=25,"18-25",A20&lt;=35,"26-35",A20&lt;=45,"36-45",A20&lt;=55,"46-55",A20&gt;55,"55+")</f>
        <v>46-55</v>
      </c>
      <c r="C20">
        <v>0</v>
      </c>
      <c r="D20" t="s">
        <v>32</v>
      </c>
      <c r="E20">
        <v>1219</v>
      </c>
      <c r="F20" t="s">
        <v>33</v>
      </c>
      <c r="G20">
        <v>2</v>
      </c>
      <c r="H20" t="s">
        <v>58</v>
      </c>
      <c r="I20" t="s">
        <v>35</v>
      </c>
      <c r="J20" t="s">
        <v>44</v>
      </c>
      <c r="K20" t="s">
        <v>37</v>
      </c>
      <c r="L20">
        <v>78</v>
      </c>
      <c r="M20" t="s">
        <v>36</v>
      </c>
      <c r="N20" t="s">
        <v>67</v>
      </c>
      <c r="O20" t="s">
        <v>68</v>
      </c>
      <c r="P20" t="s">
        <v>41</v>
      </c>
      <c r="Q20" t="s">
        <v>52</v>
      </c>
      <c r="R20">
        <v>15427</v>
      </c>
      <c r="S20">
        <v>22021</v>
      </c>
      <c r="T20">
        <v>2</v>
      </c>
      <c r="U20" t="s">
        <v>46</v>
      </c>
      <c r="V20">
        <v>16</v>
      </c>
      <c r="W20" t="s">
        <v>43</v>
      </c>
      <c r="X20" t="s">
        <v>38</v>
      </c>
      <c r="Y20">
        <v>0</v>
      </c>
      <c r="Z20">
        <v>31</v>
      </c>
      <c r="AA20">
        <v>3</v>
      </c>
      <c r="AB20" t="s">
        <v>54</v>
      </c>
      <c r="AC20">
        <v>25</v>
      </c>
      <c r="AD20" t="str" cm="1">
        <f t="array" ref="AD20">_xlfn.IFS(AC20&lt;=5,"0-5",AC20&lt;=10,"5-10",AC20&lt;=40,"10-40")</f>
        <v>10-40</v>
      </c>
      <c r="AE20">
        <v>8</v>
      </c>
      <c r="AF20">
        <v>3</v>
      </c>
      <c r="AG20">
        <v>7</v>
      </c>
      <c r="AH20">
        <v>19</v>
      </c>
    </row>
    <row r="21" spans="1:34" x14ac:dyDescent="0.3">
      <c r="A21">
        <v>38</v>
      </c>
      <c r="B21" t="str" cm="1">
        <f t="array" ref="B21">_xlfn.IFS(A21&lt;=25,"18-25",A21&lt;=35,"26-35",A21&lt;=45,"36-45",A21&lt;=55,"46-55",A21&gt;55,"55+")</f>
        <v>36-45</v>
      </c>
      <c r="C21">
        <v>0</v>
      </c>
      <c r="D21" t="s">
        <v>32</v>
      </c>
      <c r="E21">
        <v>371</v>
      </c>
      <c r="F21" t="s">
        <v>48</v>
      </c>
      <c r="G21">
        <v>2</v>
      </c>
      <c r="H21" t="s">
        <v>61</v>
      </c>
      <c r="I21" t="s">
        <v>35</v>
      </c>
      <c r="J21" t="s">
        <v>41</v>
      </c>
      <c r="K21" t="s">
        <v>50</v>
      </c>
      <c r="L21">
        <v>45</v>
      </c>
      <c r="M21" t="s">
        <v>38</v>
      </c>
      <c r="N21" t="s">
        <v>56</v>
      </c>
      <c r="O21" t="s">
        <v>51</v>
      </c>
      <c r="P21" t="s">
        <v>41</v>
      </c>
      <c r="Q21" t="s">
        <v>42</v>
      </c>
      <c r="R21">
        <v>3944</v>
      </c>
      <c r="S21">
        <v>4306</v>
      </c>
      <c r="T21">
        <v>5</v>
      </c>
      <c r="U21" t="s">
        <v>31</v>
      </c>
      <c r="V21">
        <v>11</v>
      </c>
      <c r="W21" t="s">
        <v>43</v>
      </c>
      <c r="X21" t="s">
        <v>38</v>
      </c>
      <c r="Y21">
        <v>0</v>
      </c>
      <c r="Z21">
        <v>6</v>
      </c>
      <c r="AA21">
        <v>3</v>
      </c>
      <c r="AB21" t="s">
        <v>54</v>
      </c>
      <c r="AC21">
        <v>3</v>
      </c>
      <c r="AD21" t="str" cm="1">
        <f t="array" ref="AD21">_xlfn.IFS(AC21&lt;=5,"0-5",AC21&lt;=10,"5-10",AC21&lt;=40,"10-40")</f>
        <v>0-5</v>
      </c>
      <c r="AE21">
        <v>2</v>
      </c>
      <c r="AF21">
        <v>1</v>
      </c>
      <c r="AG21">
        <v>2</v>
      </c>
      <c r="AH21">
        <v>20</v>
      </c>
    </row>
    <row r="22" spans="1:34" x14ac:dyDescent="0.3">
      <c r="A22">
        <v>24</v>
      </c>
      <c r="B22" t="str" cm="1">
        <f t="array" ref="B22">_xlfn.IFS(A22&lt;=25,"18-25",A22&lt;=35,"26-35",A22&lt;=45,"36-45",A22&lt;=55,"46-55",A22&gt;55,"55+")</f>
        <v>18-25</v>
      </c>
      <c r="C22">
        <v>0</v>
      </c>
      <c r="D22" t="s">
        <v>66</v>
      </c>
      <c r="E22">
        <v>673</v>
      </c>
      <c r="F22" t="s">
        <v>48</v>
      </c>
      <c r="G22">
        <v>11</v>
      </c>
      <c r="H22" t="s">
        <v>34</v>
      </c>
      <c r="I22" t="s">
        <v>55</v>
      </c>
      <c r="J22" t="s">
        <v>44</v>
      </c>
      <c r="K22" t="s">
        <v>37</v>
      </c>
      <c r="L22">
        <v>96</v>
      </c>
      <c r="M22" t="s">
        <v>41</v>
      </c>
      <c r="N22" t="s">
        <v>39</v>
      </c>
      <c r="O22" t="s">
        <v>64</v>
      </c>
      <c r="P22" t="s">
        <v>38</v>
      </c>
      <c r="Q22" t="s">
        <v>62</v>
      </c>
      <c r="R22">
        <v>4011</v>
      </c>
      <c r="S22">
        <v>8232</v>
      </c>
      <c r="T22">
        <v>0</v>
      </c>
      <c r="U22" t="s">
        <v>46</v>
      </c>
      <c r="V22">
        <v>18</v>
      </c>
      <c r="W22" t="s">
        <v>43</v>
      </c>
      <c r="X22" t="s">
        <v>41</v>
      </c>
      <c r="Y22">
        <v>1</v>
      </c>
      <c r="Z22">
        <v>5</v>
      </c>
      <c r="AA22">
        <v>5</v>
      </c>
      <c r="AB22" t="s">
        <v>60</v>
      </c>
      <c r="AC22">
        <v>4</v>
      </c>
      <c r="AD22" t="str" cm="1">
        <f t="array" ref="AD22">_xlfn.IFS(AC22&lt;=5,"0-5",AC22&lt;=10,"5-10",AC22&lt;=40,"10-40")</f>
        <v>0-5</v>
      </c>
      <c r="AE22">
        <v>2</v>
      </c>
      <c r="AF22">
        <v>1</v>
      </c>
      <c r="AG22">
        <v>3</v>
      </c>
      <c r="AH22">
        <v>21</v>
      </c>
    </row>
    <row r="23" spans="1:34" x14ac:dyDescent="0.3">
      <c r="A23">
        <v>36</v>
      </c>
      <c r="B23" t="str" cm="1">
        <f t="array" ref="B23">_xlfn.IFS(A23&lt;=25,"18-25",A23&lt;=35,"26-35",A23&lt;=45,"36-45",A23&lt;=55,"46-55",A23&gt;55,"55+")</f>
        <v>36-45</v>
      </c>
      <c r="C23">
        <v>1</v>
      </c>
      <c r="D23" t="s">
        <v>32</v>
      </c>
      <c r="E23">
        <v>1218</v>
      </c>
      <c r="F23" t="s">
        <v>33</v>
      </c>
      <c r="G23">
        <v>9</v>
      </c>
      <c r="H23" t="s">
        <v>58</v>
      </c>
      <c r="I23" t="s">
        <v>35</v>
      </c>
      <c r="J23" t="s">
        <v>38</v>
      </c>
      <c r="K23" t="s">
        <v>50</v>
      </c>
      <c r="L23">
        <v>82</v>
      </c>
      <c r="M23" t="s">
        <v>36</v>
      </c>
      <c r="N23" t="s">
        <v>56</v>
      </c>
      <c r="O23" t="s">
        <v>69</v>
      </c>
      <c r="P23" t="s">
        <v>44</v>
      </c>
      <c r="Q23" t="s">
        <v>42</v>
      </c>
      <c r="R23">
        <v>3407</v>
      </c>
      <c r="S23">
        <v>6986</v>
      </c>
      <c r="T23">
        <v>7</v>
      </c>
      <c r="U23" t="s">
        <v>46</v>
      </c>
      <c r="V23">
        <v>23</v>
      </c>
      <c r="W23" t="s">
        <v>53</v>
      </c>
      <c r="X23" t="s">
        <v>36</v>
      </c>
      <c r="Y23">
        <v>0</v>
      </c>
      <c r="Z23">
        <v>10</v>
      </c>
      <c r="AA23">
        <v>4</v>
      </c>
      <c r="AB23" t="s">
        <v>54</v>
      </c>
      <c r="AC23">
        <v>5</v>
      </c>
      <c r="AD23" t="str" cm="1">
        <f t="array" ref="AD23">_xlfn.IFS(AC23&lt;=5,"0-5",AC23&lt;=10,"5-10",AC23&lt;=40,"10-40")</f>
        <v>0-5</v>
      </c>
      <c r="AE23">
        <v>3</v>
      </c>
      <c r="AF23">
        <v>0</v>
      </c>
      <c r="AG23">
        <v>3</v>
      </c>
      <c r="AH23">
        <v>22</v>
      </c>
    </row>
    <row r="24" spans="1:34" x14ac:dyDescent="0.3">
      <c r="A24">
        <v>34</v>
      </c>
      <c r="B24" t="str" cm="1">
        <f t="array" ref="B24">_xlfn.IFS(A24&lt;=25,"18-25",A24&lt;=35,"26-35",A24&lt;=45,"36-45",A24&lt;=55,"46-55",A24&gt;55,"55+")</f>
        <v>26-35</v>
      </c>
      <c r="C24">
        <v>0</v>
      </c>
      <c r="D24" t="s">
        <v>32</v>
      </c>
      <c r="E24">
        <v>419</v>
      </c>
      <c r="F24" t="s">
        <v>48</v>
      </c>
      <c r="G24">
        <v>7</v>
      </c>
      <c r="H24" t="s">
        <v>58</v>
      </c>
      <c r="I24" t="s">
        <v>35</v>
      </c>
      <c r="J24" t="s">
        <v>44</v>
      </c>
      <c r="K24" t="s">
        <v>37</v>
      </c>
      <c r="L24">
        <v>53</v>
      </c>
      <c r="M24" t="s">
        <v>38</v>
      </c>
      <c r="N24" t="s">
        <v>63</v>
      </c>
      <c r="O24" t="s">
        <v>70</v>
      </c>
      <c r="P24" t="s">
        <v>36</v>
      </c>
      <c r="Q24" t="s">
        <v>42</v>
      </c>
      <c r="R24">
        <v>11994</v>
      </c>
      <c r="S24">
        <v>21293</v>
      </c>
      <c r="T24">
        <v>0</v>
      </c>
      <c r="U24" t="s">
        <v>46</v>
      </c>
      <c r="V24">
        <v>11</v>
      </c>
      <c r="W24" t="s">
        <v>43</v>
      </c>
      <c r="X24" t="s">
        <v>38</v>
      </c>
      <c r="Y24">
        <v>0</v>
      </c>
      <c r="Z24">
        <v>13</v>
      </c>
      <c r="AA24">
        <v>4</v>
      </c>
      <c r="AB24" t="s">
        <v>54</v>
      </c>
      <c r="AC24">
        <v>12</v>
      </c>
      <c r="AD24" t="str" cm="1">
        <f t="array" ref="AD24">_xlfn.IFS(AC24&lt;=5,"0-5",AC24&lt;=10,"5-10",AC24&lt;=40,"10-40")</f>
        <v>10-40</v>
      </c>
      <c r="AE24">
        <v>6</v>
      </c>
      <c r="AF24">
        <v>2</v>
      </c>
      <c r="AG24">
        <v>11</v>
      </c>
      <c r="AH24">
        <v>23</v>
      </c>
    </row>
    <row r="25" spans="1:34" x14ac:dyDescent="0.3">
      <c r="A25">
        <v>21</v>
      </c>
      <c r="B25" t="str" cm="1">
        <f t="array" ref="B25">_xlfn.IFS(A25&lt;=25,"18-25",A25&lt;=35,"26-35",A25&lt;=45,"36-45",A25&lt;=55,"46-55",A25&gt;55,"55+")</f>
        <v>18-25</v>
      </c>
      <c r="C25">
        <v>0</v>
      </c>
      <c r="D25" t="s">
        <v>32</v>
      </c>
      <c r="E25">
        <v>391</v>
      </c>
      <c r="F25" t="s">
        <v>48</v>
      </c>
      <c r="G25">
        <v>15</v>
      </c>
      <c r="H25" t="s">
        <v>34</v>
      </c>
      <c r="I25" t="s">
        <v>35</v>
      </c>
      <c r="J25" t="s">
        <v>38</v>
      </c>
      <c r="K25" t="s">
        <v>50</v>
      </c>
      <c r="L25">
        <v>96</v>
      </c>
      <c r="M25" t="s">
        <v>38</v>
      </c>
      <c r="N25" t="s">
        <v>56</v>
      </c>
      <c r="O25" t="s">
        <v>51</v>
      </c>
      <c r="P25" t="s">
        <v>41</v>
      </c>
      <c r="Q25" t="s">
        <v>42</v>
      </c>
      <c r="R25">
        <v>1232</v>
      </c>
      <c r="S25">
        <v>19281</v>
      </c>
      <c r="T25">
        <v>1</v>
      </c>
      <c r="U25" t="s">
        <v>46</v>
      </c>
      <c r="V25">
        <v>14</v>
      </c>
      <c r="W25" t="s">
        <v>43</v>
      </c>
      <c r="X25" t="s">
        <v>41</v>
      </c>
      <c r="Y25">
        <v>0</v>
      </c>
      <c r="Z25">
        <v>0</v>
      </c>
      <c r="AA25">
        <v>6</v>
      </c>
      <c r="AB25" t="s">
        <v>54</v>
      </c>
      <c r="AC25">
        <v>0</v>
      </c>
      <c r="AD25" t="str" cm="1">
        <f t="array" ref="AD25">_xlfn.IFS(AC25&lt;=5,"0-5",AC25&lt;=10,"5-10",AC25&lt;=40,"10-40")</f>
        <v>0-5</v>
      </c>
      <c r="AE25">
        <v>0</v>
      </c>
      <c r="AF25">
        <v>0</v>
      </c>
      <c r="AG25">
        <v>0</v>
      </c>
      <c r="AH25">
        <v>24</v>
      </c>
    </row>
    <row r="26" spans="1:34" x14ac:dyDescent="0.3">
      <c r="A26">
        <v>34</v>
      </c>
      <c r="B26" t="str" cm="1">
        <f t="array" ref="B26">_xlfn.IFS(A26&lt;=25,"18-25",A26&lt;=35,"26-35",A26&lt;=45,"36-45",A26&lt;=55,"46-55",A26&gt;55,"55+")</f>
        <v>26-35</v>
      </c>
      <c r="C26">
        <v>1</v>
      </c>
      <c r="D26" t="s">
        <v>32</v>
      </c>
      <c r="E26">
        <v>699</v>
      </c>
      <c r="F26" t="s">
        <v>48</v>
      </c>
      <c r="G26">
        <v>6</v>
      </c>
      <c r="H26" t="s">
        <v>49</v>
      </c>
      <c r="I26" t="s">
        <v>59</v>
      </c>
      <c r="J26" t="s">
        <v>36</v>
      </c>
      <c r="K26" t="s">
        <v>50</v>
      </c>
      <c r="L26">
        <v>83</v>
      </c>
      <c r="M26" t="s">
        <v>38</v>
      </c>
      <c r="N26" t="s">
        <v>56</v>
      </c>
      <c r="O26" t="s">
        <v>51</v>
      </c>
      <c r="P26" t="s">
        <v>44</v>
      </c>
      <c r="Q26" t="s">
        <v>42</v>
      </c>
      <c r="R26">
        <v>2960</v>
      </c>
      <c r="S26">
        <v>17102</v>
      </c>
      <c r="T26">
        <v>2</v>
      </c>
      <c r="U26" t="s">
        <v>46</v>
      </c>
      <c r="V26">
        <v>11</v>
      </c>
      <c r="W26" t="s">
        <v>43</v>
      </c>
      <c r="X26" t="s">
        <v>38</v>
      </c>
      <c r="Y26">
        <v>0</v>
      </c>
      <c r="Z26">
        <v>8</v>
      </c>
      <c r="AA26">
        <v>2</v>
      </c>
      <c r="AB26" t="s">
        <v>54</v>
      </c>
      <c r="AC26">
        <v>4</v>
      </c>
      <c r="AD26" t="str" cm="1">
        <f t="array" ref="AD26">_xlfn.IFS(AC26&lt;=5,"0-5",AC26&lt;=10,"5-10",AC26&lt;=40,"10-40")</f>
        <v>0-5</v>
      </c>
      <c r="AE26">
        <v>2</v>
      </c>
      <c r="AF26">
        <v>1</v>
      </c>
      <c r="AG26">
        <v>3</v>
      </c>
      <c r="AH26">
        <v>25</v>
      </c>
    </row>
    <row r="27" spans="1:34" x14ac:dyDescent="0.3">
      <c r="A27">
        <v>53</v>
      </c>
      <c r="B27" t="str" cm="1">
        <f t="array" ref="B27">_xlfn.IFS(A27&lt;=25,"18-25",A27&lt;=35,"26-35",A27&lt;=45,"36-45",A27&lt;=55,"46-55",A27&gt;55,"55+")</f>
        <v>46-55</v>
      </c>
      <c r="C27">
        <v>0</v>
      </c>
      <c r="D27" t="s">
        <v>32</v>
      </c>
      <c r="E27">
        <v>1282</v>
      </c>
      <c r="F27" t="s">
        <v>48</v>
      </c>
      <c r="G27">
        <v>5</v>
      </c>
      <c r="H27" t="s">
        <v>61</v>
      </c>
      <c r="I27" t="s">
        <v>55</v>
      </c>
      <c r="J27" t="s">
        <v>38</v>
      </c>
      <c r="K27" t="s">
        <v>37</v>
      </c>
      <c r="L27">
        <v>58</v>
      </c>
      <c r="M27" t="s">
        <v>38</v>
      </c>
      <c r="N27" t="s">
        <v>71</v>
      </c>
      <c r="O27" t="s">
        <v>68</v>
      </c>
      <c r="P27" t="s">
        <v>38</v>
      </c>
      <c r="Q27" t="s">
        <v>62</v>
      </c>
      <c r="R27">
        <v>19094</v>
      </c>
      <c r="S27">
        <v>10735</v>
      </c>
      <c r="T27">
        <v>4</v>
      </c>
      <c r="U27" t="s">
        <v>46</v>
      </c>
      <c r="V27">
        <v>11</v>
      </c>
      <c r="W27" t="s">
        <v>43</v>
      </c>
      <c r="X27" t="s">
        <v>41</v>
      </c>
      <c r="Y27">
        <v>1</v>
      </c>
      <c r="Z27">
        <v>26</v>
      </c>
      <c r="AA27">
        <v>3</v>
      </c>
      <c r="AB27" t="s">
        <v>60</v>
      </c>
      <c r="AC27">
        <v>14</v>
      </c>
      <c r="AD27" t="str" cm="1">
        <f t="array" ref="AD27">_xlfn.IFS(AC27&lt;=5,"0-5",AC27&lt;=10,"5-10",AC27&lt;=40,"10-40")</f>
        <v>10-40</v>
      </c>
      <c r="AE27">
        <v>13</v>
      </c>
      <c r="AF27">
        <v>4</v>
      </c>
      <c r="AG27">
        <v>8</v>
      </c>
      <c r="AH27">
        <v>26</v>
      </c>
    </row>
    <row r="28" spans="1:34" x14ac:dyDescent="0.3">
      <c r="A28">
        <v>32</v>
      </c>
      <c r="B28" t="str" cm="1">
        <f t="array" ref="B28">_xlfn.IFS(A28&lt;=25,"18-25",A28&lt;=35,"26-35",A28&lt;=45,"36-45",A28&lt;=55,"46-55",A28&gt;55,"55+")</f>
        <v>26-35</v>
      </c>
      <c r="C28">
        <v>1</v>
      </c>
      <c r="D28" t="s">
        <v>47</v>
      </c>
      <c r="E28">
        <v>1125</v>
      </c>
      <c r="F28" t="s">
        <v>48</v>
      </c>
      <c r="G28">
        <v>16</v>
      </c>
      <c r="H28" t="s">
        <v>49</v>
      </c>
      <c r="I28" t="s">
        <v>35</v>
      </c>
      <c r="J28" t="s">
        <v>36</v>
      </c>
      <c r="K28" t="s">
        <v>37</v>
      </c>
      <c r="L28">
        <v>72</v>
      </c>
      <c r="M28" t="s">
        <v>44</v>
      </c>
      <c r="N28" t="s">
        <v>56</v>
      </c>
      <c r="O28" t="s">
        <v>51</v>
      </c>
      <c r="P28" t="s">
        <v>44</v>
      </c>
      <c r="Q28" t="s">
        <v>42</v>
      </c>
      <c r="R28">
        <v>3919</v>
      </c>
      <c r="S28">
        <v>4681</v>
      </c>
      <c r="T28">
        <v>1</v>
      </c>
      <c r="U28" t="s">
        <v>31</v>
      </c>
      <c r="V28">
        <v>22</v>
      </c>
      <c r="W28" t="s">
        <v>53</v>
      </c>
      <c r="X28" t="s">
        <v>36</v>
      </c>
      <c r="Y28">
        <v>0</v>
      </c>
      <c r="Z28">
        <v>10</v>
      </c>
      <c r="AA28">
        <v>5</v>
      </c>
      <c r="AB28" t="s">
        <v>54</v>
      </c>
      <c r="AC28">
        <v>10</v>
      </c>
      <c r="AD28" t="str" cm="1">
        <f t="array" ref="AD28">_xlfn.IFS(AC28&lt;=5,"0-5",AC28&lt;=10,"5-10",AC28&lt;=40,"10-40")</f>
        <v>5-10</v>
      </c>
      <c r="AE28">
        <v>2</v>
      </c>
      <c r="AF28">
        <v>6</v>
      </c>
      <c r="AG28">
        <v>7</v>
      </c>
      <c r="AH28">
        <v>27</v>
      </c>
    </row>
    <row r="29" spans="1:34" x14ac:dyDescent="0.3">
      <c r="A29">
        <v>42</v>
      </c>
      <c r="B29" t="str" cm="1">
        <f t="array" ref="B29">_xlfn.IFS(A29&lt;=25,"18-25",A29&lt;=35,"26-35",A29&lt;=45,"36-45",A29&lt;=55,"46-55",A29&gt;55,"55+")</f>
        <v>36-45</v>
      </c>
      <c r="C29">
        <v>0</v>
      </c>
      <c r="D29" t="s">
        <v>32</v>
      </c>
      <c r="E29">
        <v>691</v>
      </c>
      <c r="F29" t="s">
        <v>33</v>
      </c>
      <c r="G29">
        <v>8</v>
      </c>
      <c r="H29" t="s">
        <v>58</v>
      </c>
      <c r="I29" t="s">
        <v>72</v>
      </c>
      <c r="J29" t="s">
        <v>38</v>
      </c>
      <c r="K29" t="s">
        <v>50</v>
      </c>
      <c r="L29">
        <v>48</v>
      </c>
      <c r="M29" t="s">
        <v>38</v>
      </c>
      <c r="N29" t="s">
        <v>39</v>
      </c>
      <c r="O29" t="s">
        <v>40</v>
      </c>
      <c r="P29" t="s">
        <v>36</v>
      </c>
      <c r="Q29" t="s">
        <v>52</v>
      </c>
      <c r="R29">
        <v>6825</v>
      </c>
      <c r="S29">
        <v>21173</v>
      </c>
      <c r="T29">
        <v>0</v>
      </c>
      <c r="U29" t="s">
        <v>46</v>
      </c>
      <c r="V29">
        <v>11</v>
      </c>
      <c r="W29" t="s">
        <v>43</v>
      </c>
      <c r="X29" t="s">
        <v>41</v>
      </c>
      <c r="Y29">
        <v>1</v>
      </c>
      <c r="Z29">
        <v>10</v>
      </c>
      <c r="AA29">
        <v>2</v>
      </c>
      <c r="AB29" t="s">
        <v>54</v>
      </c>
      <c r="AC29">
        <v>9</v>
      </c>
      <c r="AD29" t="str" cm="1">
        <f t="array" ref="AD29">_xlfn.IFS(AC29&lt;=5,"0-5",AC29&lt;=10,"5-10",AC29&lt;=40,"10-40")</f>
        <v>5-10</v>
      </c>
      <c r="AE29">
        <v>7</v>
      </c>
      <c r="AF29">
        <v>4</v>
      </c>
      <c r="AG29">
        <v>2</v>
      </c>
      <c r="AH29">
        <v>28</v>
      </c>
    </row>
    <row r="30" spans="1:34" x14ac:dyDescent="0.3">
      <c r="A30">
        <v>44</v>
      </c>
      <c r="B30" t="str" cm="1">
        <f t="array" ref="B30">_xlfn.IFS(A30&lt;=25,"18-25",A30&lt;=35,"26-35",A30&lt;=45,"36-45",A30&lt;=55,"46-55",A30&gt;55,"55+")</f>
        <v>36-45</v>
      </c>
      <c r="C30">
        <v>0</v>
      </c>
      <c r="D30" t="s">
        <v>32</v>
      </c>
      <c r="E30">
        <v>477</v>
      </c>
      <c r="F30" t="s">
        <v>48</v>
      </c>
      <c r="G30">
        <v>7</v>
      </c>
      <c r="H30" t="s">
        <v>58</v>
      </c>
      <c r="I30" t="s">
        <v>59</v>
      </c>
      <c r="J30" t="s">
        <v>44</v>
      </c>
      <c r="K30" t="s">
        <v>37</v>
      </c>
      <c r="L30">
        <v>42</v>
      </c>
      <c r="M30" t="s">
        <v>36</v>
      </c>
      <c r="N30" t="s">
        <v>63</v>
      </c>
      <c r="O30" t="s">
        <v>65</v>
      </c>
      <c r="P30" t="s">
        <v>41</v>
      </c>
      <c r="Q30" t="s">
        <v>52</v>
      </c>
      <c r="R30">
        <v>10248</v>
      </c>
      <c r="S30">
        <v>2094</v>
      </c>
      <c r="T30">
        <v>3</v>
      </c>
      <c r="U30" t="s">
        <v>46</v>
      </c>
      <c r="V30">
        <v>14</v>
      </c>
      <c r="W30" t="s">
        <v>43</v>
      </c>
      <c r="X30" t="s">
        <v>41</v>
      </c>
      <c r="Y30">
        <v>1</v>
      </c>
      <c r="Z30">
        <v>24</v>
      </c>
      <c r="AA30">
        <v>4</v>
      </c>
      <c r="AB30" t="s">
        <v>54</v>
      </c>
      <c r="AC30">
        <v>22</v>
      </c>
      <c r="AD30" t="str" cm="1">
        <f t="array" ref="AD30">_xlfn.IFS(AC30&lt;=5,"0-5",AC30&lt;=10,"5-10",AC30&lt;=40,"10-40")</f>
        <v>10-40</v>
      </c>
      <c r="AE30">
        <v>6</v>
      </c>
      <c r="AF30">
        <v>5</v>
      </c>
      <c r="AG30">
        <v>17</v>
      </c>
      <c r="AH30">
        <v>29</v>
      </c>
    </row>
    <row r="31" spans="1:34" x14ac:dyDescent="0.3">
      <c r="A31">
        <v>46</v>
      </c>
      <c r="B31" t="str" cm="1">
        <f t="array" ref="B31">_xlfn.IFS(A31&lt;=25,"18-25",A31&lt;=35,"26-35",A31&lt;=45,"36-45",A31&lt;=55,"46-55",A31&gt;55,"55+")</f>
        <v>46-55</v>
      </c>
      <c r="C31">
        <v>0</v>
      </c>
      <c r="D31" t="s">
        <v>32</v>
      </c>
      <c r="E31">
        <v>705</v>
      </c>
      <c r="F31" t="s">
        <v>33</v>
      </c>
      <c r="G31">
        <v>2</v>
      </c>
      <c r="H31" t="s">
        <v>58</v>
      </c>
      <c r="I31" t="s">
        <v>72</v>
      </c>
      <c r="J31" t="s">
        <v>36</v>
      </c>
      <c r="K31" t="s">
        <v>37</v>
      </c>
      <c r="L31">
        <v>83</v>
      </c>
      <c r="M31" t="s">
        <v>38</v>
      </c>
      <c r="N31" t="s">
        <v>71</v>
      </c>
      <c r="O31" t="s">
        <v>68</v>
      </c>
      <c r="P31" t="s">
        <v>44</v>
      </c>
      <c r="Q31" t="s">
        <v>42</v>
      </c>
      <c r="R31">
        <v>18947</v>
      </c>
      <c r="S31">
        <v>22822</v>
      </c>
      <c r="T31">
        <v>3</v>
      </c>
      <c r="U31" t="s">
        <v>46</v>
      </c>
      <c r="V31">
        <v>12</v>
      </c>
      <c r="W31" t="s">
        <v>43</v>
      </c>
      <c r="X31" t="s">
        <v>41</v>
      </c>
      <c r="Y31">
        <v>0</v>
      </c>
      <c r="Z31">
        <v>22</v>
      </c>
      <c r="AA31">
        <v>2</v>
      </c>
      <c r="AB31" t="s">
        <v>60</v>
      </c>
      <c r="AC31">
        <v>2</v>
      </c>
      <c r="AD31" t="str" cm="1">
        <f t="array" ref="AD31">_xlfn.IFS(AC31&lt;=5,"0-5",AC31&lt;=10,"5-10",AC31&lt;=40,"10-40")</f>
        <v>0-5</v>
      </c>
      <c r="AE31">
        <v>2</v>
      </c>
      <c r="AF31">
        <v>2</v>
      </c>
      <c r="AG31">
        <v>1</v>
      </c>
      <c r="AH31">
        <v>30</v>
      </c>
    </row>
    <row r="32" spans="1:34" x14ac:dyDescent="0.3">
      <c r="A32">
        <v>33</v>
      </c>
      <c r="B32" t="str" cm="1">
        <f t="array" ref="B32">_xlfn.IFS(A32&lt;=25,"18-25",A32&lt;=35,"26-35",A32&lt;=45,"36-45",A32&lt;=55,"46-55",A32&gt;55,"55+")</f>
        <v>26-35</v>
      </c>
      <c r="C32">
        <v>0</v>
      </c>
      <c r="D32" t="s">
        <v>32</v>
      </c>
      <c r="E32">
        <v>924</v>
      </c>
      <c r="F32" t="s">
        <v>48</v>
      </c>
      <c r="G32">
        <v>2</v>
      </c>
      <c r="H32" t="s">
        <v>61</v>
      </c>
      <c r="I32" t="s">
        <v>59</v>
      </c>
      <c r="J32" t="s">
        <v>38</v>
      </c>
      <c r="K32" t="s">
        <v>50</v>
      </c>
      <c r="L32">
        <v>78</v>
      </c>
      <c r="M32" t="s">
        <v>38</v>
      </c>
      <c r="N32" t="s">
        <v>56</v>
      </c>
      <c r="O32" t="s">
        <v>57</v>
      </c>
      <c r="P32" t="s">
        <v>41</v>
      </c>
      <c r="Q32" t="s">
        <v>42</v>
      </c>
      <c r="R32">
        <v>2496</v>
      </c>
      <c r="S32">
        <v>6670</v>
      </c>
      <c r="T32">
        <v>4</v>
      </c>
      <c r="U32" t="s">
        <v>46</v>
      </c>
      <c r="V32">
        <v>11</v>
      </c>
      <c r="W32" t="s">
        <v>43</v>
      </c>
      <c r="X32" t="s">
        <v>41</v>
      </c>
      <c r="Y32">
        <v>0</v>
      </c>
      <c r="Z32">
        <v>7</v>
      </c>
      <c r="AA32">
        <v>3</v>
      </c>
      <c r="AB32" t="s">
        <v>54</v>
      </c>
      <c r="AC32">
        <v>1</v>
      </c>
      <c r="AD32" t="str" cm="1">
        <f t="array" ref="AD32">_xlfn.IFS(AC32&lt;=5,"0-5",AC32&lt;=10,"5-10",AC32&lt;=40,"10-40")</f>
        <v>0-5</v>
      </c>
      <c r="AE32">
        <v>1</v>
      </c>
      <c r="AF32">
        <v>0</v>
      </c>
      <c r="AG32">
        <v>0</v>
      </c>
      <c r="AH32">
        <v>31</v>
      </c>
    </row>
    <row r="33" spans="1:34" x14ac:dyDescent="0.3">
      <c r="A33">
        <v>44</v>
      </c>
      <c r="B33" t="str" cm="1">
        <f t="array" ref="B33">_xlfn.IFS(A33&lt;=25,"18-25",A33&lt;=35,"26-35",A33&lt;=45,"36-45",A33&lt;=55,"46-55",A33&gt;55,"55+")</f>
        <v>36-45</v>
      </c>
      <c r="C33">
        <v>0</v>
      </c>
      <c r="D33" t="s">
        <v>32</v>
      </c>
      <c r="E33">
        <v>1459</v>
      </c>
      <c r="F33" t="s">
        <v>48</v>
      </c>
      <c r="G33">
        <v>10</v>
      </c>
      <c r="H33" t="s">
        <v>58</v>
      </c>
      <c r="I33" t="s">
        <v>55</v>
      </c>
      <c r="J33" t="s">
        <v>41</v>
      </c>
      <c r="K33" t="s">
        <v>50</v>
      </c>
      <c r="L33">
        <v>41</v>
      </c>
      <c r="M33" t="s">
        <v>38</v>
      </c>
      <c r="N33" t="s">
        <v>39</v>
      </c>
      <c r="O33" t="s">
        <v>65</v>
      </c>
      <c r="P33" t="s">
        <v>41</v>
      </c>
      <c r="Q33" t="s">
        <v>52</v>
      </c>
      <c r="R33">
        <v>6465</v>
      </c>
      <c r="S33">
        <v>19121</v>
      </c>
      <c r="T33">
        <v>2</v>
      </c>
      <c r="U33" t="s">
        <v>31</v>
      </c>
      <c r="V33">
        <v>13</v>
      </c>
      <c r="W33" t="s">
        <v>43</v>
      </c>
      <c r="X33" t="s">
        <v>41</v>
      </c>
      <c r="Y33">
        <v>0</v>
      </c>
      <c r="Z33">
        <v>9</v>
      </c>
      <c r="AA33">
        <v>5</v>
      </c>
      <c r="AB33" t="s">
        <v>73</v>
      </c>
      <c r="AC33">
        <v>4</v>
      </c>
      <c r="AD33" t="str" cm="1">
        <f t="array" ref="AD33">_xlfn.IFS(AC33&lt;=5,"0-5",AC33&lt;=10,"5-10",AC33&lt;=40,"10-40")</f>
        <v>0-5</v>
      </c>
      <c r="AE33">
        <v>2</v>
      </c>
      <c r="AF33">
        <v>1</v>
      </c>
      <c r="AG33">
        <v>3</v>
      </c>
      <c r="AH33">
        <v>32</v>
      </c>
    </row>
    <row r="34" spans="1:34" x14ac:dyDescent="0.3">
      <c r="A34">
        <v>30</v>
      </c>
      <c r="B34" t="str" cm="1">
        <f t="array" ref="B34">_xlfn.IFS(A34&lt;=25,"18-25",A34&lt;=35,"26-35",A34&lt;=45,"36-45",A34&lt;=55,"46-55",A34&gt;55,"55+")</f>
        <v>26-35</v>
      </c>
      <c r="C34">
        <v>0</v>
      </c>
      <c r="D34" t="s">
        <v>32</v>
      </c>
      <c r="E34">
        <v>125</v>
      </c>
      <c r="F34" t="s">
        <v>48</v>
      </c>
      <c r="G34">
        <v>9</v>
      </c>
      <c r="H34" t="s">
        <v>34</v>
      </c>
      <c r="I34" t="s">
        <v>59</v>
      </c>
      <c r="J34" t="s">
        <v>41</v>
      </c>
      <c r="K34" t="s">
        <v>50</v>
      </c>
      <c r="L34">
        <v>83</v>
      </c>
      <c r="M34" t="s">
        <v>36</v>
      </c>
      <c r="N34" t="s">
        <v>56</v>
      </c>
      <c r="O34" t="s">
        <v>57</v>
      </c>
      <c r="P34" t="s">
        <v>38</v>
      </c>
      <c r="Q34" t="s">
        <v>42</v>
      </c>
      <c r="R34">
        <v>2206</v>
      </c>
      <c r="S34">
        <v>16117</v>
      </c>
      <c r="T34">
        <v>1</v>
      </c>
      <c r="U34" t="s">
        <v>46</v>
      </c>
      <c r="V34">
        <v>13</v>
      </c>
      <c r="W34" t="s">
        <v>43</v>
      </c>
      <c r="X34" t="s">
        <v>44</v>
      </c>
      <c r="Y34">
        <v>0</v>
      </c>
      <c r="Z34">
        <v>10</v>
      </c>
      <c r="AA34">
        <v>5</v>
      </c>
      <c r="AB34" t="s">
        <v>54</v>
      </c>
      <c r="AC34">
        <v>10</v>
      </c>
      <c r="AD34" t="str" cm="1">
        <f t="array" ref="AD34">_xlfn.IFS(AC34&lt;=5,"0-5",AC34&lt;=10,"5-10",AC34&lt;=40,"10-40")</f>
        <v>5-10</v>
      </c>
      <c r="AE34">
        <v>0</v>
      </c>
      <c r="AF34">
        <v>1</v>
      </c>
      <c r="AG34">
        <v>8</v>
      </c>
      <c r="AH34">
        <v>33</v>
      </c>
    </row>
    <row r="35" spans="1:34" x14ac:dyDescent="0.3">
      <c r="A35">
        <v>39</v>
      </c>
      <c r="B35" t="str" cm="1">
        <f t="array" ref="B35">_xlfn.IFS(A35&lt;=25,"18-25",A35&lt;=35,"26-35",A35&lt;=45,"36-45",A35&lt;=55,"46-55",A35&gt;55,"55+")</f>
        <v>36-45</v>
      </c>
      <c r="C35">
        <v>1</v>
      </c>
      <c r="D35" t="s">
        <v>32</v>
      </c>
      <c r="E35">
        <v>895</v>
      </c>
      <c r="F35" t="s">
        <v>33</v>
      </c>
      <c r="G35">
        <v>5</v>
      </c>
      <c r="H35" t="s">
        <v>61</v>
      </c>
      <c r="I35" t="s">
        <v>74</v>
      </c>
      <c r="J35" t="s">
        <v>41</v>
      </c>
      <c r="K35" t="s">
        <v>50</v>
      </c>
      <c r="L35">
        <v>56</v>
      </c>
      <c r="M35" t="s">
        <v>38</v>
      </c>
      <c r="N35" t="s">
        <v>39</v>
      </c>
      <c r="O35" t="s">
        <v>69</v>
      </c>
      <c r="P35" t="s">
        <v>41</v>
      </c>
      <c r="Q35" t="s">
        <v>52</v>
      </c>
      <c r="R35">
        <v>2086</v>
      </c>
      <c r="S35">
        <v>3335</v>
      </c>
      <c r="T35">
        <v>3</v>
      </c>
      <c r="U35" t="s">
        <v>46</v>
      </c>
      <c r="V35">
        <v>14</v>
      </c>
      <c r="W35" t="s">
        <v>43</v>
      </c>
      <c r="X35" t="s">
        <v>38</v>
      </c>
      <c r="Y35">
        <v>1</v>
      </c>
      <c r="Z35">
        <v>19</v>
      </c>
      <c r="AA35">
        <v>6</v>
      </c>
      <c r="AB35" t="s">
        <v>73</v>
      </c>
      <c r="AC35">
        <v>1</v>
      </c>
      <c r="AD35" t="str" cm="1">
        <f t="array" ref="AD35">_xlfn.IFS(AC35&lt;=5,"0-5",AC35&lt;=10,"5-10",AC35&lt;=40,"10-40")</f>
        <v>0-5</v>
      </c>
      <c r="AE35">
        <v>0</v>
      </c>
      <c r="AF35">
        <v>0</v>
      </c>
      <c r="AG35">
        <v>0</v>
      </c>
      <c r="AH35">
        <v>34</v>
      </c>
    </row>
    <row r="36" spans="1:34" x14ac:dyDescent="0.3">
      <c r="A36">
        <v>24</v>
      </c>
      <c r="B36" t="str" cm="1">
        <f t="array" ref="B36">_xlfn.IFS(A36&lt;=25,"18-25",A36&lt;=35,"26-35",A36&lt;=45,"36-45",A36&lt;=55,"46-55",A36&gt;55,"55+")</f>
        <v>18-25</v>
      </c>
      <c r="C36">
        <v>1</v>
      </c>
      <c r="D36" t="s">
        <v>32</v>
      </c>
      <c r="E36">
        <v>813</v>
      </c>
      <c r="F36" t="s">
        <v>48</v>
      </c>
      <c r="G36">
        <v>1</v>
      </c>
      <c r="H36" t="s">
        <v>61</v>
      </c>
      <c r="I36" t="s">
        <v>59</v>
      </c>
      <c r="J36" t="s">
        <v>36</v>
      </c>
      <c r="K36" t="s">
        <v>50</v>
      </c>
      <c r="L36">
        <v>61</v>
      </c>
      <c r="M36" t="s">
        <v>38</v>
      </c>
      <c r="N36" t="s">
        <v>56</v>
      </c>
      <c r="O36" t="s">
        <v>51</v>
      </c>
      <c r="P36" t="s">
        <v>41</v>
      </c>
      <c r="Q36" t="s">
        <v>52</v>
      </c>
      <c r="R36">
        <v>2293</v>
      </c>
      <c r="S36">
        <v>3020</v>
      </c>
      <c r="T36">
        <v>2</v>
      </c>
      <c r="U36" t="s">
        <v>31</v>
      </c>
      <c r="V36">
        <v>16</v>
      </c>
      <c r="W36" t="s">
        <v>43</v>
      </c>
      <c r="X36" t="s">
        <v>44</v>
      </c>
      <c r="Y36">
        <v>1</v>
      </c>
      <c r="Z36">
        <v>6</v>
      </c>
      <c r="AA36">
        <v>2</v>
      </c>
      <c r="AB36" t="s">
        <v>60</v>
      </c>
      <c r="AC36">
        <v>2</v>
      </c>
      <c r="AD36" t="str" cm="1">
        <f t="array" ref="AD36">_xlfn.IFS(AC36&lt;=5,"0-5",AC36&lt;=10,"5-10",AC36&lt;=40,"10-40")</f>
        <v>0-5</v>
      </c>
      <c r="AE36">
        <v>0</v>
      </c>
      <c r="AF36">
        <v>2</v>
      </c>
      <c r="AG36">
        <v>0</v>
      </c>
      <c r="AH36">
        <v>35</v>
      </c>
    </row>
    <row r="37" spans="1:34" x14ac:dyDescent="0.3">
      <c r="A37">
        <v>43</v>
      </c>
      <c r="B37" t="str" cm="1">
        <f t="array" ref="B37">_xlfn.IFS(A37&lt;=25,"18-25",A37&lt;=35,"26-35",A37&lt;=45,"36-45",A37&lt;=55,"46-55",A37&gt;55,"55+")</f>
        <v>36-45</v>
      </c>
      <c r="C37">
        <v>0</v>
      </c>
      <c r="D37" t="s">
        <v>32</v>
      </c>
      <c r="E37">
        <v>1273</v>
      </c>
      <c r="F37" t="s">
        <v>48</v>
      </c>
      <c r="G37">
        <v>2</v>
      </c>
      <c r="H37" t="s">
        <v>34</v>
      </c>
      <c r="I37" t="s">
        <v>59</v>
      </c>
      <c r="J37" t="s">
        <v>41</v>
      </c>
      <c r="K37" t="s">
        <v>37</v>
      </c>
      <c r="L37">
        <v>72</v>
      </c>
      <c r="M37" t="s">
        <v>41</v>
      </c>
      <c r="N37" t="s">
        <v>56</v>
      </c>
      <c r="O37" t="s">
        <v>51</v>
      </c>
      <c r="P37" t="s">
        <v>38</v>
      </c>
      <c r="Q37" t="s">
        <v>62</v>
      </c>
      <c r="R37">
        <v>2645</v>
      </c>
      <c r="S37">
        <v>21923</v>
      </c>
      <c r="T37">
        <v>1</v>
      </c>
      <c r="U37" t="s">
        <v>46</v>
      </c>
      <c r="V37">
        <v>12</v>
      </c>
      <c r="W37" t="s">
        <v>43</v>
      </c>
      <c r="X37" t="s">
        <v>41</v>
      </c>
      <c r="Y37">
        <v>2</v>
      </c>
      <c r="Z37">
        <v>6</v>
      </c>
      <c r="AA37">
        <v>3</v>
      </c>
      <c r="AB37" t="s">
        <v>60</v>
      </c>
      <c r="AC37">
        <v>5</v>
      </c>
      <c r="AD37" t="str" cm="1">
        <f t="array" ref="AD37">_xlfn.IFS(AC37&lt;=5,"0-5",AC37&lt;=10,"5-10",AC37&lt;=40,"10-40")</f>
        <v>0-5</v>
      </c>
      <c r="AE37">
        <v>3</v>
      </c>
      <c r="AF37">
        <v>1</v>
      </c>
      <c r="AG37">
        <v>4</v>
      </c>
      <c r="AH37">
        <v>36</v>
      </c>
    </row>
    <row r="38" spans="1:34" x14ac:dyDescent="0.3">
      <c r="A38">
        <v>50</v>
      </c>
      <c r="B38" t="str" cm="1">
        <f t="array" ref="B38">_xlfn.IFS(A38&lt;=25,"18-25",A38&lt;=35,"26-35",A38&lt;=45,"36-45",A38&lt;=55,"46-55",A38&gt;55,"55+")</f>
        <v>46-55</v>
      </c>
      <c r="C38">
        <v>1</v>
      </c>
      <c r="D38" t="s">
        <v>32</v>
      </c>
      <c r="E38">
        <v>869</v>
      </c>
      <c r="F38" t="s">
        <v>33</v>
      </c>
      <c r="G38">
        <v>3</v>
      </c>
      <c r="H38" t="s">
        <v>34</v>
      </c>
      <c r="I38" t="s">
        <v>72</v>
      </c>
      <c r="J38" t="s">
        <v>44</v>
      </c>
      <c r="K38" t="s">
        <v>50</v>
      </c>
      <c r="L38">
        <v>86</v>
      </c>
      <c r="M38" t="s">
        <v>36</v>
      </c>
      <c r="N38" t="s">
        <v>56</v>
      </c>
      <c r="O38" t="s">
        <v>69</v>
      </c>
      <c r="P38" t="s">
        <v>38</v>
      </c>
      <c r="Q38" t="s">
        <v>52</v>
      </c>
      <c r="R38">
        <v>2683</v>
      </c>
      <c r="S38">
        <v>3810</v>
      </c>
      <c r="T38">
        <v>1</v>
      </c>
      <c r="U38" t="s">
        <v>31</v>
      </c>
      <c r="V38">
        <v>14</v>
      </c>
      <c r="W38" t="s">
        <v>43</v>
      </c>
      <c r="X38" t="s">
        <v>38</v>
      </c>
      <c r="Y38">
        <v>0</v>
      </c>
      <c r="Z38">
        <v>3</v>
      </c>
      <c r="AA38">
        <v>2</v>
      </c>
      <c r="AB38" t="s">
        <v>54</v>
      </c>
      <c r="AC38">
        <v>3</v>
      </c>
      <c r="AD38" t="str" cm="1">
        <f t="array" ref="AD38">_xlfn.IFS(AC38&lt;=5,"0-5",AC38&lt;=10,"5-10",AC38&lt;=40,"10-40")</f>
        <v>0-5</v>
      </c>
      <c r="AE38">
        <v>2</v>
      </c>
      <c r="AF38">
        <v>0</v>
      </c>
      <c r="AG38">
        <v>2</v>
      </c>
      <c r="AH38">
        <v>37</v>
      </c>
    </row>
    <row r="39" spans="1:34" x14ac:dyDescent="0.3">
      <c r="A39">
        <v>35</v>
      </c>
      <c r="B39" t="str" cm="1">
        <f t="array" ref="B39">_xlfn.IFS(A39&lt;=25,"18-25",A39&lt;=35,"26-35",A39&lt;=45,"36-45",A39&lt;=55,"46-55",A39&gt;55,"55+")</f>
        <v>26-35</v>
      </c>
      <c r="C39">
        <v>0</v>
      </c>
      <c r="D39" t="s">
        <v>32</v>
      </c>
      <c r="E39">
        <v>890</v>
      </c>
      <c r="F39" t="s">
        <v>33</v>
      </c>
      <c r="G39">
        <v>2</v>
      </c>
      <c r="H39" t="s">
        <v>61</v>
      </c>
      <c r="I39" t="s">
        <v>72</v>
      </c>
      <c r="J39" t="s">
        <v>41</v>
      </c>
      <c r="K39" t="s">
        <v>37</v>
      </c>
      <c r="L39">
        <v>97</v>
      </c>
      <c r="M39" t="s">
        <v>38</v>
      </c>
      <c r="N39" t="s">
        <v>56</v>
      </c>
      <c r="O39" t="s">
        <v>69</v>
      </c>
      <c r="P39" t="s">
        <v>41</v>
      </c>
      <c r="Q39" t="s">
        <v>52</v>
      </c>
      <c r="R39">
        <v>2014</v>
      </c>
      <c r="S39">
        <v>9687</v>
      </c>
      <c r="T39">
        <v>1</v>
      </c>
      <c r="U39" t="s">
        <v>46</v>
      </c>
      <c r="V39">
        <v>13</v>
      </c>
      <c r="W39" t="s">
        <v>43</v>
      </c>
      <c r="X39" t="s">
        <v>44</v>
      </c>
      <c r="Y39">
        <v>0</v>
      </c>
      <c r="Z39">
        <v>2</v>
      </c>
      <c r="AA39">
        <v>3</v>
      </c>
      <c r="AB39" t="s">
        <v>54</v>
      </c>
      <c r="AC39">
        <v>2</v>
      </c>
      <c r="AD39" t="str" cm="1">
        <f t="array" ref="AD39">_xlfn.IFS(AC39&lt;=5,"0-5",AC39&lt;=10,"5-10",AC39&lt;=40,"10-40")</f>
        <v>0-5</v>
      </c>
      <c r="AE39">
        <v>2</v>
      </c>
      <c r="AF39">
        <v>2</v>
      </c>
      <c r="AG39">
        <v>2</v>
      </c>
      <c r="AH39">
        <v>38</v>
      </c>
    </row>
    <row r="40" spans="1:34" x14ac:dyDescent="0.3">
      <c r="A40">
        <v>36</v>
      </c>
      <c r="B40" t="str" cm="1">
        <f t="array" ref="B40">_xlfn.IFS(A40&lt;=25,"18-25",A40&lt;=35,"26-35",A40&lt;=45,"36-45",A40&lt;=55,"46-55",A40&gt;55,"55+")</f>
        <v>36-45</v>
      </c>
      <c r="C40">
        <v>0</v>
      </c>
      <c r="D40" t="s">
        <v>32</v>
      </c>
      <c r="E40">
        <v>852</v>
      </c>
      <c r="F40" t="s">
        <v>48</v>
      </c>
      <c r="G40">
        <v>5</v>
      </c>
      <c r="H40" t="s">
        <v>58</v>
      </c>
      <c r="I40" t="s">
        <v>35</v>
      </c>
      <c r="J40" t="s">
        <v>36</v>
      </c>
      <c r="K40" t="s">
        <v>37</v>
      </c>
      <c r="L40">
        <v>82</v>
      </c>
      <c r="M40" t="s">
        <v>36</v>
      </c>
      <c r="N40" t="s">
        <v>56</v>
      </c>
      <c r="O40" t="s">
        <v>51</v>
      </c>
      <c r="P40" t="s">
        <v>44</v>
      </c>
      <c r="Q40" t="s">
        <v>52</v>
      </c>
      <c r="R40">
        <v>3419</v>
      </c>
      <c r="S40">
        <v>13072</v>
      </c>
      <c r="T40">
        <v>9</v>
      </c>
      <c r="U40" t="s">
        <v>31</v>
      </c>
      <c r="V40">
        <v>14</v>
      </c>
      <c r="W40" t="s">
        <v>43</v>
      </c>
      <c r="X40" t="s">
        <v>41</v>
      </c>
      <c r="Y40">
        <v>1</v>
      </c>
      <c r="Z40">
        <v>6</v>
      </c>
      <c r="AA40">
        <v>3</v>
      </c>
      <c r="AB40" t="s">
        <v>73</v>
      </c>
      <c r="AC40">
        <v>1</v>
      </c>
      <c r="AD40" t="str" cm="1">
        <f t="array" ref="AD40">_xlfn.IFS(AC40&lt;=5,"0-5",AC40&lt;=10,"5-10",AC40&lt;=40,"10-40")</f>
        <v>0-5</v>
      </c>
      <c r="AE40">
        <v>1</v>
      </c>
      <c r="AF40">
        <v>0</v>
      </c>
      <c r="AG40">
        <v>0</v>
      </c>
      <c r="AH40">
        <v>39</v>
      </c>
    </row>
    <row r="41" spans="1:34" x14ac:dyDescent="0.3">
      <c r="A41">
        <v>33</v>
      </c>
      <c r="B41" t="str" cm="1">
        <f t="array" ref="B41">_xlfn.IFS(A41&lt;=25,"18-25",A41&lt;=35,"26-35",A41&lt;=45,"36-45",A41&lt;=55,"46-55",A41&gt;55,"55+")</f>
        <v>26-35</v>
      </c>
      <c r="C41">
        <v>0</v>
      </c>
      <c r="D41" t="s">
        <v>47</v>
      </c>
      <c r="E41">
        <v>1141</v>
      </c>
      <c r="F41" t="s">
        <v>33</v>
      </c>
      <c r="G41">
        <v>1</v>
      </c>
      <c r="H41" t="s">
        <v>61</v>
      </c>
      <c r="I41" t="s">
        <v>35</v>
      </c>
      <c r="J41" t="s">
        <v>38</v>
      </c>
      <c r="K41" t="s">
        <v>37</v>
      </c>
      <c r="L41">
        <v>42</v>
      </c>
      <c r="M41" t="s">
        <v>41</v>
      </c>
      <c r="N41" t="s">
        <v>39</v>
      </c>
      <c r="O41" t="s">
        <v>40</v>
      </c>
      <c r="P41" t="s">
        <v>44</v>
      </c>
      <c r="Q41" t="s">
        <v>52</v>
      </c>
      <c r="R41">
        <v>5376</v>
      </c>
      <c r="S41">
        <v>3193</v>
      </c>
      <c r="T41">
        <v>2</v>
      </c>
      <c r="U41" t="s">
        <v>46</v>
      </c>
      <c r="V41">
        <v>19</v>
      </c>
      <c r="W41" t="s">
        <v>43</v>
      </c>
      <c r="X41" t="s">
        <v>44</v>
      </c>
      <c r="Y41">
        <v>2</v>
      </c>
      <c r="Z41">
        <v>10</v>
      </c>
      <c r="AA41">
        <v>3</v>
      </c>
      <c r="AB41" t="s">
        <v>54</v>
      </c>
      <c r="AC41">
        <v>5</v>
      </c>
      <c r="AD41" t="str" cm="1">
        <f t="array" ref="AD41">_xlfn.IFS(AC41&lt;=5,"0-5",AC41&lt;=10,"5-10",AC41&lt;=40,"10-40")</f>
        <v>0-5</v>
      </c>
      <c r="AE41">
        <v>3</v>
      </c>
      <c r="AF41">
        <v>1</v>
      </c>
      <c r="AG41">
        <v>3</v>
      </c>
      <c r="AH41">
        <v>40</v>
      </c>
    </row>
    <row r="42" spans="1:34" x14ac:dyDescent="0.3">
      <c r="A42">
        <v>35</v>
      </c>
      <c r="B42" t="str" cm="1">
        <f t="array" ref="B42">_xlfn.IFS(A42&lt;=25,"18-25",A42&lt;=35,"26-35",A42&lt;=45,"36-45",A42&lt;=55,"46-55",A42&gt;55,"55+")</f>
        <v>26-35</v>
      </c>
      <c r="C42">
        <v>0</v>
      </c>
      <c r="D42" t="s">
        <v>32</v>
      </c>
      <c r="E42">
        <v>464</v>
      </c>
      <c r="F42" t="s">
        <v>48</v>
      </c>
      <c r="G42">
        <v>4</v>
      </c>
      <c r="H42" t="s">
        <v>34</v>
      </c>
      <c r="I42" t="s">
        <v>55</v>
      </c>
      <c r="J42" t="s">
        <v>38</v>
      </c>
      <c r="K42" t="s">
        <v>50</v>
      </c>
      <c r="L42">
        <v>75</v>
      </c>
      <c r="M42" t="s">
        <v>38</v>
      </c>
      <c r="N42" t="s">
        <v>56</v>
      </c>
      <c r="O42" t="s">
        <v>57</v>
      </c>
      <c r="P42" t="s">
        <v>41</v>
      </c>
      <c r="Q42" t="s">
        <v>62</v>
      </c>
      <c r="R42">
        <v>1951</v>
      </c>
      <c r="S42">
        <v>10910</v>
      </c>
      <c r="T42">
        <v>1</v>
      </c>
      <c r="U42" t="s">
        <v>46</v>
      </c>
      <c r="V42">
        <v>12</v>
      </c>
      <c r="W42" t="s">
        <v>43</v>
      </c>
      <c r="X42" t="s">
        <v>38</v>
      </c>
      <c r="Y42">
        <v>1</v>
      </c>
      <c r="Z42">
        <v>1</v>
      </c>
      <c r="AA42">
        <v>3</v>
      </c>
      <c r="AB42" t="s">
        <v>54</v>
      </c>
      <c r="AC42">
        <v>1</v>
      </c>
      <c r="AD42" t="str" cm="1">
        <f t="array" ref="AD42">_xlfn.IFS(AC42&lt;=5,"0-5",AC42&lt;=10,"5-10",AC42&lt;=40,"10-40")</f>
        <v>0-5</v>
      </c>
      <c r="AE42">
        <v>0</v>
      </c>
      <c r="AF42">
        <v>0</v>
      </c>
      <c r="AG42">
        <v>0</v>
      </c>
      <c r="AH42">
        <v>41</v>
      </c>
    </row>
    <row r="43" spans="1:34" x14ac:dyDescent="0.3">
      <c r="A43">
        <v>27</v>
      </c>
      <c r="B43" t="str" cm="1">
        <f t="array" ref="B43">_xlfn.IFS(A43&lt;=25,"18-25",A43&lt;=35,"26-35",A43&lt;=45,"36-45",A43&lt;=55,"46-55",A43&gt;55,"55+")</f>
        <v>26-35</v>
      </c>
      <c r="C43">
        <v>0</v>
      </c>
      <c r="D43" t="s">
        <v>32</v>
      </c>
      <c r="E43">
        <v>1240</v>
      </c>
      <c r="F43" t="s">
        <v>48</v>
      </c>
      <c r="G43">
        <v>2</v>
      </c>
      <c r="H43" t="s">
        <v>58</v>
      </c>
      <c r="I43" t="s">
        <v>35</v>
      </c>
      <c r="J43" t="s">
        <v>41</v>
      </c>
      <c r="K43" t="s">
        <v>37</v>
      </c>
      <c r="L43">
        <v>33</v>
      </c>
      <c r="M43" t="s">
        <v>38</v>
      </c>
      <c r="N43" t="s">
        <v>56</v>
      </c>
      <c r="O43" t="s">
        <v>57</v>
      </c>
      <c r="P43" t="s">
        <v>44</v>
      </c>
      <c r="Q43" t="s">
        <v>62</v>
      </c>
      <c r="R43">
        <v>2341</v>
      </c>
      <c r="S43">
        <v>19715</v>
      </c>
      <c r="T43">
        <v>1</v>
      </c>
      <c r="U43" t="s">
        <v>46</v>
      </c>
      <c r="V43">
        <v>13</v>
      </c>
      <c r="W43" t="s">
        <v>43</v>
      </c>
      <c r="X43" t="s">
        <v>41</v>
      </c>
      <c r="Y43">
        <v>1</v>
      </c>
      <c r="Z43">
        <v>1</v>
      </c>
      <c r="AA43">
        <v>6</v>
      </c>
      <c r="AB43" t="s">
        <v>54</v>
      </c>
      <c r="AC43">
        <v>1</v>
      </c>
      <c r="AD43" t="str" cm="1">
        <f t="array" ref="AD43">_xlfn.IFS(AC43&lt;=5,"0-5",AC43&lt;=10,"5-10",AC43&lt;=40,"10-40")</f>
        <v>0-5</v>
      </c>
      <c r="AE43">
        <v>0</v>
      </c>
      <c r="AF43">
        <v>0</v>
      </c>
      <c r="AG43">
        <v>0</v>
      </c>
      <c r="AH43">
        <v>42</v>
      </c>
    </row>
    <row r="44" spans="1:34" x14ac:dyDescent="0.3">
      <c r="A44">
        <v>26</v>
      </c>
      <c r="B44" t="str" cm="1">
        <f t="array" ref="B44">_xlfn.IFS(A44&lt;=25,"18-25",A44&lt;=35,"26-35",A44&lt;=45,"36-45",A44&lt;=55,"46-55",A44&gt;55,"55+")</f>
        <v>26-35</v>
      </c>
      <c r="C44">
        <v>1</v>
      </c>
      <c r="D44" t="s">
        <v>32</v>
      </c>
      <c r="E44">
        <v>1357</v>
      </c>
      <c r="F44" t="s">
        <v>48</v>
      </c>
      <c r="G44">
        <v>25</v>
      </c>
      <c r="H44" t="s">
        <v>61</v>
      </c>
      <c r="I44" t="s">
        <v>35</v>
      </c>
      <c r="J44" t="s">
        <v>44</v>
      </c>
      <c r="K44" t="s">
        <v>50</v>
      </c>
      <c r="L44">
        <v>48</v>
      </c>
      <c r="M44" t="s">
        <v>44</v>
      </c>
      <c r="N44" t="s">
        <v>56</v>
      </c>
      <c r="O44" t="s">
        <v>57</v>
      </c>
      <c r="P44" t="s">
        <v>38</v>
      </c>
      <c r="Q44" t="s">
        <v>42</v>
      </c>
      <c r="R44">
        <v>2293</v>
      </c>
      <c r="S44">
        <v>10558</v>
      </c>
      <c r="T44">
        <v>1</v>
      </c>
      <c r="U44" t="s">
        <v>46</v>
      </c>
      <c r="V44">
        <v>12</v>
      </c>
      <c r="W44" t="s">
        <v>43</v>
      </c>
      <c r="X44" t="s">
        <v>38</v>
      </c>
      <c r="Y44">
        <v>0</v>
      </c>
      <c r="Z44">
        <v>1</v>
      </c>
      <c r="AA44">
        <v>2</v>
      </c>
      <c r="AB44" t="s">
        <v>60</v>
      </c>
      <c r="AC44">
        <v>1</v>
      </c>
      <c r="AD44" t="str" cm="1">
        <f t="array" ref="AD44">_xlfn.IFS(AC44&lt;=5,"0-5",AC44&lt;=10,"5-10",AC44&lt;=40,"10-40")</f>
        <v>0-5</v>
      </c>
      <c r="AE44">
        <v>0</v>
      </c>
      <c r="AF44">
        <v>0</v>
      </c>
      <c r="AG44">
        <v>1</v>
      </c>
      <c r="AH44">
        <v>43</v>
      </c>
    </row>
    <row r="45" spans="1:34" x14ac:dyDescent="0.3">
      <c r="A45">
        <v>27</v>
      </c>
      <c r="B45" t="str" cm="1">
        <f t="array" ref="B45">_xlfn.IFS(A45&lt;=25,"18-25",A45&lt;=35,"26-35",A45&lt;=45,"36-45",A45&lt;=55,"46-55",A45&gt;55,"55+")</f>
        <v>26-35</v>
      </c>
      <c r="C45">
        <v>0</v>
      </c>
      <c r="D45" t="s">
        <v>47</v>
      </c>
      <c r="E45">
        <v>994</v>
      </c>
      <c r="F45" t="s">
        <v>33</v>
      </c>
      <c r="G45">
        <v>8</v>
      </c>
      <c r="H45" t="s">
        <v>61</v>
      </c>
      <c r="I45" t="s">
        <v>35</v>
      </c>
      <c r="J45" t="s">
        <v>41</v>
      </c>
      <c r="K45" t="s">
        <v>50</v>
      </c>
      <c r="L45">
        <v>37</v>
      </c>
      <c r="M45" t="s">
        <v>38</v>
      </c>
      <c r="N45" t="s">
        <v>63</v>
      </c>
      <c r="O45" t="s">
        <v>40</v>
      </c>
      <c r="P45" t="s">
        <v>38</v>
      </c>
      <c r="Q45" t="s">
        <v>42</v>
      </c>
      <c r="R45">
        <v>8726</v>
      </c>
      <c r="S45">
        <v>2975</v>
      </c>
      <c r="T45">
        <v>1</v>
      </c>
      <c r="U45" t="s">
        <v>46</v>
      </c>
      <c r="V45">
        <v>15</v>
      </c>
      <c r="W45" t="s">
        <v>43</v>
      </c>
      <c r="X45" t="s">
        <v>41</v>
      </c>
      <c r="Y45">
        <v>0</v>
      </c>
      <c r="Z45">
        <v>9</v>
      </c>
      <c r="AA45">
        <v>0</v>
      </c>
      <c r="AB45" t="s">
        <v>54</v>
      </c>
      <c r="AC45">
        <v>9</v>
      </c>
      <c r="AD45" t="str" cm="1">
        <f t="array" ref="AD45">_xlfn.IFS(AC45&lt;=5,"0-5",AC45&lt;=10,"5-10",AC45&lt;=40,"10-40")</f>
        <v>5-10</v>
      </c>
      <c r="AE45">
        <v>8</v>
      </c>
      <c r="AF45">
        <v>1</v>
      </c>
      <c r="AG45">
        <v>7</v>
      </c>
      <c r="AH45">
        <v>44</v>
      </c>
    </row>
    <row r="46" spans="1:34" x14ac:dyDescent="0.3">
      <c r="A46">
        <v>30</v>
      </c>
      <c r="B46" t="str" cm="1">
        <f t="array" ref="B46">_xlfn.IFS(A46&lt;=25,"18-25",A46&lt;=35,"26-35",A46&lt;=45,"36-45",A46&lt;=55,"46-55",A46&gt;55,"55+")</f>
        <v>26-35</v>
      </c>
      <c r="C46">
        <v>0</v>
      </c>
      <c r="D46" t="s">
        <v>47</v>
      </c>
      <c r="E46">
        <v>721</v>
      </c>
      <c r="F46" t="s">
        <v>48</v>
      </c>
      <c r="G46">
        <v>1</v>
      </c>
      <c r="H46" t="s">
        <v>34</v>
      </c>
      <c r="I46" t="s">
        <v>59</v>
      </c>
      <c r="J46" t="s">
        <v>38</v>
      </c>
      <c r="K46" t="s">
        <v>37</v>
      </c>
      <c r="L46">
        <v>58</v>
      </c>
      <c r="M46" t="s">
        <v>38</v>
      </c>
      <c r="N46" t="s">
        <v>39</v>
      </c>
      <c r="O46" t="s">
        <v>57</v>
      </c>
      <c r="P46" t="s">
        <v>41</v>
      </c>
      <c r="Q46" t="s">
        <v>42</v>
      </c>
      <c r="R46">
        <v>4011</v>
      </c>
      <c r="S46">
        <v>10781</v>
      </c>
      <c r="T46">
        <v>1</v>
      </c>
      <c r="U46" t="s">
        <v>46</v>
      </c>
      <c r="V46">
        <v>23</v>
      </c>
      <c r="W46" t="s">
        <v>53</v>
      </c>
      <c r="X46" t="s">
        <v>41</v>
      </c>
      <c r="Y46">
        <v>0</v>
      </c>
      <c r="Z46">
        <v>12</v>
      </c>
      <c r="AA46">
        <v>2</v>
      </c>
      <c r="AB46" t="s">
        <v>54</v>
      </c>
      <c r="AC46">
        <v>12</v>
      </c>
      <c r="AD46" t="str" cm="1">
        <f t="array" ref="AD46">_xlfn.IFS(AC46&lt;=5,"0-5",AC46&lt;=10,"5-10",AC46&lt;=40,"10-40")</f>
        <v>10-40</v>
      </c>
      <c r="AE46">
        <v>8</v>
      </c>
      <c r="AF46">
        <v>3</v>
      </c>
      <c r="AG46">
        <v>7</v>
      </c>
      <c r="AH46">
        <v>45</v>
      </c>
    </row>
    <row r="47" spans="1:34" x14ac:dyDescent="0.3">
      <c r="A47">
        <v>41</v>
      </c>
      <c r="B47" t="str" cm="1">
        <f t="array" ref="B47">_xlfn.IFS(A47&lt;=25,"18-25",A47&lt;=35,"26-35",A47&lt;=45,"36-45",A47&lt;=55,"46-55",A47&gt;55,"55+")</f>
        <v>36-45</v>
      </c>
      <c r="C47">
        <v>1</v>
      </c>
      <c r="D47" t="s">
        <v>32</v>
      </c>
      <c r="E47">
        <v>1360</v>
      </c>
      <c r="F47" t="s">
        <v>48</v>
      </c>
      <c r="G47">
        <v>12</v>
      </c>
      <c r="H47" t="s">
        <v>61</v>
      </c>
      <c r="I47" t="s">
        <v>74</v>
      </c>
      <c r="J47" t="s">
        <v>36</v>
      </c>
      <c r="K47" t="s">
        <v>37</v>
      </c>
      <c r="L47">
        <v>49</v>
      </c>
      <c r="M47" t="s">
        <v>38</v>
      </c>
      <c r="N47" t="s">
        <v>71</v>
      </c>
      <c r="O47" t="s">
        <v>70</v>
      </c>
      <c r="P47" t="s">
        <v>38</v>
      </c>
      <c r="Q47" t="s">
        <v>52</v>
      </c>
      <c r="R47">
        <v>19545</v>
      </c>
      <c r="S47">
        <v>16280</v>
      </c>
      <c r="T47">
        <v>1</v>
      </c>
      <c r="U47" t="s">
        <v>46</v>
      </c>
      <c r="V47">
        <v>12</v>
      </c>
      <c r="W47" t="s">
        <v>43</v>
      </c>
      <c r="X47" t="s">
        <v>41</v>
      </c>
      <c r="Y47">
        <v>0</v>
      </c>
      <c r="Z47">
        <v>23</v>
      </c>
      <c r="AA47">
        <v>0</v>
      </c>
      <c r="AB47" t="s">
        <v>54</v>
      </c>
      <c r="AC47">
        <v>22</v>
      </c>
      <c r="AD47" t="str" cm="1">
        <f t="array" ref="AD47">_xlfn.IFS(AC47&lt;=5,"0-5",AC47&lt;=10,"5-10",AC47&lt;=40,"10-40")</f>
        <v>10-40</v>
      </c>
      <c r="AE47">
        <v>15</v>
      </c>
      <c r="AF47">
        <v>15</v>
      </c>
      <c r="AG47">
        <v>8</v>
      </c>
      <c r="AH47">
        <v>46</v>
      </c>
    </row>
    <row r="48" spans="1:34" x14ac:dyDescent="0.3">
      <c r="A48">
        <v>34</v>
      </c>
      <c r="B48" t="str" cm="1">
        <f t="array" ref="B48">_xlfn.IFS(A48&lt;=25,"18-25",A48&lt;=35,"26-35",A48&lt;=45,"36-45",A48&lt;=55,"46-55",A48&gt;55,"55+")</f>
        <v>26-35</v>
      </c>
      <c r="C48">
        <v>0</v>
      </c>
      <c r="D48" t="s">
        <v>66</v>
      </c>
      <c r="E48">
        <v>1065</v>
      </c>
      <c r="F48" t="s">
        <v>33</v>
      </c>
      <c r="G48">
        <v>23</v>
      </c>
      <c r="H48" t="s">
        <v>58</v>
      </c>
      <c r="I48" t="s">
        <v>72</v>
      </c>
      <c r="J48" t="s">
        <v>36</v>
      </c>
      <c r="K48" t="s">
        <v>50</v>
      </c>
      <c r="L48">
        <v>72</v>
      </c>
      <c r="M48" t="s">
        <v>38</v>
      </c>
      <c r="N48" t="s">
        <v>39</v>
      </c>
      <c r="O48" t="s">
        <v>40</v>
      </c>
      <c r="P48" t="s">
        <v>38</v>
      </c>
      <c r="Q48" t="s">
        <v>42</v>
      </c>
      <c r="R48">
        <v>4568</v>
      </c>
      <c r="S48">
        <v>10034</v>
      </c>
      <c r="T48">
        <v>0</v>
      </c>
      <c r="U48" t="s">
        <v>46</v>
      </c>
      <c r="V48">
        <v>20</v>
      </c>
      <c r="W48" t="s">
        <v>53</v>
      </c>
      <c r="X48" t="s">
        <v>38</v>
      </c>
      <c r="Y48">
        <v>0</v>
      </c>
      <c r="Z48">
        <v>10</v>
      </c>
      <c r="AA48">
        <v>2</v>
      </c>
      <c r="AB48" t="s">
        <v>54</v>
      </c>
      <c r="AC48">
        <v>9</v>
      </c>
      <c r="AD48" t="str" cm="1">
        <f t="array" ref="AD48">_xlfn.IFS(AC48&lt;=5,"0-5",AC48&lt;=10,"5-10",AC48&lt;=40,"10-40")</f>
        <v>5-10</v>
      </c>
      <c r="AE48">
        <v>5</v>
      </c>
      <c r="AF48">
        <v>8</v>
      </c>
      <c r="AG48">
        <v>7</v>
      </c>
      <c r="AH48">
        <v>47</v>
      </c>
    </row>
    <row r="49" spans="1:34" x14ac:dyDescent="0.3">
      <c r="A49">
        <v>37</v>
      </c>
      <c r="B49" t="str" cm="1">
        <f t="array" ref="B49">_xlfn.IFS(A49&lt;=25,"18-25",A49&lt;=35,"26-35",A49&lt;=45,"36-45",A49&lt;=55,"46-55",A49&gt;55,"55+")</f>
        <v>36-45</v>
      </c>
      <c r="C49">
        <v>0</v>
      </c>
      <c r="D49" t="s">
        <v>32</v>
      </c>
      <c r="E49">
        <v>408</v>
      </c>
      <c r="F49" t="s">
        <v>48</v>
      </c>
      <c r="G49">
        <v>19</v>
      </c>
      <c r="H49" t="s">
        <v>34</v>
      </c>
      <c r="I49" t="s">
        <v>35</v>
      </c>
      <c r="J49" t="s">
        <v>36</v>
      </c>
      <c r="K49" t="s">
        <v>50</v>
      </c>
      <c r="L49">
        <v>73</v>
      </c>
      <c r="M49" t="s">
        <v>38</v>
      </c>
      <c r="N49" t="s">
        <v>56</v>
      </c>
      <c r="O49" t="s">
        <v>51</v>
      </c>
      <c r="P49" t="s">
        <v>36</v>
      </c>
      <c r="Q49" t="s">
        <v>52</v>
      </c>
      <c r="R49">
        <v>3022</v>
      </c>
      <c r="S49">
        <v>10227</v>
      </c>
      <c r="T49">
        <v>4</v>
      </c>
      <c r="U49" t="s">
        <v>46</v>
      </c>
      <c r="V49">
        <v>21</v>
      </c>
      <c r="W49" t="s">
        <v>53</v>
      </c>
      <c r="X49" t="s">
        <v>44</v>
      </c>
      <c r="Y49">
        <v>0</v>
      </c>
      <c r="Z49">
        <v>8</v>
      </c>
      <c r="AA49">
        <v>1</v>
      </c>
      <c r="AB49" t="s">
        <v>54</v>
      </c>
      <c r="AC49">
        <v>1</v>
      </c>
      <c r="AD49" t="str" cm="1">
        <f t="array" ref="AD49">_xlfn.IFS(AC49&lt;=5,"0-5",AC49&lt;=10,"5-10",AC49&lt;=40,"10-40")</f>
        <v>0-5</v>
      </c>
      <c r="AE49">
        <v>0</v>
      </c>
      <c r="AF49">
        <v>0</v>
      </c>
      <c r="AG49">
        <v>0</v>
      </c>
      <c r="AH49">
        <v>48</v>
      </c>
    </row>
    <row r="50" spans="1:34" x14ac:dyDescent="0.3">
      <c r="A50">
        <v>46</v>
      </c>
      <c r="B50" t="str" cm="1">
        <f t="array" ref="B50">_xlfn.IFS(A50&lt;=25,"18-25",A50&lt;=35,"26-35",A50&lt;=45,"36-45",A50&lt;=55,"46-55",A50&gt;55,"55+")</f>
        <v>46-55</v>
      </c>
      <c r="C50">
        <v>0</v>
      </c>
      <c r="D50" t="s">
        <v>47</v>
      </c>
      <c r="E50">
        <v>1211</v>
      </c>
      <c r="F50" t="s">
        <v>33</v>
      </c>
      <c r="G50">
        <v>5</v>
      </c>
      <c r="H50" t="s">
        <v>58</v>
      </c>
      <c r="I50" t="s">
        <v>72</v>
      </c>
      <c r="J50" t="s">
        <v>44</v>
      </c>
      <c r="K50" t="s">
        <v>50</v>
      </c>
      <c r="L50">
        <v>98</v>
      </c>
      <c r="M50" t="s">
        <v>38</v>
      </c>
      <c r="N50" t="s">
        <v>39</v>
      </c>
      <c r="O50" t="s">
        <v>40</v>
      </c>
      <c r="P50" t="s">
        <v>41</v>
      </c>
      <c r="Q50" t="s">
        <v>42</v>
      </c>
      <c r="R50">
        <v>5772</v>
      </c>
      <c r="S50">
        <v>20445</v>
      </c>
      <c r="T50">
        <v>4</v>
      </c>
      <c r="U50" t="s">
        <v>31</v>
      </c>
      <c r="V50">
        <v>21</v>
      </c>
      <c r="W50" t="s">
        <v>53</v>
      </c>
      <c r="X50" t="s">
        <v>38</v>
      </c>
      <c r="Y50">
        <v>0</v>
      </c>
      <c r="Z50">
        <v>14</v>
      </c>
      <c r="AA50">
        <v>4</v>
      </c>
      <c r="AB50" t="s">
        <v>54</v>
      </c>
      <c r="AC50">
        <v>9</v>
      </c>
      <c r="AD50" t="str" cm="1">
        <f t="array" ref="AD50">_xlfn.IFS(AC50&lt;=5,"0-5",AC50&lt;=10,"5-10",AC50&lt;=40,"10-40")</f>
        <v>5-10</v>
      </c>
      <c r="AE50">
        <v>6</v>
      </c>
      <c r="AF50">
        <v>0</v>
      </c>
      <c r="AG50">
        <v>8</v>
      </c>
      <c r="AH50">
        <v>49</v>
      </c>
    </row>
    <row r="51" spans="1:34" x14ac:dyDescent="0.3">
      <c r="A51">
        <v>35</v>
      </c>
      <c r="B51" t="str" cm="1">
        <f t="array" ref="B51">_xlfn.IFS(A51&lt;=25,"18-25",A51&lt;=35,"26-35",A51&lt;=45,"36-45",A51&lt;=55,"46-55",A51&gt;55,"55+")</f>
        <v>26-35</v>
      </c>
      <c r="C51">
        <v>0</v>
      </c>
      <c r="D51" t="s">
        <v>32</v>
      </c>
      <c r="E51">
        <v>1229</v>
      </c>
      <c r="F51" t="s">
        <v>48</v>
      </c>
      <c r="G51">
        <v>8</v>
      </c>
      <c r="H51" t="s">
        <v>49</v>
      </c>
      <c r="I51" t="s">
        <v>35</v>
      </c>
      <c r="J51" t="s">
        <v>41</v>
      </c>
      <c r="K51" t="s">
        <v>50</v>
      </c>
      <c r="L51">
        <v>36</v>
      </c>
      <c r="M51" t="s">
        <v>41</v>
      </c>
      <c r="N51" t="s">
        <v>56</v>
      </c>
      <c r="O51" t="s">
        <v>57</v>
      </c>
      <c r="P51" t="s">
        <v>41</v>
      </c>
      <c r="Q51" t="s">
        <v>52</v>
      </c>
      <c r="R51">
        <v>2269</v>
      </c>
      <c r="S51">
        <v>4892</v>
      </c>
      <c r="T51">
        <v>1</v>
      </c>
      <c r="U51" t="s">
        <v>46</v>
      </c>
      <c r="V51">
        <v>19</v>
      </c>
      <c r="W51" t="s">
        <v>43</v>
      </c>
      <c r="X51" t="s">
        <v>41</v>
      </c>
      <c r="Y51">
        <v>0</v>
      </c>
      <c r="Z51">
        <v>1</v>
      </c>
      <c r="AA51">
        <v>2</v>
      </c>
      <c r="AB51" t="s">
        <v>54</v>
      </c>
      <c r="AC51">
        <v>1</v>
      </c>
      <c r="AD51" t="str" cm="1">
        <f t="array" ref="AD51">_xlfn.IFS(AC51&lt;=5,"0-5",AC51&lt;=10,"5-10",AC51&lt;=40,"10-40")</f>
        <v>0-5</v>
      </c>
      <c r="AE51">
        <v>0</v>
      </c>
      <c r="AF51">
        <v>0</v>
      </c>
      <c r="AG51">
        <v>1</v>
      </c>
      <c r="AH51">
        <v>50</v>
      </c>
    </row>
    <row r="52" spans="1:34" x14ac:dyDescent="0.3">
      <c r="A52">
        <v>48</v>
      </c>
      <c r="B52" t="str" cm="1">
        <f t="array" ref="B52">_xlfn.IFS(A52&lt;=25,"18-25",A52&lt;=35,"26-35",A52&lt;=45,"36-45",A52&lt;=55,"46-55",A52&gt;55,"55+")</f>
        <v>46-55</v>
      </c>
      <c r="C52">
        <v>1</v>
      </c>
      <c r="D52" t="s">
        <v>32</v>
      </c>
      <c r="E52">
        <v>626</v>
      </c>
      <c r="F52" t="s">
        <v>48</v>
      </c>
      <c r="G52">
        <v>1</v>
      </c>
      <c r="H52" t="s">
        <v>34</v>
      </c>
      <c r="I52" t="s">
        <v>35</v>
      </c>
      <c r="J52" t="s">
        <v>44</v>
      </c>
      <c r="K52" t="s">
        <v>50</v>
      </c>
      <c r="L52">
        <v>98</v>
      </c>
      <c r="M52" t="s">
        <v>36</v>
      </c>
      <c r="N52" t="s">
        <v>63</v>
      </c>
      <c r="O52" t="s">
        <v>57</v>
      </c>
      <c r="P52" t="s">
        <v>38</v>
      </c>
      <c r="Q52" t="s">
        <v>42</v>
      </c>
      <c r="R52">
        <v>5381</v>
      </c>
      <c r="S52">
        <v>19294</v>
      </c>
      <c r="T52">
        <v>9</v>
      </c>
      <c r="U52" t="s">
        <v>31</v>
      </c>
      <c r="V52">
        <v>13</v>
      </c>
      <c r="W52" t="s">
        <v>43</v>
      </c>
      <c r="X52" t="s">
        <v>41</v>
      </c>
      <c r="Y52">
        <v>0</v>
      </c>
      <c r="Z52">
        <v>23</v>
      </c>
      <c r="AA52">
        <v>2</v>
      </c>
      <c r="AB52" t="s">
        <v>54</v>
      </c>
      <c r="AC52">
        <v>1</v>
      </c>
      <c r="AD52" t="str" cm="1">
        <f t="array" ref="AD52">_xlfn.IFS(AC52&lt;=5,"0-5",AC52&lt;=10,"5-10",AC52&lt;=40,"10-40")</f>
        <v>0-5</v>
      </c>
      <c r="AE52">
        <v>0</v>
      </c>
      <c r="AF52">
        <v>0</v>
      </c>
      <c r="AG52">
        <v>0</v>
      </c>
      <c r="AH52">
        <v>51</v>
      </c>
    </row>
    <row r="53" spans="1:34" x14ac:dyDescent="0.3">
      <c r="A53">
        <v>28</v>
      </c>
      <c r="B53" t="str" cm="1">
        <f t="array" ref="B53">_xlfn.IFS(A53&lt;=25,"18-25",A53&lt;=35,"26-35",A53&lt;=45,"36-45",A53&lt;=55,"46-55",A53&gt;55,"55+")</f>
        <v>26-35</v>
      </c>
      <c r="C53">
        <v>1</v>
      </c>
      <c r="D53" t="s">
        <v>32</v>
      </c>
      <c r="E53">
        <v>1434</v>
      </c>
      <c r="F53" t="s">
        <v>48</v>
      </c>
      <c r="G53">
        <v>5</v>
      </c>
      <c r="H53" t="s">
        <v>58</v>
      </c>
      <c r="I53" t="s">
        <v>74</v>
      </c>
      <c r="J53" t="s">
        <v>38</v>
      </c>
      <c r="K53" t="s">
        <v>50</v>
      </c>
      <c r="L53">
        <v>50</v>
      </c>
      <c r="M53" t="s">
        <v>38</v>
      </c>
      <c r="N53" t="s">
        <v>56</v>
      </c>
      <c r="O53" t="s">
        <v>57</v>
      </c>
      <c r="P53" t="s">
        <v>38</v>
      </c>
      <c r="Q53" t="s">
        <v>42</v>
      </c>
      <c r="R53">
        <v>3441</v>
      </c>
      <c r="S53">
        <v>11179</v>
      </c>
      <c r="T53">
        <v>1</v>
      </c>
      <c r="U53" t="s">
        <v>31</v>
      </c>
      <c r="V53">
        <v>13</v>
      </c>
      <c r="W53" t="s">
        <v>43</v>
      </c>
      <c r="X53" t="s">
        <v>38</v>
      </c>
      <c r="Y53">
        <v>0</v>
      </c>
      <c r="Z53">
        <v>2</v>
      </c>
      <c r="AA53">
        <v>3</v>
      </c>
      <c r="AB53" t="s">
        <v>60</v>
      </c>
      <c r="AC53">
        <v>2</v>
      </c>
      <c r="AD53" t="str" cm="1">
        <f t="array" ref="AD53">_xlfn.IFS(AC53&lt;=5,"0-5",AC53&lt;=10,"5-10",AC53&lt;=40,"10-40")</f>
        <v>0-5</v>
      </c>
      <c r="AE53">
        <v>2</v>
      </c>
      <c r="AF53">
        <v>2</v>
      </c>
      <c r="AG53">
        <v>2</v>
      </c>
      <c r="AH53">
        <v>52</v>
      </c>
    </row>
    <row r="54" spans="1:34" x14ac:dyDescent="0.3">
      <c r="A54">
        <v>44</v>
      </c>
      <c r="B54" t="str" cm="1">
        <f t="array" ref="B54">_xlfn.IFS(A54&lt;=25,"18-25",A54&lt;=35,"26-35",A54&lt;=45,"36-45",A54&lt;=55,"46-55",A54&gt;55,"55+")</f>
        <v>36-45</v>
      </c>
      <c r="C54">
        <v>0</v>
      </c>
      <c r="D54" t="s">
        <v>32</v>
      </c>
      <c r="E54">
        <v>1488</v>
      </c>
      <c r="F54" t="s">
        <v>33</v>
      </c>
      <c r="G54">
        <v>1</v>
      </c>
      <c r="H54" t="s">
        <v>75</v>
      </c>
      <c r="I54" t="s">
        <v>72</v>
      </c>
      <c r="J54" t="s">
        <v>36</v>
      </c>
      <c r="K54" t="s">
        <v>37</v>
      </c>
      <c r="L54">
        <v>75</v>
      </c>
      <c r="M54" t="s">
        <v>38</v>
      </c>
      <c r="N54" t="s">
        <v>39</v>
      </c>
      <c r="O54" t="s">
        <v>40</v>
      </c>
      <c r="P54" t="s">
        <v>44</v>
      </c>
      <c r="Q54" t="s">
        <v>62</v>
      </c>
      <c r="R54">
        <v>5454</v>
      </c>
      <c r="S54">
        <v>4009</v>
      </c>
      <c r="T54">
        <v>5</v>
      </c>
      <c r="U54" t="s">
        <v>31</v>
      </c>
      <c r="V54">
        <v>21</v>
      </c>
      <c r="W54" t="s">
        <v>53</v>
      </c>
      <c r="X54" t="s">
        <v>38</v>
      </c>
      <c r="Y54">
        <v>1</v>
      </c>
      <c r="Z54">
        <v>9</v>
      </c>
      <c r="AA54">
        <v>2</v>
      </c>
      <c r="AB54" t="s">
        <v>60</v>
      </c>
      <c r="AC54">
        <v>4</v>
      </c>
      <c r="AD54" t="str" cm="1">
        <f t="array" ref="AD54">_xlfn.IFS(AC54&lt;=5,"0-5",AC54&lt;=10,"5-10",AC54&lt;=40,"10-40")</f>
        <v>0-5</v>
      </c>
      <c r="AE54">
        <v>3</v>
      </c>
      <c r="AF54">
        <v>1</v>
      </c>
      <c r="AG54">
        <v>3</v>
      </c>
      <c r="AH54">
        <v>53</v>
      </c>
    </row>
    <row r="55" spans="1:34" x14ac:dyDescent="0.3">
      <c r="A55">
        <v>35</v>
      </c>
      <c r="B55" t="str" cm="1">
        <f t="array" ref="B55">_xlfn.IFS(A55&lt;=25,"18-25",A55&lt;=35,"26-35",A55&lt;=45,"36-45",A55&lt;=55,"46-55",A55&gt;55,"55+")</f>
        <v>26-35</v>
      </c>
      <c r="C55">
        <v>0</v>
      </c>
      <c r="D55" t="s">
        <v>66</v>
      </c>
      <c r="E55">
        <v>1097</v>
      </c>
      <c r="F55" t="s">
        <v>48</v>
      </c>
      <c r="G55">
        <v>11</v>
      </c>
      <c r="H55" t="s">
        <v>34</v>
      </c>
      <c r="I55" t="s">
        <v>59</v>
      </c>
      <c r="J55" t="s">
        <v>38</v>
      </c>
      <c r="K55" t="s">
        <v>50</v>
      </c>
      <c r="L55">
        <v>79</v>
      </c>
      <c r="M55" t="s">
        <v>36</v>
      </c>
      <c r="N55" t="s">
        <v>63</v>
      </c>
      <c r="O55" t="s">
        <v>65</v>
      </c>
      <c r="P55" t="s">
        <v>44</v>
      </c>
      <c r="Q55" t="s">
        <v>52</v>
      </c>
      <c r="R55">
        <v>9884</v>
      </c>
      <c r="S55">
        <v>8302</v>
      </c>
      <c r="T55">
        <v>2</v>
      </c>
      <c r="U55" t="s">
        <v>31</v>
      </c>
      <c r="V55">
        <v>13</v>
      </c>
      <c r="W55" t="s">
        <v>43</v>
      </c>
      <c r="X55" t="s">
        <v>38</v>
      </c>
      <c r="Y55">
        <v>1</v>
      </c>
      <c r="Z55">
        <v>10</v>
      </c>
      <c r="AA55">
        <v>3</v>
      </c>
      <c r="AB55" t="s">
        <v>54</v>
      </c>
      <c r="AC55">
        <v>4</v>
      </c>
      <c r="AD55" t="str" cm="1">
        <f t="array" ref="AD55">_xlfn.IFS(AC55&lt;=5,"0-5",AC55&lt;=10,"5-10",AC55&lt;=40,"10-40")</f>
        <v>0-5</v>
      </c>
      <c r="AE55">
        <v>0</v>
      </c>
      <c r="AF55">
        <v>2</v>
      </c>
      <c r="AG55">
        <v>3</v>
      </c>
      <c r="AH55">
        <v>54</v>
      </c>
    </row>
    <row r="56" spans="1:34" x14ac:dyDescent="0.3">
      <c r="A56">
        <v>26</v>
      </c>
      <c r="B56" t="str" cm="1">
        <f t="array" ref="B56">_xlfn.IFS(A56&lt;=25,"18-25",A56&lt;=35,"26-35",A56&lt;=45,"36-45",A56&lt;=55,"46-55",A56&gt;55,"55+")</f>
        <v>26-35</v>
      </c>
      <c r="C56">
        <v>0</v>
      </c>
      <c r="D56" t="s">
        <v>32</v>
      </c>
      <c r="E56">
        <v>1443</v>
      </c>
      <c r="F56" t="s">
        <v>33</v>
      </c>
      <c r="G56">
        <v>23</v>
      </c>
      <c r="H56" t="s">
        <v>61</v>
      </c>
      <c r="I56" t="s">
        <v>72</v>
      </c>
      <c r="J56" t="s">
        <v>38</v>
      </c>
      <c r="K56" t="s">
        <v>37</v>
      </c>
      <c r="L56">
        <v>47</v>
      </c>
      <c r="M56" t="s">
        <v>36</v>
      </c>
      <c r="N56" t="s">
        <v>39</v>
      </c>
      <c r="O56" t="s">
        <v>40</v>
      </c>
      <c r="P56" t="s">
        <v>41</v>
      </c>
      <c r="Q56" t="s">
        <v>52</v>
      </c>
      <c r="R56">
        <v>4157</v>
      </c>
      <c r="S56">
        <v>21436</v>
      </c>
      <c r="T56">
        <v>7</v>
      </c>
      <c r="U56" t="s">
        <v>31</v>
      </c>
      <c r="V56">
        <v>19</v>
      </c>
      <c r="W56" t="s">
        <v>43</v>
      </c>
      <c r="X56" t="s">
        <v>38</v>
      </c>
      <c r="Y56">
        <v>1</v>
      </c>
      <c r="Z56">
        <v>5</v>
      </c>
      <c r="AA56">
        <v>2</v>
      </c>
      <c r="AB56" t="s">
        <v>60</v>
      </c>
      <c r="AC56">
        <v>2</v>
      </c>
      <c r="AD56" t="str" cm="1">
        <f t="array" ref="AD56">_xlfn.IFS(AC56&lt;=5,"0-5",AC56&lt;=10,"5-10",AC56&lt;=40,"10-40")</f>
        <v>0-5</v>
      </c>
      <c r="AE56">
        <v>2</v>
      </c>
      <c r="AF56">
        <v>0</v>
      </c>
      <c r="AG56">
        <v>0</v>
      </c>
      <c r="AH56">
        <v>55</v>
      </c>
    </row>
    <row r="57" spans="1:34" x14ac:dyDescent="0.3">
      <c r="A57">
        <v>33</v>
      </c>
      <c r="B57" t="str" cm="1">
        <f t="array" ref="B57">_xlfn.IFS(A57&lt;=25,"18-25",A57&lt;=35,"26-35",A57&lt;=45,"36-45",A57&lt;=55,"46-55",A57&gt;55,"55+")</f>
        <v>26-35</v>
      </c>
      <c r="C57">
        <v>0</v>
      </c>
      <c r="D57" t="s">
        <v>47</v>
      </c>
      <c r="E57">
        <v>515</v>
      </c>
      <c r="F57" t="s">
        <v>48</v>
      </c>
      <c r="G57">
        <v>1</v>
      </c>
      <c r="H57" t="s">
        <v>34</v>
      </c>
      <c r="I57" t="s">
        <v>35</v>
      </c>
      <c r="J57" t="s">
        <v>44</v>
      </c>
      <c r="K57" t="s">
        <v>37</v>
      </c>
      <c r="L57">
        <v>98</v>
      </c>
      <c r="M57" t="s">
        <v>38</v>
      </c>
      <c r="N57" t="s">
        <v>63</v>
      </c>
      <c r="O57" t="s">
        <v>70</v>
      </c>
      <c r="P57" t="s">
        <v>41</v>
      </c>
      <c r="Q57" t="s">
        <v>42</v>
      </c>
      <c r="R57">
        <v>13458</v>
      </c>
      <c r="S57">
        <v>15146</v>
      </c>
      <c r="T57">
        <v>1</v>
      </c>
      <c r="U57" t="s">
        <v>31</v>
      </c>
      <c r="V57">
        <v>12</v>
      </c>
      <c r="W57" t="s">
        <v>43</v>
      </c>
      <c r="X57" t="s">
        <v>38</v>
      </c>
      <c r="Y57">
        <v>0</v>
      </c>
      <c r="Z57">
        <v>15</v>
      </c>
      <c r="AA57">
        <v>1</v>
      </c>
      <c r="AB57" t="s">
        <v>54</v>
      </c>
      <c r="AC57">
        <v>15</v>
      </c>
      <c r="AD57" t="str" cm="1">
        <f t="array" ref="AD57">_xlfn.IFS(AC57&lt;=5,"0-5",AC57&lt;=10,"5-10",AC57&lt;=40,"10-40")</f>
        <v>10-40</v>
      </c>
      <c r="AE57">
        <v>14</v>
      </c>
      <c r="AF57">
        <v>8</v>
      </c>
      <c r="AG57">
        <v>12</v>
      </c>
      <c r="AH57">
        <v>56</v>
      </c>
    </row>
    <row r="58" spans="1:34" x14ac:dyDescent="0.3">
      <c r="A58">
        <v>35</v>
      </c>
      <c r="B58" t="str" cm="1">
        <f t="array" ref="B58">_xlfn.IFS(A58&lt;=25,"18-25",A58&lt;=35,"26-35",A58&lt;=45,"36-45",A58&lt;=55,"46-55",A58&gt;55,"55+")</f>
        <v>26-35</v>
      </c>
      <c r="C58">
        <v>0</v>
      </c>
      <c r="D58" t="s">
        <v>47</v>
      </c>
      <c r="E58">
        <v>853</v>
      </c>
      <c r="F58" t="s">
        <v>33</v>
      </c>
      <c r="G58">
        <v>18</v>
      </c>
      <c r="H58" t="s">
        <v>75</v>
      </c>
      <c r="I58" t="s">
        <v>35</v>
      </c>
      <c r="J58" t="s">
        <v>36</v>
      </c>
      <c r="K58" t="s">
        <v>50</v>
      </c>
      <c r="L58">
        <v>71</v>
      </c>
      <c r="M58" t="s">
        <v>38</v>
      </c>
      <c r="N58" t="s">
        <v>63</v>
      </c>
      <c r="O58" t="s">
        <v>40</v>
      </c>
      <c r="P58" t="s">
        <v>44</v>
      </c>
      <c r="Q58" t="s">
        <v>52</v>
      </c>
      <c r="R58">
        <v>9069</v>
      </c>
      <c r="S58">
        <v>11031</v>
      </c>
      <c r="T58">
        <v>1</v>
      </c>
      <c r="U58" t="s">
        <v>46</v>
      </c>
      <c r="V58">
        <v>22</v>
      </c>
      <c r="W58" t="s">
        <v>53</v>
      </c>
      <c r="X58" t="s">
        <v>41</v>
      </c>
      <c r="Y58">
        <v>1</v>
      </c>
      <c r="Z58">
        <v>9</v>
      </c>
      <c r="AA58">
        <v>3</v>
      </c>
      <c r="AB58" t="s">
        <v>60</v>
      </c>
      <c r="AC58">
        <v>9</v>
      </c>
      <c r="AD58" t="str" cm="1">
        <f t="array" ref="AD58">_xlfn.IFS(AC58&lt;=5,"0-5",AC58&lt;=10,"5-10",AC58&lt;=40,"10-40")</f>
        <v>5-10</v>
      </c>
      <c r="AE58">
        <v>8</v>
      </c>
      <c r="AF58">
        <v>1</v>
      </c>
      <c r="AG58">
        <v>8</v>
      </c>
      <c r="AH58">
        <v>57</v>
      </c>
    </row>
    <row r="59" spans="1:34" x14ac:dyDescent="0.3">
      <c r="A59">
        <v>35</v>
      </c>
      <c r="B59" t="str" cm="1">
        <f t="array" ref="B59">_xlfn.IFS(A59&lt;=25,"18-25",A59&lt;=35,"26-35",A59&lt;=45,"36-45",A59&lt;=55,"46-55",A59&gt;55,"55+")</f>
        <v>26-35</v>
      </c>
      <c r="C59">
        <v>0</v>
      </c>
      <c r="D59" t="s">
        <v>32</v>
      </c>
      <c r="E59">
        <v>1142</v>
      </c>
      <c r="F59" t="s">
        <v>48</v>
      </c>
      <c r="G59">
        <v>23</v>
      </c>
      <c r="H59" t="s">
        <v>58</v>
      </c>
      <c r="I59" t="s">
        <v>59</v>
      </c>
      <c r="J59" t="s">
        <v>38</v>
      </c>
      <c r="K59" t="s">
        <v>37</v>
      </c>
      <c r="L59">
        <v>30</v>
      </c>
      <c r="M59" t="s">
        <v>38</v>
      </c>
      <c r="N59" t="s">
        <v>56</v>
      </c>
      <c r="O59" t="s">
        <v>57</v>
      </c>
      <c r="P59" t="s">
        <v>44</v>
      </c>
      <c r="Q59" t="s">
        <v>52</v>
      </c>
      <c r="R59">
        <v>4014</v>
      </c>
      <c r="S59">
        <v>16002</v>
      </c>
      <c r="T59">
        <v>3</v>
      </c>
      <c r="U59" t="s">
        <v>31</v>
      </c>
      <c r="V59">
        <v>15</v>
      </c>
      <c r="W59" t="s">
        <v>43</v>
      </c>
      <c r="X59" t="s">
        <v>38</v>
      </c>
      <c r="Y59">
        <v>1</v>
      </c>
      <c r="Z59">
        <v>4</v>
      </c>
      <c r="AA59">
        <v>3</v>
      </c>
      <c r="AB59" t="s">
        <v>54</v>
      </c>
      <c r="AC59">
        <v>2</v>
      </c>
      <c r="AD59" t="str" cm="1">
        <f t="array" ref="AD59">_xlfn.IFS(AC59&lt;=5,"0-5",AC59&lt;=10,"5-10",AC59&lt;=40,"10-40")</f>
        <v>0-5</v>
      </c>
      <c r="AE59">
        <v>2</v>
      </c>
      <c r="AF59">
        <v>2</v>
      </c>
      <c r="AG59">
        <v>2</v>
      </c>
      <c r="AH59">
        <v>58</v>
      </c>
    </row>
    <row r="60" spans="1:34" x14ac:dyDescent="0.3">
      <c r="A60">
        <v>31</v>
      </c>
      <c r="B60" t="str" cm="1">
        <f t="array" ref="B60">_xlfn.IFS(A60&lt;=25,"18-25",A60&lt;=35,"26-35",A60&lt;=45,"36-45",A60&lt;=55,"46-55",A60&gt;55,"55+")</f>
        <v>26-35</v>
      </c>
      <c r="C60">
        <v>0</v>
      </c>
      <c r="D60" t="s">
        <v>32</v>
      </c>
      <c r="E60">
        <v>655</v>
      </c>
      <c r="F60" t="s">
        <v>48</v>
      </c>
      <c r="G60">
        <v>7</v>
      </c>
      <c r="H60" t="s">
        <v>58</v>
      </c>
      <c r="I60" t="s">
        <v>35</v>
      </c>
      <c r="J60" t="s">
        <v>41</v>
      </c>
      <c r="K60" t="s">
        <v>50</v>
      </c>
      <c r="L60">
        <v>48</v>
      </c>
      <c r="M60" t="s">
        <v>38</v>
      </c>
      <c r="N60" t="s">
        <v>39</v>
      </c>
      <c r="O60" t="s">
        <v>57</v>
      </c>
      <c r="P60" t="s">
        <v>41</v>
      </c>
      <c r="Q60" t="s">
        <v>62</v>
      </c>
      <c r="R60">
        <v>5915</v>
      </c>
      <c r="S60">
        <v>9528</v>
      </c>
      <c r="T60">
        <v>3</v>
      </c>
      <c r="U60" t="s">
        <v>46</v>
      </c>
      <c r="V60">
        <v>22</v>
      </c>
      <c r="W60" t="s">
        <v>53</v>
      </c>
      <c r="X60" t="s">
        <v>41</v>
      </c>
      <c r="Y60">
        <v>1</v>
      </c>
      <c r="Z60">
        <v>10</v>
      </c>
      <c r="AA60">
        <v>3</v>
      </c>
      <c r="AB60" t="s">
        <v>60</v>
      </c>
      <c r="AC60">
        <v>7</v>
      </c>
      <c r="AD60" t="str" cm="1">
        <f t="array" ref="AD60">_xlfn.IFS(AC60&lt;=5,"0-5",AC60&lt;=10,"5-10",AC60&lt;=40,"10-40")</f>
        <v>5-10</v>
      </c>
      <c r="AE60">
        <v>7</v>
      </c>
      <c r="AF60">
        <v>1</v>
      </c>
      <c r="AG60">
        <v>7</v>
      </c>
      <c r="AH60">
        <v>59</v>
      </c>
    </row>
    <row r="61" spans="1:34" x14ac:dyDescent="0.3">
      <c r="A61">
        <v>37</v>
      </c>
      <c r="B61" t="str" cm="1">
        <f t="array" ref="B61">_xlfn.IFS(A61&lt;=25,"18-25",A61&lt;=35,"26-35",A61&lt;=45,"36-45",A61&lt;=55,"46-55",A61&gt;55,"55+")</f>
        <v>36-45</v>
      </c>
      <c r="C61">
        <v>0</v>
      </c>
      <c r="D61" t="s">
        <v>32</v>
      </c>
      <c r="E61">
        <v>1115</v>
      </c>
      <c r="F61" t="s">
        <v>48</v>
      </c>
      <c r="G61">
        <v>1</v>
      </c>
      <c r="H61" t="s">
        <v>58</v>
      </c>
      <c r="I61" t="s">
        <v>35</v>
      </c>
      <c r="J61" t="s">
        <v>44</v>
      </c>
      <c r="K61" t="s">
        <v>50</v>
      </c>
      <c r="L61">
        <v>51</v>
      </c>
      <c r="M61" t="s">
        <v>36</v>
      </c>
      <c r="N61" t="s">
        <v>39</v>
      </c>
      <c r="O61" t="s">
        <v>64</v>
      </c>
      <c r="P61" t="s">
        <v>38</v>
      </c>
      <c r="Q61" t="s">
        <v>62</v>
      </c>
      <c r="R61">
        <v>5993</v>
      </c>
      <c r="S61">
        <v>2689</v>
      </c>
      <c r="T61">
        <v>1</v>
      </c>
      <c r="U61" t="s">
        <v>46</v>
      </c>
      <c r="V61">
        <v>18</v>
      </c>
      <c r="W61" t="s">
        <v>43</v>
      </c>
      <c r="X61" t="s">
        <v>38</v>
      </c>
      <c r="Y61">
        <v>1</v>
      </c>
      <c r="Z61">
        <v>7</v>
      </c>
      <c r="AA61">
        <v>2</v>
      </c>
      <c r="AB61" t="s">
        <v>73</v>
      </c>
      <c r="AC61">
        <v>7</v>
      </c>
      <c r="AD61" t="str" cm="1">
        <f t="array" ref="AD61">_xlfn.IFS(AC61&lt;=5,"0-5",AC61&lt;=10,"5-10",AC61&lt;=40,"10-40")</f>
        <v>5-10</v>
      </c>
      <c r="AE61">
        <v>5</v>
      </c>
      <c r="AF61">
        <v>0</v>
      </c>
      <c r="AG61">
        <v>7</v>
      </c>
      <c r="AH61">
        <v>60</v>
      </c>
    </row>
    <row r="62" spans="1:34" x14ac:dyDescent="0.3">
      <c r="A62">
        <v>32</v>
      </c>
      <c r="B62" t="str" cm="1">
        <f t="array" ref="B62">_xlfn.IFS(A62&lt;=25,"18-25",A62&lt;=35,"26-35",A62&lt;=45,"36-45",A62&lt;=55,"46-55",A62&gt;55,"55+")</f>
        <v>26-35</v>
      </c>
      <c r="C62">
        <v>0</v>
      </c>
      <c r="D62" t="s">
        <v>32</v>
      </c>
      <c r="E62">
        <v>427</v>
      </c>
      <c r="F62" t="s">
        <v>48</v>
      </c>
      <c r="G62">
        <v>1</v>
      </c>
      <c r="H62" t="s">
        <v>61</v>
      </c>
      <c r="I62" t="s">
        <v>59</v>
      </c>
      <c r="J62" t="s">
        <v>44</v>
      </c>
      <c r="K62" t="s">
        <v>50</v>
      </c>
      <c r="L62">
        <v>33</v>
      </c>
      <c r="M62" t="s">
        <v>38</v>
      </c>
      <c r="N62" t="s">
        <v>39</v>
      </c>
      <c r="O62" t="s">
        <v>64</v>
      </c>
      <c r="P62" t="s">
        <v>41</v>
      </c>
      <c r="Q62" t="s">
        <v>52</v>
      </c>
      <c r="R62">
        <v>6162</v>
      </c>
      <c r="S62">
        <v>10877</v>
      </c>
      <c r="T62">
        <v>1</v>
      </c>
      <c r="U62" t="s">
        <v>31</v>
      </c>
      <c r="V62">
        <v>22</v>
      </c>
      <c r="W62" t="s">
        <v>53</v>
      </c>
      <c r="X62" t="s">
        <v>36</v>
      </c>
      <c r="Y62">
        <v>1</v>
      </c>
      <c r="Z62">
        <v>9</v>
      </c>
      <c r="AA62">
        <v>3</v>
      </c>
      <c r="AB62" t="s">
        <v>54</v>
      </c>
      <c r="AC62">
        <v>9</v>
      </c>
      <c r="AD62" t="str" cm="1">
        <f t="array" ref="AD62">_xlfn.IFS(AC62&lt;=5,"0-5",AC62&lt;=10,"5-10",AC62&lt;=40,"10-40")</f>
        <v>5-10</v>
      </c>
      <c r="AE62">
        <v>8</v>
      </c>
      <c r="AF62">
        <v>7</v>
      </c>
      <c r="AG62">
        <v>8</v>
      </c>
      <c r="AH62">
        <v>61</v>
      </c>
    </row>
    <row r="63" spans="1:34" x14ac:dyDescent="0.3">
      <c r="A63">
        <v>38</v>
      </c>
      <c r="B63" t="str" cm="1">
        <f t="array" ref="B63">_xlfn.IFS(A63&lt;=25,"18-25",A63&lt;=35,"26-35",A63&lt;=45,"36-45",A63&lt;=55,"46-55",A63&gt;55,"55+")</f>
        <v>36-45</v>
      </c>
      <c r="C63">
        <v>0</v>
      </c>
      <c r="D63" t="s">
        <v>47</v>
      </c>
      <c r="E63">
        <v>653</v>
      </c>
      <c r="F63" t="s">
        <v>48</v>
      </c>
      <c r="G63">
        <v>29</v>
      </c>
      <c r="H63" t="s">
        <v>75</v>
      </c>
      <c r="I63" t="s">
        <v>35</v>
      </c>
      <c r="J63" t="s">
        <v>41</v>
      </c>
      <c r="K63" t="s">
        <v>37</v>
      </c>
      <c r="L63">
        <v>50</v>
      </c>
      <c r="M63" t="s">
        <v>38</v>
      </c>
      <c r="N63" t="s">
        <v>39</v>
      </c>
      <c r="O63" t="s">
        <v>57</v>
      </c>
      <c r="P63" t="s">
        <v>41</v>
      </c>
      <c r="Q63" t="s">
        <v>42</v>
      </c>
      <c r="R63">
        <v>2406</v>
      </c>
      <c r="S63">
        <v>5456</v>
      </c>
      <c r="T63">
        <v>1</v>
      </c>
      <c r="U63" t="s">
        <v>46</v>
      </c>
      <c r="V63">
        <v>11</v>
      </c>
      <c r="W63" t="s">
        <v>43</v>
      </c>
      <c r="X63" t="s">
        <v>41</v>
      </c>
      <c r="Y63">
        <v>0</v>
      </c>
      <c r="Z63">
        <v>10</v>
      </c>
      <c r="AA63">
        <v>2</v>
      </c>
      <c r="AB63" t="s">
        <v>54</v>
      </c>
      <c r="AC63">
        <v>10</v>
      </c>
      <c r="AD63" t="str" cm="1">
        <f t="array" ref="AD63">_xlfn.IFS(AC63&lt;=5,"0-5",AC63&lt;=10,"5-10",AC63&lt;=40,"10-40")</f>
        <v>5-10</v>
      </c>
      <c r="AE63">
        <v>3</v>
      </c>
      <c r="AF63">
        <v>9</v>
      </c>
      <c r="AG63">
        <v>9</v>
      </c>
      <c r="AH63">
        <v>62</v>
      </c>
    </row>
    <row r="64" spans="1:34" x14ac:dyDescent="0.3">
      <c r="A64">
        <v>50</v>
      </c>
      <c r="B64" t="str" cm="1">
        <f t="array" ref="B64">_xlfn.IFS(A64&lt;=25,"18-25",A64&lt;=35,"26-35",A64&lt;=45,"36-45",A64&lt;=55,"46-55",A64&gt;55,"55+")</f>
        <v>46-55</v>
      </c>
      <c r="C64">
        <v>0</v>
      </c>
      <c r="D64" t="s">
        <v>32</v>
      </c>
      <c r="E64">
        <v>989</v>
      </c>
      <c r="F64" t="s">
        <v>48</v>
      </c>
      <c r="G64">
        <v>7</v>
      </c>
      <c r="H64" t="s">
        <v>34</v>
      </c>
      <c r="I64" t="s">
        <v>59</v>
      </c>
      <c r="J64" t="s">
        <v>36</v>
      </c>
      <c r="K64" t="s">
        <v>37</v>
      </c>
      <c r="L64">
        <v>43</v>
      </c>
      <c r="M64" t="s">
        <v>36</v>
      </c>
      <c r="N64" t="s">
        <v>71</v>
      </c>
      <c r="O64" t="s">
        <v>70</v>
      </c>
      <c r="P64" t="s">
        <v>38</v>
      </c>
      <c r="Q64" t="s">
        <v>62</v>
      </c>
      <c r="R64">
        <v>18740</v>
      </c>
      <c r="S64">
        <v>16701</v>
      </c>
      <c r="T64">
        <v>5</v>
      </c>
      <c r="U64" t="s">
        <v>31</v>
      </c>
      <c r="V64">
        <v>12</v>
      </c>
      <c r="W64" t="s">
        <v>43</v>
      </c>
      <c r="X64" t="s">
        <v>41</v>
      </c>
      <c r="Y64">
        <v>1</v>
      </c>
      <c r="Z64">
        <v>29</v>
      </c>
      <c r="AA64">
        <v>2</v>
      </c>
      <c r="AB64" t="s">
        <v>60</v>
      </c>
      <c r="AC64">
        <v>27</v>
      </c>
      <c r="AD64" t="str" cm="1">
        <f t="array" ref="AD64">_xlfn.IFS(AC64&lt;=5,"0-5",AC64&lt;=10,"5-10",AC64&lt;=40,"10-40")</f>
        <v>10-40</v>
      </c>
      <c r="AE64">
        <v>3</v>
      </c>
      <c r="AF64">
        <v>13</v>
      </c>
      <c r="AG64">
        <v>8</v>
      </c>
      <c r="AH64">
        <v>63</v>
      </c>
    </row>
    <row r="65" spans="1:34" x14ac:dyDescent="0.3">
      <c r="A65">
        <v>59</v>
      </c>
      <c r="B65" t="str" cm="1">
        <f t="array" ref="B65">_xlfn.IFS(A65&lt;=25,"18-25",A65&lt;=35,"26-35",A65&lt;=45,"36-45",A65&lt;=55,"46-55",A65&gt;55,"55+")</f>
        <v>55+</v>
      </c>
      <c r="C65">
        <v>0</v>
      </c>
      <c r="D65" t="s">
        <v>32</v>
      </c>
      <c r="E65">
        <v>1435</v>
      </c>
      <c r="F65" t="s">
        <v>33</v>
      </c>
      <c r="G65">
        <v>25</v>
      </c>
      <c r="H65" t="s">
        <v>61</v>
      </c>
      <c r="I65" t="s">
        <v>35</v>
      </c>
      <c r="J65" t="s">
        <v>44</v>
      </c>
      <c r="K65" t="s">
        <v>37</v>
      </c>
      <c r="L65">
        <v>99</v>
      </c>
      <c r="M65" t="s">
        <v>38</v>
      </c>
      <c r="N65" t="s">
        <v>63</v>
      </c>
      <c r="O65" t="s">
        <v>40</v>
      </c>
      <c r="P65" t="s">
        <v>44</v>
      </c>
      <c r="Q65" t="s">
        <v>42</v>
      </c>
      <c r="R65">
        <v>7637</v>
      </c>
      <c r="S65">
        <v>2354</v>
      </c>
      <c r="T65">
        <v>7</v>
      </c>
      <c r="U65" t="s">
        <v>46</v>
      </c>
      <c r="V65">
        <v>11</v>
      </c>
      <c r="W65" t="s">
        <v>43</v>
      </c>
      <c r="X65" t="s">
        <v>41</v>
      </c>
      <c r="Y65">
        <v>0</v>
      </c>
      <c r="Z65">
        <v>28</v>
      </c>
      <c r="AA65">
        <v>3</v>
      </c>
      <c r="AB65" t="s">
        <v>60</v>
      </c>
      <c r="AC65">
        <v>21</v>
      </c>
      <c r="AD65" t="str" cm="1">
        <f t="array" ref="AD65">_xlfn.IFS(AC65&lt;=5,"0-5",AC65&lt;=10,"5-10",AC65&lt;=40,"10-40")</f>
        <v>10-40</v>
      </c>
      <c r="AE65">
        <v>16</v>
      </c>
      <c r="AF65">
        <v>7</v>
      </c>
      <c r="AG65">
        <v>9</v>
      </c>
      <c r="AH65">
        <v>64</v>
      </c>
    </row>
    <row r="66" spans="1:34" x14ac:dyDescent="0.3">
      <c r="A66">
        <v>36</v>
      </c>
      <c r="B66" t="str" cm="1">
        <f t="array" ref="B66">_xlfn.IFS(A66&lt;=25,"18-25",A66&lt;=35,"26-35",A66&lt;=45,"36-45",A66&lt;=55,"46-55",A66&gt;55,"55+")</f>
        <v>36-45</v>
      </c>
      <c r="C66">
        <v>0</v>
      </c>
      <c r="D66" t="s">
        <v>32</v>
      </c>
      <c r="E66">
        <v>1223</v>
      </c>
      <c r="F66" t="s">
        <v>48</v>
      </c>
      <c r="G66">
        <v>8</v>
      </c>
      <c r="H66" t="s">
        <v>61</v>
      </c>
      <c r="I66" t="s">
        <v>74</v>
      </c>
      <c r="J66" t="s">
        <v>38</v>
      </c>
      <c r="K66" t="s">
        <v>37</v>
      </c>
      <c r="L66">
        <v>59</v>
      </c>
      <c r="M66" t="s">
        <v>38</v>
      </c>
      <c r="N66" t="s">
        <v>63</v>
      </c>
      <c r="O66" t="s">
        <v>65</v>
      </c>
      <c r="P66" t="s">
        <v>38</v>
      </c>
      <c r="Q66" t="s">
        <v>62</v>
      </c>
      <c r="R66">
        <v>10096</v>
      </c>
      <c r="S66">
        <v>8202</v>
      </c>
      <c r="T66">
        <v>1</v>
      </c>
      <c r="U66" t="s">
        <v>46</v>
      </c>
      <c r="V66">
        <v>13</v>
      </c>
      <c r="W66" t="s">
        <v>43</v>
      </c>
      <c r="X66" t="s">
        <v>36</v>
      </c>
      <c r="Y66">
        <v>3</v>
      </c>
      <c r="Z66">
        <v>17</v>
      </c>
      <c r="AA66">
        <v>2</v>
      </c>
      <c r="AB66" t="s">
        <v>54</v>
      </c>
      <c r="AC66">
        <v>17</v>
      </c>
      <c r="AD66" t="str" cm="1">
        <f t="array" ref="AD66">_xlfn.IFS(AC66&lt;=5,"0-5",AC66&lt;=10,"5-10",AC66&lt;=40,"10-40")</f>
        <v>10-40</v>
      </c>
      <c r="AE66">
        <v>14</v>
      </c>
      <c r="AF66">
        <v>12</v>
      </c>
      <c r="AG66">
        <v>8</v>
      </c>
      <c r="AH66">
        <v>65</v>
      </c>
    </row>
    <row r="67" spans="1:34" x14ac:dyDescent="0.3">
      <c r="A67">
        <v>55</v>
      </c>
      <c r="B67" t="str" cm="1">
        <f t="array" ref="B67">_xlfn.IFS(A67&lt;=25,"18-25",A67&lt;=35,"26-35",A67&lt;=45,"36-45",A67&lt;=55,"46-55",A67&gt;55,"55+")</f>
        <v>46-55</v>
      </c>
      <c r="C67">
        <v>0</v>
      </c>
      <c r="D67" t="s">
        <v>32</v>
      </c>
      <c r="E67">
        <v>836</v>
      </c>
      <c r="F67" t="s">
        <v>48</v>
      </c>
      <c r="G67">
        <v>8</v>
      </c>
      <c r="H67" t="s">
        <v>61</v>
      </c>
      <c r="I67" t="s">
        <v>59</v>
      </c>
      <c r="J67" t="s">
        <v>41</v>
      </c>
      <c r="K67" t="s">
        <v>37</v>
      </c>
      <c r="L67">
        <v>33</v>
      </c>
      <c r="M67" t="s">
        <v>38</v>
      </c>
      <c r="N67" t="s">
        <v>67</v>
      </c>
      <c r="O67" t="s">
        <v>68</v>
      </c>
      <c r="P67" t="s">
        <v>38</v>
      </c>
      <c r="Q67" t="s">
        <v>62</v>
      </c>
      <c r="R67">
        <v>14756</v>
      </c>
      <c r="S67">
        <v>19730</v>
      </c>
      <c r="T67">
        <v>2</v>
      </c>
      <c r="U67" t="s">
        <v>31</v>
      </c>
      <c r="V67">
        <v>14</v>
      </c>
      <c r="W67" t="s">
        <v>43</v>
      </c>
      <c r="X67" t="s">
        <v>38</v>
      </c>
      <c r="Y67">
        <v>3</v>
      </c>
      <c r="Z67">
        <v>21</v>
      </c>
      <c r="AA67">
        <v>2</v>
      </c>
      <c r="AB67" t="s">
        <v>54</v>
      </c>
      <c r="AC67">
        <v>5</v>
      </c>
      <c r="AD67" t="str" cm="1">
        <f t="array" ref="AD67">_xlfn.IFS(AC67&lt;=5,"0-5",AC67&lt;=10,"5-10",AC67&lt;=40,"10-40")</f>
        <v>0-5</v>
      </c>
      <c r="AE67">
        <v>0</v>
      </c>
      <c r="AF67">
        <v>0</v>
      </c>
      <c r="AG67">
        <v>2</v>
      </c>
      <c r="AH67">
        <v>66</v>
      </c>
    </row>
    <row r="68" spans="1:34" x14ac:dyDescent="0.3">
      <c r="A68">
        <v>36</v>
      </c>
      <c r="B68" t="str" cm="1">
        <f t="array" ref="B68">_xlfn.IFS(A68&lt;=25,"18-25",A68&lt;=35,"26-35",A68&lt;=45,"36-45",A68&lt;=55,"46-55",A68&gt;55,"55+")</f>
        <v>36-45</v>
      </c>
      <c r="C68">
        <v>0</v>
      </c>
      <c r="D68" t="s">
        <v>47</v>
      </c>
      <c r="E68">
        <v>1195</v>
      </c>
      <c r="F68" t="s">
        <v>48</v>
      </c>
      <c r="G68">
        <v>11</v>
      </c>
      <c r="H68" t="s">
        <v>61</v>
      </c>
      <c r="I68" t="s">
        <v>35</v>
      </c>
      <c r="J68" t="s">
        <v>36</v>
      </c>
      <c r="K68" t="s">
        <v>50</v>
      </c>
      <c r="L68">
        <v>95</v>
      </c>
      <c r="M68" t="s">
        <v>36</v>
      </c>
      <c r="N68" t="s">
        <v>39</v>
      </c>
      <c r="O68" t="s">
        <v>64</v>
      </c>
      <c r="P68" t="s">
        <v>36</v>
      </c>
      <c r="Q68" t="s">
        <v>42</v>
      </c>
      <c r="R68">
        <v>6499</v>
      </c>
      <c r="S68">
        <v>22656</v>
      </c>
      <c r="T68">
        <v>1</v>
      </c>
      <c r="U68" t="s">
        <v>46</v>
      </c>
      <c r="V68">
        <v>13</v>
      </c>
      <c r="W68" t="s">
        <v>43</v>
      </c>
      <c r="X68" t="s">
        <v>38</v>
      </c>
      <c r="Y68">
        <v>0</v>
      </c>
      <c r="Z68">
        <v>6</v>
      </c>
      <c r="AA68">
        <v>3</v>
      </c>
      <c r="AB68" t="s">
        <v>54</v>
      </c>
      <c r="AC68">
        <v>6</v>
      </c>
      <c r="AD68" t="str" cm="1">
        <f t="array" ref="AD68">_xlfn.IFS(AC68&lt;=5,"0-5",AC68&lt;=10,"5-10",AC68&lt;=40,"10-40")</f>
        <v>5-10</v>
      </c>
      <c r="AE68">
        <v>5</v>
      </c>
      <c r="AF68">
        <v>0</v>
      </c>
      <c r="AG68">
        <v>3</v>
      </c>
      <c r="AH68">
        <v>67</v>
      </c>
    </row>
    <row r="69" spans="1:34" x14ac:dyDescent="0.3">
      <c r="A69">
        <v>45</v>
      </c>
      <c r="B69" t="str" cm="1">
        <f t="array" ref="B69">_xlfn.IFS(A69&lt;=25,"18-25",A69&lt;=35,"26-35",A69&lt;=45,"36-45",A69&lt;=55,"46-55",A69&gt;55,"55+")</f>
        <v>36-45</v>
      </c>
      <c r="C69">
        <v>0</v>
      </c>
      <c r="D69" t="s">
        <v>32</v>
      </c>
      <c r="E69">
        <v>1339</v>
      </c>
      <c r="F69" t="s">
        <v>48</v>
      </c>
      <c r="G69">
        <v>7</v>
      </c>
      <c r="H69" t="s">
        <v>61</v>
      </c>
      <c r="I69" t="s">
        <v>35</v>
      </c>
      <c r="J69" t="s">
        <v>36</v>
      </c>
      <c r="K69" t="s">
        <v>50</v>
      </c>
      <c r="L69">
        <v>59</v>
      </c>
      <c r="M69" t="s">
        <v>38</v>
      </c>
      <c r="N69" t="s">
        <v>63</v>
      </c>
      <c r="O69" t="s">
        <v>51</v>
      </c>
      <c r="P69" t="s">
        <v>44</v>
      </c>
      <c r="Q69" t="s">
        <v>62</v>
      </c>
      <c r="R69">
        <v>9724</v>
      </c>
      <c r="S69">
        <v>18787</v>
      </c>
      <c r="T69">
        <v>2</v>
      </c>
      <c r="U69" t="s">
        <v>46</v>
      </c>
      <c r="V69">
        <v>17</v>
      </c>
      <c r="W69" t="s">
        <v>43</v>
      </c>
      <c r="X69" t="s">
        <v>38</v>
      </c>
      <c r="Y69">
        <v>1</v>
      </c>
      <c r="Z69">
        <v>25</v>
      </c>
      <c r="AA69">
        <v>2</v>
      </c>
      <c r="AB69" t="s">
        <v>54</v>
      </c>
      <c r="AC69">
        <v>1</v>
      </c>
      <c r="AD69" t="str" cm="1">
        <f t="array" ref="AD69">_xlfn.IFS(AC69&lt;=5,"0-5",AC69&lt;=10,"5-10",AC69&lt;=40,"10-40")</f>
        <v>0-5</v>
      </c>
      <c r="AE69">
        <v>0</v>
      </c>
      <c r="AF69">
        <v>0</v>
      </c>
      <c r="AG69">
        <v>0</v>
      </c>
      <c r="AH69">
        <v>68</v>
      </c>
    </row>
    <row r="70" spans="1:34" x14ac:dyDescent="0.3">
      <c r="A70">
        <v>35</v>
      </c>
      <c r="B70" t="str" cm="1">
        <f t="array" ref="B70">_xlfn.IFS(A70&lt;=25,"18-25",A70&lt;=35,"26-35",A70&lt;=45,"36-45",A70&lt;=55,"46-55",A70&gt;55,"55+")</f>
        <v>26-35</v>
      </c>
      <c r="C70">
        <v>0</v>
      </c>
      <c r="D70" t="s">
        <v>47</v>
      </c>
      <c r="E70">
        <v>664</v>
      </c>
      <c r="F70" t="s">
        <v>48</v>
      </c>
      <c r="G70">
        <v>1</v>
      </c>
      <c r="H70" t="s">
        <v>61</v>
      </c>
      <c r="I70" t="s">
        <v>59</v>
      </c>
      <c r="J70" t="s">
        <v>36</v>
      </c>
      <c r="K70" t="s">
        <v>50</v>
      </c>
      <c r="L70">
        <v>79</v>
      </c>
      <c r="M70" t="s">
        <v>38</v>
      </c>
      <c r="N70" t="s">
        <v>56</v>
      </c>
      <c r="O70" t="s">
        <v>51</v>
      </c>
      <c r="P70" t="s">
        <v>44</v>
      </c>
      <c r="Q70" t="s">
        <v>52</v>
      </c>
      <c r="R70">
        <v>2194</v>
      </c>
      <c r="S70">
        <v>5868</v>
      </c>
      <c r="T70">
        <v>4</v>
      </c>
      <c r="U70" t="s">
        <v>46</v>
      </c>
      <c r="V70">
        <v>13</v>
      </c>
      <c r="W70" t="s">
        <v>43</v>
      </c>
      <c r="X70" t="s">
        <v>41</v>
      </c>
      <c r="Y70">
        <v>1</v>
      </c>
      <c r="Z70">
        <v>5</v>
      </c>
      <c r="AA70">
        <v>2</v>
      </c>
      <c r="AB70" t="s">
        <v>60</v>
      </c>
      <c r="AC70">
        <v>3</v>
      </c>
      <c r="AD70" t="str" cm="1">
        <f t="array" ref="AD70">_xlfn.IFS(AC70&lt;=5,"0-5",AC70&lt;=10,"5-10",AC70&lt;=40,"10-40")</f>
        <v>0-5</v>
      </c>
      <c r="AE70">
        <v>2</v>
      </c>
      <c r="AF70">
        <v>1</v>
      </c>
      <c r="AG70">
        <v>2</v>
      </c>
      <c r="AH70">
        <v>69</v>
      </c>
    </row>
    <row r="71" spans="1:34" x14ac:dyDescent="0.3">
      <c r="A71">
        <v>36</v>
      </c>
      <c r="B71" t="str" cm="1">
        <f t="array" ref="B71">_xlfn.IFS(A71&lt;=25,"18-25",A71&lt;=35,"26-35",A71&lt;=45,"36-45",A71&lt;=55,"46-55",A71&gt;55,"55+")</f>
        <v>36-45</v>
      </c>
      <c r="C71">
        <v>1</v>
      </c>
      <c r="D71" t="s">
        <v>32</v>
      </c>
      <c r="E71">
        <v>318</v>
      </c>
      <c r="F71" t="s">
        <v>48</v>
      </c>
      <c r="G71">
        <v>9</v>
      </c>
      <c r="H71" t="s">
        <v>61</v>
      </c>
      <c r="I71" t="s">
        <v>59</v>
      </c>
      <c r="J71" t="s">
        <v>41</v>
      </c>
      <c r="K71" t="s">
        <v>50</v>
      </c>
      <c r="L71">
        <v>79</v>
      </c>
      <c r="M71" t="s">
        <v>36</v>
      </c>
      <c r="N71" t="s">
        <v>56</v>
      </c>
      <c r="O71" t="s">
        <v>51</v>
      </c>
      <c r="P71" t="s">
        <v>38</v>
      </c>
      <c r="Q71" t="s">
        <v>52</v>
      </c>
      <c r="R71">
        <v>3388</v>
      </c>
      <c r="S71">
        <v>21777</v>
      </c>
      <c r="T71">
        <v>0</v>
      </c>
      <c r="U71" t="s">
        <v>31</v>
      </c>
      <c r="V71">
        <v>17</v>
      </c>
      <c r="W71" t="s">
        <v>43</v>
      </c>
      <c r="X71" t="s">
        <v>44</v>
      </c>
      <c r="Y71">
        <v>1</v>
      </c>
      <c r="Z71">
        <v>2</v>
      </c>
      <c r="AA71">
        <v>0</v>
      </c>
      <c r="AB71" t="s">
        <v>60</v>
      </c>
      <c r="AC71">
        <v>1</v>
      </c>
      <c r="AD71" t="str" cm="1">
        <f t="array" ref="AD71">_xlfn.IFS(AC71&lt;=5,"0-5",AC71&lt;=10,"5-10",AC71&lt;=40,"10-40")</f>
        <v>0-5</v>
      </c>
      <c r="AE71">
        <v>0</v>
      </c>
      <c r="AF71">
        <v>0</v>
      </c>
      <c r="AG71">
        <v>0</v>
      </c>
      <c r="AH71">
        <v>70</v>
      </c>
    </row>
    <row r="72" spans="1:34" x14ac:dyDescent="0.3">
      <c r="A72">
        <v>59</v>
      </c>
      <c r="B72" t="str" cm="1">
        <f t="array" ref="B72">_xlfn.IFS(A72&lt;=25,"18-25",A72&lt;=35,"26-35",A72&lt;=45,"36-45",A72&lt;=55,"46-55",A72&gt;55,"55+")</f>
        <v>55+</v>
      </c>
      <c r="C72">
        <v>0</v>
      </c>
      <c r="D72" t="s">
        <v>47</v>
      </c>
      <c r="E72">
        <v>1225</v>
      </c>
      <c r="F72" t="s">
        <v>33</v>
      </c>
      <c r="G72">
        <v>1</v>
      </c>
      <c r="H72" t="s">
        <v>49</v>
      </c>
      <c r="I72" t="s">
        <v>35</v>
      </c>
      <c r="J72" t="s">
        <v>44</v>
      </c>
      <c r="K72" t="s">
        <v>37</v>
      </c>
      <c r="L72">
        <v>57</v>
      </c>
      <c r="M72" t="s">
        <v>36</v>
      </c>
      <c r="N72" t="s">
        <v>39</v>
      </c>
      <c r="O72" t="s">
        <v>40</v>
      </c>
      <c r="P72" t="s">
        <v>38</v>
      </c>
      <c r="Q72" t="s">
        <v>42</v>
      </c>
      <c r="R72">
        <v>5473</v>
      </c>
      <c r="S72">
        <v>24668</v>
      </c>
      <c r="T72">
        <v>7</v>
      </c>
      <c r="U72" t="s">
        <v>46</v>
      </c>
      <c r="V72">
        <v>11</v>
      </c>
      <c r="W72" t="s">
        <v>43</v>
      </c>
      <c r="X72" t="s">
        <v>41</v>
      </c>
      <c r="Y72">
        <v>0</v>
      </c>
      <c r="Z72">
        <v>20</v>
      </c>
      <c r="AA72">
        <v>2</v>
      </c>
      <c r="AB72" t="s">
        <v>60</v>
      </c>
      <c r="AC72">
        <v>4</v>
      </c>
      <c r="AD72" t="str" cm="1">
        <f t="array" ref="AD72">_xlfn.IFS(AC72&lt;=5,"0-5",AC72&lt;=10,"5-10",AC72&lt;=40,"10-40")</f>
        <v>0-5</v>
      </c>
      <c r="AE72">
        <v>3</v>
      </c>
      <c r="AF72">
        <v>1</v>
      </c>
      <c r="AG72">
        <v>3</v>
      </c>
      <c r="AH72">
        <v>71</v>
      </c>
    </row>
    <row r="73" spans="1:34" x14ac:dyDescent="0.3">
      <c r="A73">
        <v>29</v>
      </c>
      <c r="B73" t="str" cm="1">
        <f t="array" ref="B73">_xlfn.IFS(A73&lt;=25,"18-25",A73&lt;=35,"26-35",A73&lt;=45,"36-45",A73&lt;=55,"46-55",A73&gt;55,"55+")</f>
        <v>26-35</v>
      </c>
      <c r="C73">
        <v>0</v>
      </c>
      <c r="D73" t="s">
        <v>32</v>
      </c>
      <c r="E73">
        <v>1328</v>
      </c>
      <c r="F73" t="s">
        <v>48</v>
      </c>
      <c r="G73">
        <v>2</v>
      </c>
      <c r="H73" t="s">
        <v>61</v>
      </c>
      <c r="I73" t="s">
        <v>35</v>
      </c>
      <c r="J73" t="s">
        <v>38</v>
      </c>
      <c r="K73" t="s">
        <v>50</v>
      </c>
      <c r="L73">
        <v>76</v>
      </c>
      <c r="M73" t="s">
        <v>38</v>
      </c>
      <c r="N73" t="s">
        <v>56</v>
      </c>
      <c r="O73" t="s">
        <v>51</v>
      </c>
      <c r="P73" t="s">
        <v>36</v>
      </c>
      <c r="Q73" t="s">
        <v>52</v>
      </c>
      <c r="R73">
        <v>2703</v>
      </c>
      <c r="S73">
        <v>4956</v>
      </c>
      <c r="T73">
        <v>0</v>
      </c>
      <c r="U73" t="s">
        <v>46</v>
      </c>
      <c r="V73">
        <v>23</v>
      </c>
      <c r="W73" t="s">
        <v>53</v>
      </c>
      <c r="X73" t="s">
        <v>41</v>
      </c>
      <c r="Y73">
        <v>1</v>
      </c>
      <c r="Z73">
        <v>6</v>
      </c>
      <c r="AA73">
        <v>3</v>
      </c>
      <c r="AB73" t="s">
        <v>54</v>
      </c>
      <c r="AC73">
        <v>5</v>
      </c>
      <c r="AD73" t="str" cm="1">
        <f t="array" ref="AD73">_xlfn.IFS(AC73&lt;=5,"0-5",AC73&lt;=10,"5-10",AC73&lt;=40,"10-40")</f>
        <v>0-5</v>
      </c>
      <c r="AE73">
        <v>4</v>
      </c>
      <c r="AF73">
        <v>0</v>
      </c>
      <c r="AG73">
        <v>4</v>
      </c>
      <c r="AH73">
        <v>72</v>
      </c>
    </row>
    <row r="74" spans="1:34" x14ac:dyDescent="0.3">
      <c r="A74">
        <v>31</v>
      </c>
      <c r="B74" t="str" cm="1">
        <f t="array" ref="B74">_xlfn.IFS(A74&lt;=25,"18-25",A74&lt;=35,"26-35",A74&lt;=45,"36-45",A74&lt;=55,"46-55",A74&gt;55,"55+")</f>
        <v>26-35</v>
      </c>
      <c r="C74">
        <v>0</v>
      </c>
      <c r="D74" t="s">
        <v>32</v>
      </c>
      <c r="E74">
        <v>1082</v>
      </c>
      <c r="F74" t="s">
        <v>48</v>
      </c>
      <c r="G74">
        <v>1</v>
      </c>
      <c r="H74" t="s">
        <v>58</v>
      </c>
      <c r="I74" t="s">
        <v>59</v>
      </c>
      <c r="J74" t="s">
        <v>38</v>
      </c>
      <c r="K74" t="s">
        <v>50</v>
      </c>
      <c r="L74">
        <v>87</v>
      </c>
      <c r="M74" t="s">
        <v>38</v>
      </c>
      <c r="N74" t="s">
        <v>56</v>
      </c>
      <c r="O74" t="s">
        <v>51</v>
      </c>
      <c r="P74" t="s">
        <v>36</v>
      </c>
      <c r="Q74" t="s">
        <v>42</v>
      </c>
      <c r="R74">
        <v>2501</v>
      </c>
      <c r="S74">
        <v>18775</v>
      </c>
      <c r="T74">
        <v>1</v>
      </c>
      <c r="U74" t="s">
        <v>46</v>
      </c>
      <c r="V74">
        <v>17</v>
      </c>
      <c r="W74" t="s">
        <v>43</v>
      </c>
      <c r="X74" t="s">
        <v>36</v>
      </c>
      <c r="Y74">
        <v>0</v>
      </c>
      <c r="Z74">
        <v>1</v>
      </c>
      <c r="AA74">
        <v>4</v>
      </c>
      <c r="AB74" t="s">
        <v>54</v>
      </c>
      <c r="AC74">
        <v>1</v>
      </c>
      <c r="AD74" t="str" cm="1">
        <f t="array" ref="AD74">_xlfn.IFS(AC74&lt;=5,"0-5",AC74&lt;=10,"5-10",AC74&lt;=40,"10-40")</f>
        <v>0-5</v>
      </c>
      <c r="AE74">
        <v>1</v>
      </c>
      <c r="AF74">
        <v>1</v>
      </c>
      <c r="AG74">
        <v>0</v>
      </c>
      <c r="AH74">
        <v>73</v>
      </c>
    </row>
    <row r="75" spans="1:34" x14ac:dyDescent="0.3">
      <c r="A75">
        <v>32</v>
      </c>
      <c r="B75" t="str" cm="1">
        <f t="array" ref="B75">_xlfn.IFS(A75&lt;=25,"18-25",A75&lt;=35,"26-35",A75&lt;=45,"36-45",A75&lt;=55,"46-55",A75&gt;55,"55+")</f>
        <v>26-35</v>
      </c>
      <c r="C75">
        <v>0</v>
      </c>
      <c r="D75" t="s">
        <v>32</v>
      </c>
      <c r="E75">
        <v>548</v>
      </c>
      <c r="F75" t="s">
        <v>48</v>
      </c>
      <c r="G75">
        <v>1</v>
      </c>
      <c r="H75" t="s">
        <v>61</v>
      </c>
      <c r="I75" t="s">
        <v>35</v>
      </c>
      <c r="J75" t="s">
        <v>36</v>
      </c>
      <c r="K75" t="s">
        <v>50</v>
      </c>
      <c r="L75">
        <v>66</v>
      </c>
      <c r="M75" t="s">
        <v>38</v>
      </c>
      <c r="N75" t="s">
        <v>39</v>
      </c>
      <c r="O75" t="s">
        <v>51</v>
      </c>
      <c r="P75" t="s">
        <v>36</v>
      </c>
      <c r="Q75" t="s">
        <v>52</v>
      </c>
      <c r="R75">
        <v>6220</v>
      </c>
      <c r="S75">
        <v>7346</v>
      </c>
      <c r="T75">
        <v>1</v>
      </c>
      <c r="U75" t="s">
        <v>46</v>
      </c>
      <c r="V75">
        <v>17</v>
      </c>
      <c r="W75" t="s">
        <v>43</v>
      </c>
      <c r="X75" t="s">
        <v>36</v>
      </c>
      <c r="Y75">
        <v>2</v>
      </c>
      <c r="Z75">
        <v>10</v>
      </c>
      <c r="AA75">
        <v>3</v>
      </c>
      <c r="AB75" t="s">
        <v>54</v>
      </c>
      <c r="AC75">
        <v>10</v>
      </c>
      <c r="AD75" t="str" cm="1">
        <f t="array" ref="AD75">_xlfn.IFS(AC75&lt;=5,"0-5",AC75&lt;=10,"5-10",AC75&lt;=40,"10-40")</f>
        <v>5-10</v>
      </c>
      <c r="AE75">
        <v>4</v>
      </c>
      <c r="AF75">
        <v>0</v>
      </c>
      <c r="AG75">
        <v>9</v>
      </c>
      <c r="AH75">
        <v>74</v>
      </c>
    </row>
    <row r="76" spans="1:34" x14ac:dyDescent="0.3">
      <c r="A76">
        <v>36</v>
      </c>
      <c r="B76" t="str" cm="1">
        <f t="array" ref="B76">_xlfn.IFS(A76&lt;=25,"18-25",A76&lt;=35,"26-35",A76&lt;=45,"36-45",A76&lt;=55,"46-55",A76&gt;55,"55+")</f>
        <v>36-45</v>
      </c>
      <c r="C76">
        <v>0</v>
      </c>
      <c r="D76" t="s">
        <v>32</v>
      </c>
      <c r="E76">
        <v>132</v>
      </c>
      <c r="F76" t="s">
        <v>48</v>
      </c>
      <c r="G76">
        <v>6</v>
      </c>
      <c r="H76" t="s">
        <v>61</v>
      </c>
      <c r="I76" t="s">
        <v>35</v>
      </c>
      <c r="J76" t="s">
        <v>36</v>
      </c>
      <c r="K76" t="s">
        <v>37</v>
      </c>
      <c r="L76">
        <v>55</v>
      </c>
      <c r="M76" t="s">
        <v>41</v>
      </c>
      <c r="N76" t="s">
        <v>56</v>
      </c>
      <c r="O76" t="s">
        <v>57</v>
      </c>
      <c r="P76" t="s">
        <v>41</v>
      </c>
      <c r="Q76" t="s">
        <v>52</v>
      </c>
      <c r="R76">
        <v>3038</v>
      </c>
      <c r="S76">
        <v>22002</v>
      </c>
      <c r="T76">
        <v>3</v>
      </c>
      <c r="U76" t="s">
        <v>46</v>
      </c>
      <c r="V76">
        <v>12</v>
      </c>
      <c r="W76" t="s">
        <v>43</v>
      </c>
      <c r="X76" t="s">
        <v>36</v>
      </c>
      <c r="Y76">
        <v>0</v>
      </c>
      <c r="Z76">
        <v>5</v>
      </c>
      <c r="AA76">
        <v>3</v>
      </c>
      <c r="AB76" t="s">
        <v>54</v>
      </c>
      <c r="AC76">
        <v>1</v>
      </c>
      <c r="AD76" t="str" cm="1">
        <f t="array" ref="AD76">_xlfn.IFS(AC76&lt;=5,"0-5",AC76&lt;=10,"5-10",AC76&lt;=40,"10-40")</f>
        <v>0-5</v>
      </c>
      <c r="AE76">
        <v>0</v>
      </c>
      <c r="AF76">
        <v>0</v>
      </c>
      <c r="AG76">
        <v>0</v>
      </c>
      <c r="AH76">
        <v>75</v>
      </c>
    </row>
    <row r="77" spans="1:34" x14ac:dyDescent="0.3">
      <c r="A77">
        <v>31</v>
      </c>
      <c r="B77" t="str" cm="1">
        <f t="array" ref="B77">_xlfn.IFS(A77&lt;=25,"18-25",A77&lt;=35,"26-35",A77&lt;=45,"36-45",A77&lt;=55,"46-55",A77&gt;55,"55+")</f>
        <v>26-35</v>
      </c>
      <c r="C77">
        <v>0</v>
      </c>
      <c r="D77" t="s">
        <v>32</v>
      </c>
      <c r="E77">
        <v>746</v>
      </c>
      <c r="F77" t="s">
        <v>48</v>
      </c>
      <c r="G77">
        <v>8</v>
      </c>
      <c r="H77" t="s">
        <v>58</v>
      </c>
      <c r="I77" t="s">
        <v>35</v>
      </c>
      <c r="J77" t="s">
        <v>38</v>
      </c>
      <c r="K77" t="s">
        <v>37</v>
      </c>
      <c r="L77">
        <v>61</v>
      </c>
      <c r="M77" t="s">
        <v>38</v>
      </c>
      <c r="N77" t="s">
        <v>39</v>
      </c>
      <c r="O77" t="s">
        <v>64</v>
      </c>
      <c r="P77" t="s">
        <v>41</v>
      </c>
      <c r="Q77" t="s">
        <v>42</v>
      </c>
      <c r="R77">
        <v>4424</v>
      </c>
      <c r="S77">
        <v>20682</v>
      </c>
      <c r="T77">
        <v>1</v>
      </c>
      <c r="U77" t="s">
        <v>46</v>
      </c>
      <c r="V77">
        <v>23</v>
      </c>
      <c r="W77" t="s">
        <v>53</v>
      </c>
      <c r="X77" t="s">
        <v>41</v>
      </c>
      <c r="Y77">
        <v>0</v>
      </c>
      <c r="Z77">
        <v>11</v>
      </c>
      <c r="AA77">
        <v>2</v>
      </c>
      <c r="AB77" t="s">
        <v>54</v>
      </c>
      <c r="AC77">
        <v>11</v>
      </c>
      <c r="AD77" t="str" cm="1">
        <f t="array" ref="AD77">_xlfn.IFS(AC77&lt;=5,"0-5",AC77&lt;=10,"5-10",AC77&lt;=40,"10-40")</f>
        <v>10-40</v>
      </c>
      <c r="AE77">
        <v>7</v>
      </c>
      <c r="AF77">
        <v>1</v>
      </c>
      <c r="AG77">
        <v>8</v>
      </c>
      <c r="AH77">
        <v>76</v>
      </c>
    </row>
    <row r="78" spans="1:34" x14ac:dyDescent="0.3">
      <c r="A78">
        <v>35</v>
      </c>
      <c r="B78" t="str" cm="1">
        <f t="array" ref="B78">_xlfn.IFS(A78&lt;=25,"18-25",A78&lt;=35,"26-35",A78&lt;=45,"36-45",A78&lt;=55,"46-55",A78&gt;55,"55+")</f>
        <v>26-35</v>
      </c>
      <c r="C78">
        <v>0</v>
      </c>
      <c r="D78" t="s">
        <v>32</v>
      </c>
      <c r="E78">
        <v>776</v>
      </c>
      <c r="F78" t="s">
        <v>33</v>
      </c>
      <c r="G78">
        <v>1</v>
      </c>
      <c r="H78" t="s">
        <v>58</v>
      </c>
      <c r="I78" t="s">
        <v>72</v>
      </c>
      <c r="J78" t="s">
        <v>38</v>
      </c>
      <c r="K78" t="s">
        <v>50</v>
      </c>
      <c r="L78">
        <v>32</v>
      </c>
      <c r="M78" t="s">
        <v>36</v>
      </c>
      <c r="N78" t="s">
        <v>39</v>
      </c>
      <c r="O78" t="s">
        <v>40</v>
      </c>
      <c r="P78" t="s">
        <v>44</v>
      </c>
      <c r="Q78" t="s">
        <v>42</v>
      </c>
      <c r="R78">
        <v>4312</v>
      </c>
      <c r="S78">
        <v>23016</v>
      </c>
      <c r="T78">
        <v>0</v>
      </c>
      <c r="U78" t="s">
        <v>46</v>
      </c>
      <c r="V78">
        <v>14</v>
      </c>
      <c r="W78" t="s">
        <v>43</v>
      </c>
      <c r="X78" t="s">
        <v>36</v>
      </c>
      <c r="Y78">
        <v>0</v>
      </c>
      <c r="Z78">
        <v>16</v>
      </c>
      <c r="AA78">
        <v>2</v>
      </c>
      <c r="AB78" t="s">
        <v>54</v>
      </c>
      <c r="AC78">
        <v>15</v>
      </c>
      <c r="AD78" t="str" cm="1">
        <f t="array" ref="AD78">_xlfn.IFS(AC78&lt;=5,"0-5",AC78&lt;=10,"5-10",AC78&lt;=40,"10-40")</f>
        <v>10-40</v>
      </c>
      <c r="AE78">
        <v>13</v>
      </c>
      <c r="AF78">
        <v>2</v>
      </c>
      <c r="AG78">
        <v>8</v>
      </c>
      <c r="AH78">
        <v>77</v>
      </c>
    </row>
    <row r="79" spans="1:34" x14ac:dyDescent="0.3">
      <c r="A79">
        <v>45</v>
      </c>
      <c r="B79" t="str" cm="1">
        <f t="array" ref="B79">_xlfn.IFS(A79&lt;=25,"18-25",A79&lt;=35,"26-35",A79&lt;=45,"36-45",A79&lt;=55,"46-55",A79&gt;55,"55+")</f>
        <v>36-45</v>
      </c>
      <c r="C79">
        <v>0</v>
      </c>
      <c r="D79" t="s">
        <v>32</v>
      </c>
      <c r="E79">
        <v>193</v>
      </c>
      <c r="F79" t="s">
        <v>48</v>
      </c>
      <c r="G79">
        <v>6</v>
      </c>
      <c r="H79" t="s">
        <v>58</v>
      </c>
      <c r="I79" t="s">
        <v>55</v>
      </c>
      <c r="J79" t="s">
        <v>41</v>
      </c>
      <c r="K79" t="s">
        <v>50</v>
      </c>
      <c r="L79">
        <v>52</v>
      </c>
      <c r="M79" t="s">
        <v>38</v>
      </c>
      <c r="N79" t="s">
        <v>63</v>
      </c>
      <c r="O79" t="s">
        <v>70</v>
      </c>
      <c r="P79" t="s">
        <v>44</v>
      </c>
      <c r="Q79" t="s">
        <v>52</v>
      </c>
      <c r="R79">
        <v>13245</v>
      </c>
      <c r="S79">
        <v>15067</v>
      </c>
      <c r="T79">
        <v>4</v>
      </c>
      <c r="U79" t="s">
        <v>31</v>
      </c>
      <c r="V79">
        <v>14</v>
      </c>
      <c r="W79" t="s">
        <v>43</v>
      </c>
      <c r="X79" t="s">
        <v>36</v>
      </c>
      <c r="Y79">
        <v>0</v>
      </c>
      <c r="Z79">
        <v>17</v>
      </c>
      <c r="AA79">
        <v>3</v>
      </c>
      <c r="AB79" t="s">
        <v>73</v>
      </c>
      <c r="AC79">
        <v>0</v>
      </c>
      <c r="AD79" t="str" cm="1">
        <f t="array" ref="AD79">_xlfn.IFS(AC79&lt;=5,"0-5",AC79&lt;=10,"5-10",AC79&lt;=40,"10-40")</f>
        <v>0-5</v>
      </c>
      <c r="AE79">
        <v>0</v>
      </c>
      <c r="AF79">
        <v>0</v>
      </c>
      <c r="AG79">
        <v>0</v>
      </c>
      <c r="AH79">
        <v>78</v>
      </c>
    </row>
    <row r="80" spans="1:34" x14ac:dyDescent="0.3">
      <c r="A80">
        <v>37</v>
      </c>
      <c r="B80" t="str" cm="1">
        <f t="array" ref="B80">_xlfn.IFS(A80&lt;=25,"18-25",A80&lt;=35,"26-35",A80&lt;=45,"36-45",A80&lt;=55,"46-55",A80&gt;55,"55+")</f>
        <v>36-45</v>
      </c>
      <c r="C80">
        <v>0</v>
      </c>
      <c r="D80" t="s">
        <v>32</v>
      </c>
      <c r="E80">
        <v>397</v>
      </c>
      <c r="F80" t="s">
        <v>48</v>
      </c>
      <c r="G80">
        <v>7</v>
      </c>
      <c r="H80" t="s">
        <v>58</v>
      </c>
      <c r="I80" t="s">
        <v>59</v>
      </c>
      <c r="J80" t="s">
        <v>44</v>
      </c>
      <c r="K80" t="s">
        <v>50</v>
      </c>
      <c r="L80">
        <v>30</v>
      </c>
      <c r="M80" t="s">
        <v>38</v>
      </c>
      <c r="N80" t="s">
        <v>63</v>
      </c>
      <c r="O80" t="s">
        <v>70</v>
      </c>
      <c r="P80" t="s">
        <v>38</v>
      </c>
      <c r="Q80" t="s">
        <v>42</v>
      </c>
      <c r="R80">
        <v>13664</v>
      </c>
      <c r="S80">
        <v>25258</v>
      </c>
      <c r="T80">
        <v>4</v>
      </c>
      <c r="U80" t="s">
        <v>46</v>
      </c>
      <c r="V80">
        <v>13</v>
      </c>
      <c r="W80" t="s">
        <v>43</v>
      </c>
      <c r="X80" t="s">
        <v>44</v>
      </c>
      <c r="Y80">
        <v>0</v>
      </c>
      <c r="Z80">
        <v>16</v>
      </c>
      <c r="AA80">
        <v>3</v>
      </c>
      <c r="AB80" t="s">
        <v>73</v>
      </c>
      <c r="AC80">
        <v>5</v>
      </c>
      <c r="AD80" t="str" cm="1">
        <f t="array" ref="AD80">_xlfn.IFS(AC80&lt;=5,"0-5",AC80&lt;=10,"5-10",AC80&lt;=40,"10-40")</f>
        <v>0-5</v>
      </c>
      <c r="AE80">
        <v>2</v>
      </c>
      <c r="AF80">
        <v>0</v>
      </c>
      <c r="AG80">
        <v>2</v>
      </c>
      <c r="AH80">
        <v>79</v>
      </c>
    </row>
    <row r="81" spans="1:34" x14ac:dyDescent="0.3">
      <c r="A81">
        <v>46</v>
      </c>
      <c r="B81" t="str" cm="1">
        <f t="array" ref="B81">_xlfn.IFS(A81&lt;=25,"18-25",A81&lt;=35,"26-35",A81&lt;=45,"36-45",A81&lt;=55,"46-55",A81&gt;55,"55+")</f>
        <v>46-55</v>
      </c>
      <c r="C81">
        <v>0</v>
      </c>
      <c r="D81" t="s">
        <v>32</v>
      </c>
      <c r="E81">
        <v>945</v>
      </c>
      <c r="F81" t="s">
        <v>76</v>
      </c>
      <c r="G81">
        <v>5</v>
      </c>
      <c r="H81" t="s">
        <v>34</v>
      </c>
      <c r="I81" t="s">
        <v>59</v>
      </c>
      <c r="J81" t="s">
        <v>36</v>
      </c>
      <c r="K81" t="s">
        <v>50</v>
      </c>
      <c r="L81">
        <v>80</v>
      </c>
      <c r="M81" t="s">
        <v>38</v>
      </c>
      <c r="N81" t="s">
        <v>39</v>
      </c>
      <c r="O81" t="s">
        <v>76</v>
      </c>
      <c r="P81" t="s">
        <v>36</v>
      </c>
      <c r="Q81" t="s">
        <v>62</v>
      </c>
      <c r="R81">
        <v>5021</v>
      </c>
      <c r="S81">
        <v>10425</v>
      </c>
      <c r="T81">
        <v>8</v>
      </c>
      <c r="U81" t="s">
        <v>31</v>
      </c>
      <c r="V81">
        <v>22</v>
      </c>
      <c r="W81" t="s">
        <v>53</v>
      </c>
      <c r="X81" t="s">
        <v>41</v>
      </c>
      <c r="Y81">
        <v>1</v>
      </c>
      <c r="Z81">
        <v>16</v>
      </c>
      <c r="AA81">
        <v>2</v>
      </c>
      <c r="AB81" t="s">
        <v>54</v>
      </c>
      <c r="AC81">
        <v>4</v>
      </c>
      <c r="AD81" t="str" cm="1">
        <f t="array" ref="AD81">_xlfn.IFS(AC81&lt;=5,"0-5",AC81&lt;=10,"5-10",AC81&lt;=40,"10-40")</f>
        <v>0-5</v>
      </c>
      <c r="AE81">
        <v>2</v>
      </c>
      <c r="AF81">
        <v>0</v>
      </c>
      <c r="AG81">
        <v>2</v>
      </c>
      <c r="AH81">
        <v>80</v>
      </c>
    </row>
    <row r="82" spans="1:34" x14ac:dyDescent="0.3">
      <c r="A82">
        <v>30</v>
      </c>
      <c r="B82" t="str" cm="1">
        <f t="array" ref="B82">_xlfn.IFS(A82&lt;=25,"18-25",A82&lt;=35,"26-35",A82&lt;=45,"36-45",A82&lt;=55,"46-55",A82&gt;55,"55+")</f>
        <v>26-35</v>
      </c>
      <c r="C82">
        <v>0</v>
      </c>
      <c r="D82" t="s">
        <v>32</v>
      </c>
      <c r="E82">
        <v>852</v>
      </c>
      <c r="F82" t="s">
        <v>48</v>
      </c>
      <c r="G82">
        <v>1</v>
      </c>
      <c r="H82" t="s">
        <v>49</v>
      </c>
      <c r="I82" t="s">
        <v>35</v>
      </c>
      <c r="J82" t="s">
        <v>41</v>
      </c>
      <c r="K82" t="s">
        <v>50</v>
      </c>
      <c r="L82">
        <v>55</v>
      </c>
      <c r="M82" t="s">
        <v>36</v>
      </c>
      <c r="N82" t="s">
        <v>39</v>
      </c>
      <c r="O82" t="s">
        <v>57</v>
      </c>
      <c r="P82" t="s">
        <v>41</v>
      </c>
      <c r="Q82" t="s">
        <v>52</v>
      </c>
      <c r="R82">
        <v>5126</v>
      </c>
      <c r="S82">
        <v>15998</v>
      </c>
      <c r="T82">
        <v>1</v>
      </c>
      <c r="U82" t="s">
        <v>31</v>
      </c>
      <c r="V82">
        <v>12</v>
      </c>
      <c r="W82" t="s">
        <v>43</v>
      </c>
      <c r="X82" t="s">
        <v>38</v>
      </c>
      <c r="Y82">
        <v>2</v>
      </c>
      <c r="Z82">
        <v>10</v>
      </c>
      <c r="AA82">
        <v>1</v>
      </c>
      <c r="AB82" t="s">
        <v>60</v>
      </c>
      <c r="AC82">
        <v>10</v>
      </c>
      <c r="AD82" t="str" cm="1">
        <f t="array" ref="AD82">_xlfn.IFS(AC82&lt;=5,"0-5",AC82&lt;=10,"5-10",AC82&lt;=40,"10-40")</f>
        <v>5-10</v>
      </c>
      <c r="AE82">
        <v>8</v>
      </c>
      <c r="AF82">
        <v>3</v>
      </c>
      <c r="AG82">
        <v>0</v>
      </c>
      <c r="AH82">
        <v>81</v>
      </c>
    </row>
    <row r="83" spans="1:34" x14ac:dyDescent="0.3">
      <c r="A83">
        <v>35</v>
      </c>
      <c r="B83" t="str" cm="1">
        <f t="array" ref="B83">_xlfn.IFS(A83&lt;=25,"18-25",A83&lt;=35,"26-35",A83&lt;=45,"36-45",A83&lt;=55,"46-55",A83&gt;55,"55+")</f>
        <v>26-35</v>
      </c>
      <c r="C83">
        <v>0</v>
      </c>
      <c r="D83" t="s">
        <v>32</v>
      </c>
      <c r="E83">
        <v>1214</v>
      </c>
      <c r="F83" t="s">
        <v>48</v>
      </c>
      <c r="G83">
        <v>1</v>
      </c>
      <c r="H83" t="s">
        <v>61</v>
      </c>
      <c r="I83" t="s">
        <v>59</v>
      </c>
      <c r="J83" t="s">
        <v>36</v>
      </c>
      <c r="K83" t="s">
        <v>50</v>
      </c>
      <c r="L83">
        <v>30</v>
      </c>
      <c r="M83" t="s">
        <v>36</v>
      </c>
      <c r="N83" t="s">
        <v>56</v>
      </c>
      <c r="O83" t="s">
        <v>51</v>
      </c>
      <c r="P83" t="s">
        <v>38</v>
      </c>
      <c r="Q83" t="s">
        <v>42</v>
      </c>
      <c r="R83">
        <v>2859</v>
      </c>
      <c r="S83">
        <v>26278</v>
      </c>
      <c r="T83">
        <v>1</v>
      </c>
      <c r="U83" t="s">
        <v>46</v>
      </c>
      <c r="V83">
        <v>18</v>
      </c>
      <c r="W83" t="s">
        <v>43</v>
      </c>
      <c r="X83" t="s">
        <v>44</v>
      </c>
      <c r="Y83">
        <v>0</v>
      </c>
      <c r="Z83">
        <v>6</v>
      </c>
      <c r="AA83">
        <v>3</v>
      </c>
      <c r="AB83" t="s">
        <v>54</v>
      </c>
      <c r="AC83">
        <v>6</v>
      </c>
      <c r="AD83" t="str" cm="1">
        <f t="array" ref="AD83">_xlfn.IFS(AC83&lt;=5,"0-5",AC83&lt;=10,"5-10",AC83&lt;=40,"10-40")</f>
        <v>5-10</v>
      </c>
      <c r="AE83">
        <v>4</v>
      </c>
      <c r="AF83">
        <v>0</v>
      </c>
      <c r="AG83">
        <v>4</v>
      </c>
      <c r="AH83">
        <v>82</v>
      </c>
    </row>
    <row r="84" spans="1:34" x14ac:dyDescent="0.3">
      <c r="A84">
        <v>55</v>
      </c>
      <c r="B84" t="str" cm="1">
        <f t="array" ref="B84">_xlfn.IFS(A84&lt;=25,"18-25",A84&lt;=35,"26-35",A84&lt;=45,"36-45",A84&lt;=55,"46-55",A84&gt;55,"55+")</f>
        <v>46-55</v>
      </c>
      <c r="C84">
        <v>0</v>
      </c>
      <c r="D84" t="s">
        <v>32</v>
      </c>
      <c r="E84">
        <v>111</v>
      </c>
      <c r="F84" t="s">
        <v>33</v>
      </c>
      <c r="G84">
        <v>1</v>
      </c>
      <c r="H84" t="s">
        <v>34</v>
      </c>
      <c r="I84" t="s">
        <v>35</v>
      </c>
      <c r="J84" t="s">
        <v>44</v>
      </c>
      <c r="K84" t="s">
        <v>50</v>
      </c>
      <c r="L84">
        <v>70</v>
      </c>
      <c r="M84" t="s">
        <v>38</v>
      </c>
      <c r="N84" t="s">
        <v>63</v>
      </c>
      <c r="O84" t="s">
        <v>40</v>
      </c>
      <c r="P84" t="s">
        <v>41</v>
      </c>
      <c r="Q84" t="s">
        <v>52</v>
      </c>
      <c r="R84">
        <v>10239</v>
      </c>
      <c r="S84">
        <v>18092</v>
      </c>
      <c r="T84">
        <v>3</v>
      </c>
      <c r="U84" t="s">
        <v>46</v>
      </c>
      <c r="V84">
        <v>14</v>
      </c>
      <c r="W84" t="s">
        <v>43</v>
      </c>
      <c r="X84" t="s">
        <v>41</v>
      </c>
      <c r="Y84">
        <v>1</v>
      </c>
      <c r="Z84">
        <v>24</v>
      </c>
      <c r="AA84">
        <v>4</v>
      </c>
      <c r="AB84" t="s">
        <v>54</v>
      </c>
      <c r="AC84">
        <v>1</v>
      </c>
      <c r="AD84" t="str" cm="1">
        <f t="array" ref="AD84">_xlfn.IFS(AC84&lt;=5,"0-5",AC84&lt;=10,"5-10",AC84&lt;=40,"10-40")</f>
        <v>0-5</v>
      </c>
      <c r="AE84">
        <v>0</v>
      </c>
      <c r="AF84">
        <v>1</v>
      </c>
      <c r="AG84">
        <v>0</v>
      </c>
      <c r="AH84">
        <v>83</v>
      </c>
    </row>
    <row r="85" spans="1:34" x14ac:dyDescent="0.3">
      <c r="A85">
        <v>38</v>
      </c>
      <c r="B85" t="str" cm="1">
        <f t="array" ref="B85">_xlfn.IFS(A85&lt;=25,"18-25",A85&lt;=35,"26-35",A85&lt;=45,"36-45",A85&lt;=55,"46-55",A85&gt;55,"55+")</f>
        <v>36-45</v>
      </c>
      <c r="C85">
        <v>0</v>
      </c>
      <c r="D85" t="s">
        <v>66</v>
      </c>
      <c r="E85">
        <v>573</v>
      </c>
      <c r="F85" t="s">
        <v>48</v>
      </c>
      <c r="G85">
        <v>6</v>
      </c>
      <c r="H85" t="s">
        <v>61</v>
      </c>
      <c r="I85" t="s">
        <v>59</v>
      </c>
      <c r="J85" t="s">
        <v>36</v>
      </c>
      <c r="K85" t="s">
        <v>37</v>
      </c>
      <c r="L85">
        <v>79</v>
      </c>
      <c r="M85" t="s">
        <v>44</v>
      </c>
      <c r="N85" t="s">
        <v>39</v>
      </c>
      <c r="O85" t="s">
        <v>51</v>
      </c>
      <c r="P85" t="s">
        <v>41</v>
      </c>
      <c r="Q85" t="s">
        <v>62</v>
      </c>
      <c r="R85">
        <v>5329</v>
      </c>
      <c r="S85">
        <v>15717</v>
      </c>
      <c r="T85">
        <v>7</v>
      </c>
      <c r="U85" t="s">
        <v>31</v>
      </c>
      <c r="V85">
        <v>12</v>
      </c>
      <c r="W85" t="s">
        <v>43</v>
      </c>
      <c r="X85" t="s">
        <v>41</v>
      </c>
      <c r="Y85">
        <v>3</v>
      </c>
      <c r="Z85">
        <v>17</v>
      </c>
      <c r="AA85">
        <v>3</v>
      </c>
      <c r="AB85" t="s">
        <v>54</v>
      </c>
      <c r="AC85">
        <v>13</v>
      </c>
      <c r="AD85" t="str" cm="1">
        <f t="array" ref="AD85">_xlfn.IFS(AC85&lt;=5,"0-5",AC85&lt;=10,"5-10",AC85&lt;=40,"10-40")</f>
        <v>10-40</v>
      </c>
      <c r="AE85">
        <v>11</v>
      </c>
      <c r="AF85">
        <v>1</v>
      </c>
      <c r="AG85">
        <v>9</v>
      </c>
      <c r="AH85">
        <v>84</v>
      </c>
    </row>
    <row r="86" spans="1:34" x14ac:dyDescent="0.3">
      <c r="A86">
        <v>34</v>
      </c>
      <c r="B86" t="str" cm="1">
        <f t="array" ref="B86">_xlfn.IFS(A86&lt;=25,"18-25",A86&lt;=35,"26-35",A86&lt;=45,"36-45",A86&lt;=55,"46-55",A86&gt;55,"55+")</f>
        <v>26-35</v>
      </c>
      <c r="C86">
        <v>0</v>
      </c>
      <c r="D86" t="s">
        <v>32</v>
      </c>
      <c r="E86">
        <v>1153</v>
      </c>
      <c r="F86" t="s">
        <v>48</v>
      </c>
      <c r="G86">
        <v>1</v>
      </c>
      <c r="H86" t="s">
        <v>34</v>
      </c>
      <c r="I86" t="s">
        <v>59</v>
      </c>
      <c r="J86" t="s">
        <v>44</v>
      </c>
      <c r="K86" t="s">
        <v>50</v>
      </c>
      <c r="L86">
        <v>94</v>
      </c>
      <c r="M86" t="s">
        <v>38</v>
      </c>
      <c r="N86" t="s">
        <v>39</v>
      </c>
      <c r="O86" t="s">
        <v>64</v>
      </c>
      <c r="P86" t="s">
        <v>36</v>
      </c>
      <c r="Q86" t="s">
        <v>52</v>
      </c>
      <c r="R86">
        <v>4325</v>
      </c>
      <c r="S86">
        <v>17736</v>
      </c>
      <c r="T86">
        <v>1</v>
      </c>
      <c r="U86" t="s">
        <v>46</v>
      </c>
      <c r="V86">
        <v>15</v>
      </c>
      <c r="W86" t="s">
        <v>43</v>
      </c>
      <c r="X86" t="s">
        <v>38</v>
      </c>
      <c r="Y86">
        <v>0</v>
      </c>
      <c r="Z86">
        <v>5</v>
      </c>
      <c r="AA86">
        <v>2</v>
      </c>
      <c r="AB86" t="s">
        <v>54</v>
      </c>
      <c r="AC86">
        <v>5</v>
      </c>
      <c r="AD86" t="str" cm="1">
        <f t="array" ref="AD86">_xlfn.IFS(AC86&lt;=5,"0-5",AC86&lt;=10,"5-10",AC86&lt;=40,"10-40")</f>
        <v>0-5</v>
      </c>
      <c r="AE86">
        <v>2</v>
      </c>
      <c r="AF86">
        <v>1</v>
      </c>
      <c r="AG86">
        <v>3</v>
      </c>
      <c r="AH86">
        <v>85</v>
      </c>
    </row>
    <row r="87" spans="1:34" x14ac:dyDescent="0.3">
      <c r="A87">
        <v>56</v>
      </c>
      <c r="B87" t="str" cm="1">
        <f t="array" ref="B87">_xlfn.IFS(A87&lt;=25,"18-25",A87&lt;=35,"26-35",A87&lt;=45,"36-45",A87&lt;=55,"46-55",A87&gt;55,"55+")</f>
        <v>55+</v>
      </c>
      <c r="C87">
        <v>0</v>
      </c>
      <c r="D87" t="s">
        <v>32</v>
      </c>
      <c r="E87">
        <v>1400</v>
      </c>
      <c r="F87" t="s">
        <v>48</v>
      </c>
      <c r="G87">
        <v>7</v>
      </c>
      <c r="H87" t="s">
        <v>61</v>
      </c>
      <c r="I87" t="s">
        <v>35</v>
      </c>
      <c r="J87" t="s">
        <v>41</v>
      </c>
      <c r="K87" t="s">
        <v>50</v>
      </c>
      <c r="L87">
        <v>49</v>
      </c>
      <c r="M87" t="s">
        <v>44</v>
      </c>
      <c r="N87" t="s">
        <v>63</v>
      </c>
      <c r="O87" t="s">
        <v>64</v>
      </c>
      <c r="P87" t="s">
        <v>41</v>
      </c>
      <c r="Q87" t="s">
        <v>42</v>
      </c>
      <c r="R87">
        <v>7260</v>
      </c>
      <c r="S87">
        <v>21698</v>
      </c>
      <c r="T87">
        <v>4</v>
      </c>
      <c r="U87" t="s">
        <v>46</v>
      </c>
      <c r="V87">
        <v>11</v>
      </c>
      <c r="W87" t="s">
        <v>43</v>
      </c>
      <c r="X87" t="s">
        <v>44</v>
      </c>
      <c r="Y87">
        <v>0</v>
      </c>
      <c r="Z87">
        <v>37</v>
      </c>
      <c r="AA87">
        <v>3</v>
      </c>
      <c r="AB87" t="s">
        <v>60</v>
      </c>
      <c r="AC87">
        <v>6</v>
      </c>
      <c r="AD87" t="str" cm="1">
        <f t="array" ref="AD87">_xlfn.IFS(AC87&lt;=5,"0-5",AC87&lt;=10,"5-10",AC87&lt;=40,"10-40")</f>
        <v>5-10</v>
      </c>
      <c r="AE87">
        <v>4</v>
      </c>
      <c r="AF87">
        <v>0</v>
      </c>
      <c r="AG87">
        <v>2</v>
      </c>
      <c r="AH87">
        <v>86</v>
      </c>
    </row>
    <row r="88" spans="1:34" x14ac:dyDescent="0.3">
      <c r="A88">
        <v>23</v>
      </c>
      <c r="B88" t="str" cm="1">
        <f t="array" ref="B88">_xlfn.IFS(A88&lt;=25,"18-25",A88&lt;=35,"26-35",A88&lt;=45,"36-45",A88&lt;=55,"46-55",A88&gt;55,"55+")</f>
        <v>18-25</v>
      </c>
      <c r="C88">
        <v>0</v>
      </c>
      <c r="D88" t="s">
        <v>32</v>
      </c>
      <c r="E88">
        <v>541</v>
      </c>
      <c r="F88" t="s">
        <v>33</v>
      </c>
      <c r="G88">
        <v>2</v>
      </c>
      <c r="H88" t="s">
        <v>49</v>
      </c>
      <c r="I88" t="s">
        <v>74</v>
      </c>
      <c r="J88" t="s">
        <v>38</v>
      </c>
      <c r="K88" t="s">
        <v>50</v>
      </c>
      <c r="L88">
        <v>62</v>
      </c>
      <c r="M88" t="s">
        <v>38</v>
      </c>
      <c r="N88" t="s">
        <v>56</v>
      </c>
      <c r="O88" t="s">
        <v>69</v>
      </c>
      <c r="P88" t="s">
        <v>44</v>
      </c>
      <c r="Q88" t="s">
        <v>62</v>
      </c>
      <c r="R88">
        <v>2322</v>
      </c>
      <c r="S88">
        <v>9518</v>
      </c>
      <c r="T88">
        <v>3</v>
      </c>
      <c r="U88" t="s">
        <v>46</v>
      </c>
      <c r="V88">
        <v>13</v>
      </c>
      <c r="W88" t="s">
        <v>43</v>
      </c>
      <c r="X88" t="s">
        <v>38</v>
      </c>
      <c r="Y88">
        <v>1</v>
      </c>
      <c r="Z88">
        <v>3</v>
      </c>
      <c r="AA88">
        <v>3</v>
      </c>
      <c r="AB88" t="s">
        <v>54</v>
      </c>
      <c r="AC88">
        <v>0</v>
      </c>
      <c r="AD88" t="str" cm="1">
        <f t="array" ref="AD88">_xlfn.IFS(AC88&lt;=5,"0-5",AC88&lt;=10,"5-10",AC88&lt;=40,"10-40")</f>
        <v>0-5</v>
      </c>
      <c r="AE88">
        <v>0</v>
      </c>
      <c r="AF88">
        <v>0</v>
      </c>
      <c r="AG88">
        <v>0</v>
      </c>
      <c r="AH88">
        <v>87</v>
      </c>
    </row>
    <row r="89" spans="1:34" x14ac:dyDescent="0.3">
      <c r="A89">
        <v>51</v>
      </c>
      <c r="B89" t="str" cm="1">
        <f t="array" ref="B89">_xlfn.IFS(A89&lt;=25,"18-25",A89&lt;=35,"26-35",A89&lt;=45,"36-45",A89&lt;=55,"46-55",A89&gt;55,"55+")</f>
        <v>46-55</v>
      </c>
      <c r="C89">
        <v>0</v>
      </c>
      <c r="D89" t="s">
        <v>32</v>
      </c>
      <c r="E89">
        <v>432</v>
      </c>
      <c r="F89" t="s">
        <v>48</v>
      </c>
      <c r="G89">
        <v>9</v>
      </c>
      <c r="H89" t="s">
        <v>58</v>
      </c>
      <c r="I89" t="s">
        <v>35</v>
      </c>
      <c r="J89" t="s">
        <v>41</v>
      </c>
      <c r="K89" t="s">
        <v>50</v>
      </c>
      <c r="L89">
        <v>96</v>
      </c>
      <c r="M89" t="s">
        <v>38</v>
      </c>
      <c r="N89" t="s">
        <v>56</v>
      </c>
      <c r="O89" t="s">
        <v>57</v>
      </c>
      <c r="P89" t="s">
        <v>41</v>
      </c>
      <c r="Q89" t="s">
        <v>52</v>
      </c>
      <c r="R89">
        <v>2075</v>
      </c>
      <c r="S89">
        <v>18725</v>
      </c>
      <c r="T89">
        <v>3</v>
      </c>
      <c r="U89" t="s">
        <v>46</v>
      </c>
      <c r="V89">
        <v>23</v>
      </c>
      <c r="W89" t="s">
        <v>53</v>
      </c>
      <c r="X89" t="s">
        <v>36</v>
      </c>
      <c r="Y89">
        <v>2</v>
      </c>
      <c r="Z89">
        <v>10</v>
      </c>
      <c r="AA89">
        <v>4</v>
      </c>
      <c r="AB89" t="s">
        <v>54</v>
      </c>
      <c r="AC89">
        <v>4</v>
      </c>
      <c r="AD89" t="str" cm="1">
        <f t="array" ref="AD89">_xlfn.IFS(AC89&lt;=5,"0-5",AC89&lt;=10,"5-10",AC89&lt;=40,"10-40")</f>
        <v>0-5</v>
      </c>
      <c r="AE89">
        <v>2</v>
      </c>
      <c r="AF89">
        <v>0</v>
      </c>
      <c r="AG89">
        <v>3</v>
      </c>
      <c r="AH89">
        <v>88</v>
      </c>
    </row>
    <row r="90" spans="1:34" x14ac:dyDescent="0.3">
      <c r="A90">
        <v>30</v>
      </c>
      <c r="B90" t="str" cm="1">
        <f t="array" ref="B90">_xlfn.IFS(A90&lt;=25,"18-25",A90&lt;=35,"26-35",A90&lt;=45,"36-45",A90&lt;=55,"46-55",A90&gt;55,"55+")</f>
        <v>26-35</v>
      </c>
      <c r="C90">
        <v>0</v>
      </c>
      <c r="D90" t="s">
        <v>32</v>
      </c>
      <c r="E90">
        <v>288</v>
      </c>
      <c r="F90" t="s">
        <v>48</v>
      </c>
      <c r="G90">
        <v>2</v>
      </c>
      <c r="H90" t="s">
        <v>61</v>
      </c>
      <c r="I90" t="s">
        <v>35</v>
      </c>
      <c r="J90" t="s">
        <v>38</v>
      </c>
      <c r="K90" t="s">
        <v>50</v>
      </c>
      <c r="L90">
        <v>99</v>
      </c>
      <c r="M90" t="s">
        <v>36</v>
      </c>
      <c r="N90" t="s">
        <v>39</v>
      </c>
      <c r="O90" t="s">
        <v>65</v>
      </c>
      <c r="P90" t="s">
        <v>41</v>
      </c>
      <c r="Q90" t="s">
        <v>52</v>
      </c>
      <c r="R90">
        <v>4152</v>
      </c>
      <c r="S90">
        <v>15830</v>
      </c>
      <c r="T90">
        <v>1</v>
      </c>
      <c r="U90" t="s">
        <v>46</v>
      </c>
      <c r="V90">
        <v>19</v>
      </c>
      <c r="W90" t="s">
        <v>43</v>
      </c>
      <c r="X90" t="s">
        <v>44</v>
      </c>
      <c r="Y90">
        <v>3</v>
      </c>
      <c r="Z90">
        <v>11</v>
      </c>
      <c r="AA90">
        <v>3</v>
      </c>
      <c r="AB90" t="s">
        <v>54</v>
      </c>
      <c r="AC90">
        <v>11</v>
      </c>
      <c r="AD90" t="str" cm="1">
        <f t="array" ref="AD90">_xlfn.IFS(AC90&lt;=5,"0-5",AC90&lt;=10,"5-10",AC90&lt;=40,"10-40")</f>
        <v>10-40</v>
      </c>
      <c r="AE90">
        <v>10</v>
      </c>
      <c r="AF90">
        <v>10</v>
      </c>
      <c r="AG90">
        <v>8</v>
      </c>
      <c r="AH90">
        <v>89</v>
      </c>
    </row>
    <row r="91" spans="1:34" x14ac:dyDescent="0.3">
      <c r="A91">
        <v>46</v>
      </c>
      <c r="B91" t="str" cm="1">
        <f t="array" ref="B91">_xlfn.IFS(A91&lt;=25,"18-25",A91&lt;=35,"26-35",A91&lt;=45,"36-45",A91&lt;=55,"46-55",A91&gt;55,"55+")</f>
        <v>46-55</v>
      </c>
      <c r="C91">
        <v>1</v>
      </c>
      <c r="D91" t="s">
        <v>32</v>
      </c>
      <c r="E91">
        <v>669</v>
      </c>
      <c r="F91" t="s">
        <v>33</v>
      </c>
      <c r="G91">
        <v>9</v>
      </c>
      <c r="H91" t="s">
        <v>34</v>
      </c>
      <c r="I91" t="s">
        <v>59</v>
      </c>
      <c r="J91" t="s">
        <v>38</v>
      </c>
      <c r="K91" t="s">
        <v>50</v>
      </c>
      <c r="L91">
        <v>64</v>
      </c>
      <c r="M91" t="s">
        <v>36</v>
      </c>
      <c r="N91" t="s">
        <v>63</v>
      </c>
      <c r="O91" t="s">
        <v>40</v>
      </c>
      <c r="P91" t="s">
        <v>41</v>
      </c>
      <c r="Q91" t="s">
        <v>42</v>
      </c>
      <c r="R91">
        <v>9619</v>
      </c>
      <c r="S91">
        <v>13596</v>
      </c>
      <c r="T91">
        <v>1</v>
      </c>
      <c r="U91" t="s">
        <v>46</v>
      </c>
      <c r="V91">
        <v>16</v>
      </c>
      <c r="W91" t="s">
        <v>43</v>
      </c>
      <c r="X91" t="s">
        <v>41</v>
      </c>
      <c r="Y91">
        <v>0</v>
      </c>
      <c r="Z91">
        <v>9</v>
      </c>
      <c r="AA91">
        <v>3</v>
      </c>
      <c r="AB91" t="s">
        <v>54</v>
      </c>
      <c r="AC91">
        <v>9</v>
      </c>
      <c r="AD91" t="str" cm="1">
        <f t="array" ref="AD91">_xlfn.IFS(AC91&lt;=5,"0-5",AC91&lt;=10,"5-10",AC91&lt;=40,"10-40")</f>
        <v>5-10</v>
      </c>
      <c r="AE91">
        <v>8</v>
      </c>
      <c r="AF91">
        <v>4</v>
      </c>
      <c r="AG91">
        <v>7</v>
      </c>
      <c r="AH91">
        <v>90</v>
      </c>
    </row>
    <row r="92" spans="1:34" x14ac:dyDescent="0.3">
      <c r="A92">
        <v>40</v>
      </c>
      <c r="B92" t="str" cm="1">
        <f t="array" ref="B92">_xlfn.IFS(A92&lt;=25,"18-25",A92&lt;=35,"26-35",A92&lt;=45,"36-45",A92&lt;=55,"46-55",A92&gt;55,"55+")</f>
        <v>36-45</v>
      </c>
      <c r="C92">
        <v>0</v>
      </c>
      <c r="D92" t="s">
        <v>47</v>
      </c>
      <c r="E92">
        <v>530</v>
      </c>
      <c r="F92" t="s">
        <v>48</v>
      </c>
      <c r="G92">
        <v>1</v>
      </c>
      <c r="H92" t="s">
        <v>58</v>
      </c>
      <c r="I92" t="s">
        <v>35</v>
      </c>
      <c r="J92" t="s">
        <v>38</v>
      </c>
      <c r="K92" t="s">
        <v>50</v>
      </c>
      <c r="L92">
        <v>78</v>
      </c>
      <c r="M92" t="s">
        <v>36</v>
      </c>
      <c r="N92" t="s">
        <v>67</v>
      </c>
      <c r="O92" t="s">
        <v>65</v>
      </c>
      <c r="P92" t="s">
        <v>36</v>
      </c>
      <c r="Q92" t="s">
        <v>52</v>
      </c>
      <c r="R92">
        <v>13503</v>
      </c>
      <c r="S92">
        <v>14115</v>
      </c>
      <c r="T92">
        <v>1</v>
      </c>
      <c r="U92" t="s">
        <v>46</v>
      </c>
      <c r="V92">
        <v>22</v>
      </c>
      <c r="W92" t="s">
        <v>53</v>
      </c>
      <c r="X92" t="s">
        <v>41</v>
      </c>
      <c r="Y92">
        <v>1</v>
      </c>
      <c r="Z92">
        <v>22</v>
      </c>
      <c r="AA92">
        <v>3</v>
      </c>
      <c r="AB92" t="s">
        <v>60</v>
      </c>
      <c r="AC92">
        <v>22</v>
      </c>
      <c r="AD92" t="str" cm="1">
        <f t="array" ref="AD92">_xlfn.IFS(AC92&lt;=5,"0-5",AC92&lt;=10,"5-10",AC92&lt;=40,"10-40")</f>
        <v>10-40</v>
      </c>
      <c r="AE92">
        <v>3</v>
      </c>
      <c r="AF92">
        <v>11</v>
      </c>
      <c r="AG92">
        <v>11</v>
      </c>
      <c r="AH92">
        <v>91</v>
      </c>
    </row>
    <row r="93" spans="1:34" x14ac:dyDescent="0.3">
      <c r="A93">
        <v>51</v>
      </c>
      <c r="B93" t="str" cm="1">
        <f t="array" ref="B93">_xlfn.IFS(A93&lt;=25,"18-25",A93&lt;=35,"26-35",A93&lt;=45,"36-45",A93&lt;=55,"46-55",A93&gt;55,"55+")</f>
        <v>46-55</v>
      </c>
      <c r="C93">
        <v>0</v>
      </c>
      <c r="D93" t="s">
        <v>32</v>
      </c>
      <c r="E93">
        <v>632</v>
      </c>
      <c r="F93" t="s">
        <v>33</v>
      </c>
      <c r="G93">
        <v>21</v>
      </c>
      <c r="H93" t="s">
        <v>58</v>
      </c>
      <c r="I93" t="s">
        <v>72</v>
      </c>
      <c r="J93" t="s">
        <v>38</v>
      </c>
      <c r="K93" t="s">
        <v>50</v>
      </c>
      <c r="L93">
        <v>71</v>
      </c>
      <c r="M93" t="s">
        <v>38</v>
      </c>
      <c r="N93" t="s">
        <v>39</v>
      </c>
      <c r="O93" t="s">
        <v>40</v>
      </c>
      <c r="P93" t="s">
        <v>41</v>
      </c>
      <c r="Q93" t="s">
        <v>42</v>
      </c>
      <c r="R93">
        <v>5441</v>
      </c>
      <c r="S93">
        <v>8423</v>
      </c>
      <c r="T93">
        <v>0</v>
      </c>
      <c r="U93" t="s">
        <v>31</v>
      </c>
      <c r="V93">
        <v>22</v>
      </c>
      <c r="W93" t="s">
        <v>53</v>
      </c>
      <c r="X93" t="s">
        <v>41</v>
      </c>
      <c r="Y93">
        <v>0</v>
      </c>
      <c r="Z93">
        <v>11</v>
      </c>
      <c r="AA93">
        <v>2</v>
      </c>
      <c r="AB93" t="s">
        <v>45</v>
      </c>
      <c r="AC93">
        <v>10</v>
      </c>
      <c r="AD93" t="str" cm="1">
        <f t="array" ref="AD93">_xlfn.IFS(AC93&lt;=5,"0-5",AC93&lt;=10,"5-10",AC93&lt;=40,"10-40")</f>
        <v>5-10</v>
      </c>
      <c r="AE93">
        <v>7</v>
      </c>
      <c r="AF93">
        <v>1</v>
      </c>
      <c r="AG93">
        <v>0</v>
      </c>
      <c r="AH93">
        <v>92</v>
      </c>
    </row>
    <row r="94" spans="1:34" x14ac:dyDescent="0.3">
      <c r="A94">
        <v>30</v>
      </c>
      <c r="B94" t="str" cm="1">
        <f t="array" ref="B94">_xlfn.IFS(A94&lt;=25,"18-25",A94&lt;=35,"26-35",A94&lt;=45,"36-45",A94&lt;=55,"46-55",A94&gt;55,"55+")</f>
        <v>26-35</v>
      </c>
      <c r="C94">
        <v>0</v>
      </c>
      <c r="D94" t="s">
        <v>32</v>
      </c>
      <c r="E94">
        <v>1334</v>
      </c>
      <c r="F94" t="s">
        <v>33</v>
      </c>
      <c r="G94">
        <v>4</v>
      </c>
      <c r="H94" t="s">
        <v>34</v>
      </c>
      <c r="I94" t="s">
        <v>59</v>
      </c>
      <c r="J94" t="s">
        <v>38</v>
      </c>
      <c r="K94" t="s">
        <v>37</v>
      </c>
      <c r="L94">
        <v>63</v>
      </c>
      <c r="M94" t="s">
        <v>36</v>
      </c>
      <c r="N94" t="s">
        <v>39</v>
      </c>
      <c r="O94" t="s">
        <v>40</v>
      </c>
      <c r="P94" t="s">
        <v>36</v>
      </c>
      <c r="Q94" t="s">
        <v>62</v>
      </c>
      <c r="R94">
        <v>5209</v>
      </c>
      <c r="S94">
        <v>19760</v>
      </c>
      <c r="T94">
        <v>1</v>
      </c>
      <c r="U94" t="s">
        <v>31</v>
      </c>
      <c r="V94">
        <v>12</v>
      </c>
      <c r="W94" t="s">
        <v>43</v>
      </c>
      <c r="X94" t="s">
        <v>36</v>
      </c>
      <c r="Y94">
        <v>3</v>
      </c>
      <c r="Z94">
        <v>11</v>
      </c>
      <c r="AA94">
        <v>4</v>
      </c>
      <c r="AB94" t="s">
        <v>60</v>
      </c>
      <c r="AC94">
        <v>11</v>
      </c>
      <c r="AD94" t="str" cm="1">
        <f t="array" ref="AD94">_xlfn.IFS(AC94&lt;=5,"0-5",AC94&lt;=10,"5-10",AC94&lt;=40,"10-40")</f>
        <v>10-40</v>
      </c>
      <c r="AE94">
        <v>8</v>
      </c>
      <c r="AF94">
        <v>2</v>
      </c>
      <c r="AG94">
        <v>7</v>
      </c>
      <c r="AH94">
        <v>93</v>
      </c>
    </row>
    <row r="95" spans="1:34" x14ac:dyDescent="0.3">
      <c r="A95">
        <v>46</v>
      </c>
      <c r="B95" t="str" cm="1">
        <f t="array" ref="B95">_xlfn.IFS(A95&lt;=25,"18-25",A95&lt;=35,"26-35",A95&lt;=45,"36-45",A95&lt;=55,"46-55",A95&gt;55,"55+")</f>
        <v>46-55</v>
      </c>
      <c r="C95">
        <v>0</v>
      </c>
      <c r="D95" t="s">
        <v>47</v>
      </c>
      <c r="E95">
        <v>638</v>
      </c>
      <c r="F95" t="s">
        <v>48</v>
      </c>
      <c r="G95">
        <v>1</v>
      </c>
      <c r="H95" t="s">
        <v>61</v>
      </c>
      <c r="I95" t="s">
        <v>59</v>
      </c>
      <c r="J95" t="s">
        <v>38</v>
      </c>
      <c r="K95" t="s">
        <v>50</v>
      </c>
      <c r="L95">
        <v>40</v>
      </c>
      <c r="M95" t="s">
        <v>36</v>
      </c>
      <c r="N95" t="s">
        <v>63</v>
      </c>
      <c r="O95" t="s">
        <v>65</v>
      </c>
      <c r="P95" t="s">
        <v>44</v>
      </c>
      <c r="Q95" t="s">
        <v>52</v>
      </c>
      <c r="R95">
        <v>10673</v>
      </c>
      <c r="S95">
        <v>3142</v>
      </c>
      <c r="T95">
        <v>2</v>
      </c>
      <c r="U95" t="s">
        <v>31</v>
      </c>
      <c r="V95">
        <v>13</v>
      </c>
      <c r="W95" t="s">
        <v>43</v>
      </c>
      <c r="X95" t="s">
        <v>38</v>
      </c>
      <c r="Y95">
        <v>1</v>
      </c>
      <c r="Z95">
        <v>21</v>
      </c>
      <c r="AA95">
        <v>5</v>
      </c>
      <c r="AB95" t="s">
        <v>60</v>
      </c>
      <c r="AC95">
        <v>10</v>
      </c>
      <c r="AD95" t="str" cm="1">
        <f t="array" ref="AD95">_xlfn.IFS(AC95&lt;=5,"0-5",AC95&lt;=10,"5-10",AC95&lt;=40,"10-40")</f>
        <v>5-10</v>
      </c>
      <c r="AE95">
        <v>9</v>
      </c>
      <c r="AF95">
        <v>9</v>
      </c>
      <c r="AG95">
        <v>5</v>
      </c>
      <c r="AH95">
        <v>94</v>
      </c>
    </row>
    <row r="96" spans="1:34" x14ac:dyDescent="0.3">
      <c r="A96">
        <v>32</v>
      </c>
      <c r="B96" t="str" cm="1">
        <f t="array" ref="B96">_xlfn.IFS(A96&lt;=25,"18-25",A96&lt;=35,"26-35",A96&lt;=45,"36-45",A96&lt;=55,"46-55",A96&gt;55,"55+")</f>
        <v>26-35</v>
      </c>
      <c r="C96">
        <v>0</v>
      </c>
      <c r="D96" t="s">
        <v>32</v>
      </c>
      <c r="E96">
        <v>1093</v>
      </c>
      <c r="F96" t="s">
        <v>33</v>
      </c>
      <c r="G96">
        <v>6</v>
      </c>
      <c r="H96" t="s">
        <v>58</v>
      </c>
      <c r="I96" t="s">
        <v>59</v>
      </c>
      <c r="J96" t="s">
        <v>36</v>
      </c>
      <c r="K96" t="s">
        <v>50</v>
      </c>
      <c r="L96">
        <v>87</v>
      </c>
      <c r="M96" t="s">
        <v>38</v>
      </c>
      <c r="N96" t="s">
        <v>39</v>
      </c>
      <c r="O96" t="s">
        <v>40</v>
      </c>
      <c r="P96" t="s">
        <v>38</v>
      </c>
      <c r="Q96" t="s">
        <v>42</v>
      </c>
      <c r="R96">
        <v>5010</v>
      </c>
      <c r="S96">
        <v>24301</v>
      </c>
      <c r="T96">
        <v>1</v>
      </c>
      <c r="U96" t="s">
        <v>46</v>
      </c>
      <c r="V96">
        <v>16</v>
      </c>
      <c r="W96" t="s">
        <v>43</v>
      </c>
      <c r="X96" t="s">
        <v>44</v>
      </c>
      <c r="Y96">
        <v>0</v>
      </c>
      <c r="Z96">
        <v>12</v>
      </c>
      <c r="AA96">
        <v>0</v>
      </c>
      <c r="AB96" t="s">
        <v>54</v>
      </c>
      <c r="AC96">
        <v>11</v>
      </c>
      <c r="AD96" t="str" cm="1">
        <f t="array" ref="AD96">_xlfn.IFS(AC96&lt;=5,"0-5",AC96&lt;=10,"5-10",AC96&lt;=40,"10-40")</f>
        <v>10-40</v>
      </c>
      <c r="AE96">
        <v>8</v>
      </c>
      <c r="AF96">
        <v>5</v>
      </c>
      <c r="AG96">
        <v>7</v>
      </c>
      <c r="AH96">
        <v>95</v>
      </c>
    </row>
    <row r="97" spans="1:34" x14ac:dyDescent="0.3">
      <c r="A97">
        <v>54</v>
      </c>
      <c r="B97" t="str" cm="1">
        <f t="array" ref="B97">_xlfn.IFS(A97&lt;=25,"18-25",A97&lt;=35,"26-35",A97&lt;=45,"36-45",A97&lt;=55,"46-55",A97&gt;55,"55+")</f>
        <v>46-55</v>
      </c>
      <c r="C97">
        <v>0</v>
      </c>
      <c r="D97" t="s">
        <v>32</v>
      </c>
      <c r="E97">
        <v>1217</v>
      </c>
      <c r="F97" t="s">
        <v>48</v>
      </c>
      <c r="G97">
        <v>2</v>
      </c>
      <c r="H97" t="s">
        <v>58</v>
      </c>
      <c r="I97" t="s">
        <v>74</v>
      </c>
      <c r="J97" t="s">
        <v>44</v>
      </c>
      <c r="K97" t="s">
        <v>37</v>
      </c>
      <c r="L97">
        <v>60</v>
      </c>
      <c r="M97" t="s">
        <v>38</v>
      </c>
      <c r="N97" t="s">
        <v>63</v>
      </c>
      <c r="O97" t="s">
        <v>70</v>
      </c>
      <c r="P97" t="s">
        <v>38</v>
      </c>
      <c r="Q97" t="s">
        <v>52</v>
      </c>
      <c r="R97">
        <v>13549</v>
      </c>
      <c r="S97">
        <v>24001</v>
      </c>
      <c r="T97">
        <v>9</v>
      </c>
      <c r="U97" t="s">
        <v>46</v>
      </c>
      <c r="V97">
        <v>12</v>
      </c>
      <c r="W97" t="s">
        <v>43</v>
      </c>
      <c r="X97" t="s">
        <v>44</v>
      </c>
      <c r="Y97">
        <v>1</v>
      </c>
      <c r="Z97">
        <v>16</v>
      </c>
      <c r="AA97">
        <v>5</v>
      </c>
      <c r="AB97" t="s">
        <v>45</v>
      </c>
      <c r="AC97">
        <v>4</v>
      </c>
      <c r="AD97" t="str" cm="1">
        <f t="array" ref="AD97">_xlfn.IFS(AC97&lt;=5,"0-5",AC97&lt;=10,"5-10",AC97&lt;=40,"10-40")</f>
        <v>0-5</v>
      </c>
      <c r="AE97">
        <v>3</v>
      </c>
      <c r="AF97">
        <v>0</v>
      </c>
      <c r="AG97">
        <v>3</v>
      </c>
      <c r="AH97">
        <v>96</v>
      </c>
    </row>
    <row r="98" spans="1:34" x14ac:dyDescent="0.3">
      <c r="A98">
        <v>24</v>
      </c>
      <c r="B98" t="str" cm="1">
        <f t="array" ref="B98">_xlfn.IFS(A98&lt;=25,"18-25",A98&lt;=35,"26-35",A98&lt;=45,"36-45",A98&lt;=55,"46-55",A98&gt;55,"55+")</f>
        <v>18-25</v>
      </c>
      <c r="C98">
        <v>0</v>
      </c>
      <c r="D98" t="s">
        <v>32</v>
      </c>
      <c r="E98">
        <v>1353</v>
      </c>
      <c r="F98" t="s">
        <v>33</v>
      </c>
      <c r="G98">
        <v>3</v>
      </c>
      <c r="H98" t="s">
        <v>34</v>
      </c>
      <c r="I98" t="s">
        <v>55</v>
      </c>
      <c r="J98" t="s">
        <v>44</v>
      </c>
      <c r="K98" t="s">
        <v>37</v>
      </c>
      <c r="L98">
        <v>33</v>
      </c>
      <c r="M98" t="s">
        <v>38</v>
      </c>
      <c r="N98" t="s">
        <v>39</v>
      </c>
      <c r="O98" t="s">
        <v>40</v>
      </c>
      <c r="P98" t="s">
        <v>38</v>
      </c>
      <c r="Q98" t="s">
        <v>52</v>
      </c>
      <c r="R98">
        <v>4999</v>
      </c>
      <c r="S98">
        <v>17519</v>
      </c>
      <c r="T98">
        <v>0</v>
      </c>
      <c r="U98" t="s">
        <v>46</v>
      </c>
      <c r="V98">
        <v>21</v>
      </c>
      <c r="W98" t="s">
        <v>53</v>
      </c>
      <c r="X98" t="s">
        <v>44</v>
      </c>
      <c r="Y98">
        <v>1</v>
      </c>
      <c r="Z98">
        <v>4</v>
      </c>
      <c r="AA98">
        <v>2</v>
      </c>
      <c r="AB98" t="s">
        <v>60</v>
      </c>
      <c r="AC98">
        <v>3</v>
      </c>
      <c r="AD98" t="str" cm="1">
        <f t="array" ref="AD98">_xlfn.IFS(AC98&lt;=5,"0-5",AC98&lt;=10,"5-10",AC98&lt;=40,"10-40")</f>
        <v>0-5</v>
      </c>
      <c r="AE98">
        <v>2</v>
      </c>
      <c r="AF98">
        <v>0</v>
      </c>
      <c r="AG98">
        <v>2</v>
      </c>
      <c r="AH98">
        <v>97</v>
      </c>
    </row>
    <row r="99" spans="1:34" x14ac:dyDescent="0.3">
      <c r="A99">
        <v>28</v>
      </c>
      <c r="B99" t="str" cm="1">
        <f t="array" ref="B99">_xlfn.IFS(A99&lt;=25,"18-25",A99&lt;=35,"26-35",A99&lt;=45,"36-45",A99&lt;=55,"46-55",A99&gt;55,"55+")</f>
        <v>26-35</v>
      </c>
      <c r="C99">
        <v>0</v>
      </c>
      <c r="D99" t="s">
        <v>66</v>
      </c>
      <c r="E99">
        <v>120</v>
      </c>
      <c r="F99" t="s">
        <v>33</v>
      </c>
      <c r="G99">
        <v>4</v>
      </c>
      <c r="H99" t="s">
        <v>61</v>
      </c>
      <c r="I99" t="s">
        <v>59</v>
      </c>
      <c r="J99" t="s">
        <v>36</v>
      </c>
      <c r="K99" t="s">
        <v>50</v>
      </c>
      <c r="L99">
        <v>43</v>
      </c>
      <c r="M99" t="s">
        <v>38</v>
      </c>
      <c r="N99" t="s">
        <v>39</v>
      </c>
      <c r="O99" t="s">
        <v>40</v>
      </c>
      <c r="P99" t="s">
        <v>38</v>
      </c>
      <c r="Q99" t="s">
        <v>52</v>
      </c>
      <c r="R99">
        <v>4221</v>
      </c>
      <c r="S99">
        <v>8863</v>
      </c>
      <c r="T99">
        <v>1</v>
      </c>
      <c r="U99" t="s">
        <v>46</v>
      </c>
      <c r="V99">
        <v>15</v>
      </c>
      <c r="W99" t="s">
        <v>43</v>
      </c>
      <c r="X99" t="s">
        <v>36</v>
      </c>
      <c r="Y99">
        <v>0</v>
      </c>
      <c r="Z99">
        <v>5</v>
      </c>
      <c r="AA99">
        <v>3</v>
      </c>
      <c r="AB99" t="s">
        <v>73</v>
      </c>
      <c r="AC99">
        <v>5</v>
      </c>
      <c r="AD99" t="str" cm="1">
        <f t="array" ref="AD99">_xlfn.IFS(AC99&lt;=5,"0-5",AC99&lt;=10,"5-10",AC99&lt;=40,"10-40")</f>
        <v>0-5</v>
      </c>
      <c r="AE99">
        <v>4</v>
      </c>
      <c r="AF99">
        <v>0</v>
      </c>
      <c r="AG99">
        <v>4</v>
      </c>
      <c r="AH99">
        <v>98</v>
      </c>
    </row>
    <row r="100" spans="1:34" x14ac:dyDescent="0.3">
      <c r="A100">
        <v>58</v>
      </c>
      <c r="B100" t="str" cm="1">
        <f t="array" ref="B100">_xlfn.IFS(A100&lt;=25,"18-25",A100&lt;=35,"26-35",A100&lt;=45,"36-45",A100&lt;=55,"46-55",A100&gt;55,"55+")</f>
        <v>55+</v>
      </c>
      <c r="C100">
        <v>0</v>
      </c>
      <c r="D100" t="s">
        <v>32</v>
      </c>
      <c r="E100">
        <v>682</v>
      </c>
      <c r="F100" t="s">
        <v>33</v>
      </c>
      <c r="G100">
        <v>10</v>
      </c>
      <c r="H100" t="s">
        <v>58</v>
      </c>
      <c r="I100" t="s">
        <v>59</v>
      </c>
      <c r="J100" t="s">
        <v>41</v>
      </c>
      <c r="K100" t="s">
        <v>50</v>
      </c>
      <c r="L100">
        <v>37</v>
      </c>
      <c r="M100" t="s">
        <v>38</v>
      </c>
      <c r="N100" t="s">
        <v>67</v>
      </c>
      <c r="O100" t="s">
        <v>40</v>
      </c>
      <c r="P100" t="s">
        <v>38</v>
      </c>
      <c r="Q100" t="s">
        <v>42</v>
      </c>
      <c r="R100">
        <v>13872</v>
      </c>
      <c r="S100">
        <v>24409</v>
      </c>
      <c r="T100">
        <v>0</v>
      </c>
      <c r="U100" t="s">
        <v>46</v>
      </c>
      <c r="V100">
        <v>13</v>
      </c>
      <c r="W100" t="s">
        <v>43</v>
      </c>
      <c r="X100" t="s">
        <v>38</v>
      </c>
      <c r="Y100">
        <v>0</v>
      </c>
      <c r="Z100">
        <v>38</v>
      </c>
      <c r="AA100">
        <v>1</v>
      </c>
      <c r="AB100" t="s">
        <v>60</v>
      </c>
      <c r="AC100">
        <v>37</v>
      </c>
      <c r="AD100" t="str" cm="1">
        <f t="array" ref="AD100">_xlfn.IFS(AC100&lt;=5,"0-5",AC100&lt;=10,"5-10",AC100&lt;=40,"10-40")</f>
        <v>10-40</v>
      </c>
      <c r="AE100">
        <v>10</v>
      </c>
      <c r="AF100">
        <v>1</v>
      </c>
      <c r="AG100">
        <v>8</v>
      </c>
      <c r="AH100">
        <v>99</v>
      </c>
    </row>
    <row r="101" spans="1:34" x14ac:dyDescent="0.3">
      <c r="A101">
        <v>44</v>
      </c>
      <c r="B101" t="str" cm="1">
        <f t="array" ref="B101">_xlfn.IFS(A101&lt;=25,"18-25",A101&lt;=35,"26-35",A101&lt;=45,"36-45",A101&lt;=55,"46-55",A101&gt;55,"55+")</f>
        <v>36-45</v>
      </c>
      <c r="C101">
        <v>0</v>
      </c>
      <c r="D101" t="s">
        <v>66</v>
      </c>
      <c r="E101">
        <v>489</v>
      </c>
      <c r="F101" t="s">
        <v>48</v>
      </c>
      <c r="G101">
        <v>23</v>
      </c>
      <c r="H101" t="s">
        <v>61</v>
      </c>
      <c r="I101" t="s">
        <v>59</v>
      </c>
      <c r="J101" t="s">
        <v>36</v>
      </c>
      <c r="K101" t="s">
        <v>50</v>
      </c>
      <c r="L101">
        <v>67</v>
      </c>
      <c r="M101" t="s">
        <v>38</v>
      </c>
      <c r="N101" t="s">
        <v>39</v>
      </c>
      <c r="O101" t="s">
        <v>57</v>
      </c>
      <c r="P101" t="s">
        <v>36</v>
      </c>
      <c r="Q101" t="s">
        <v>52</v>
      </c>
      <c r="R101">
        <v>2042</v>
      </c>
      <c r="S101">
        <v>25043</v>
      </c>
      <c r="T101">
        <v>4</v>
      </c>
      <c r="U101" t="s">
        <v>46</v>
      </c>
      <c r="V101">
        <v>12</v>
      </c>
      <c r="W101" t="s">
        <v>43</v>
      </c>
      <c r="X101" t="s">
        <v>38</v>
      </c>
      <c r="Y101">
        <v>1</v>
      </c>
      <c r="Z101">
        <v>17</v>
      </c>
      <c r="AA101">
        <v>3</v>
      </c>
      <c r="AB101" t="s">
        <v>73</v>
      </c>
      <c r="AC101">
        <v>3</v>
      </c>
      <c r="AD101" t="str" cm="1">
        <f t="array" ref="AD101">_xlfn.IFS(AC101&lt;=5,"0-5",AC101&lt;=10,"5-10",AC101&lt;=40,"10-40")</f>
        <v>0-5</v>
      </c>
      <c r="AE101">
        <v>2</v>
      </c>
      <c r="AF101">
        <v>1</v>
      </c>
      <c r="AG101">
        <v>2</v>
      </c>
      <c r="AH101">
        <v>100</v>
      </c>
    </row>
    <row r="102" spans="1:34" x14ac:dyDescent="0.3">
      <c r="A102">
        <v>37</v>
      </c>
      <c r="B102" t="str" cm="1">
        <f t="array" ref="B102">_xlfn.IFS(A102&lt;=25,"18-25",A102&lt;=35,"26-35",A102&lt;=45,"36-45",A102&lt;=55,"46-55",A102&gt;55,"55+")</f>
        <v>36-45</v>
      </c>
      <c r="C102">
        <v>1</v>
      </c>
      <c r="D102" t="s">
        <v>32</v>
      </c>
      <c r="E102">
        <v>807</v>
      </c>
      <c r="F102" t="s">
        <v>76</v>
      </c>
      <c r="G102">
        <v>6</v>
      </c>
      <c r="H102" t="s">
        <v>58</v>
      </c>
      <c r="I102" t="s">
        <v>76</v>
      </c>
      <c r="J102" t="s">
        <v>38</v>
      </c>
      <c r="K102" t="s">
        <v>50</v>
      </c>
      <c r="L102">
        <v>63</v>
      </c>
      <c r="M102" t="s">
        <v>38</v>
      </c>
      <c r="N102" t="s">
        <v>56</v>
      </c>
      <c r="O102" t="s">
        <v>76</v>
      </c>
      <c r="P102" t="s">
        <v>44</v>
      </c>
      <c r="Q102" t="s">
        <v>62</v>
      </c>
      <c r="R102">
        <v>2073</v>
      </c>
      <c r="S102">
        <v>23648</v>
      </c>
      <c r="T102">
        <v>4</v>
      </c>
      <c r="U102" t="s">
        <v>31</v>
      </c>
      <c r="V102">
        <v>22</v>
      </c>
      <c r="W102" t="s">
        <v>53</v>
      </c>
      <c r="X102" t="s">
        <v>41</v>
      </c>
      <c r="Y102">
        <v>0</v>
      </c>
      <c r="Z102">
        <v>7</v>
      </c>
      <c r="AA102">
        <v>3</v>
      </c>
      <c r="AB102" t="s">
        <v>54</v>
      </c>
      <c r="AC102">
        <v>3</v>
      </c>
      <c r="AD102" t="str" cm="1">
        <f t="array" ref="AD102">_xlfn.IFS(AC102&lt;=5,"0-5",AC102&lt;=10,"5-10",AC102&lt;=40,"10-40")</f>
        <v>0-5</v>
      </c>
      <c r="AE102">
        <v>2</v>
      </c>
      <c r="AF102">
        <v>0</v>
      </c>
      <c r="AG102">
        <v>2</v>
      </c>
      <c r="AH102">
        <v>101</v>
      </c>
    </row>
    <row r="103" spans="1:34" x14ac:dyDescent="0.3">
      <c r="A103">
        <v>32</v>
      </c>
      <c r="B103" t="str" cm="1">
        <f t="array" ref="B103">_xlfn.IFS(A103&lt;=25,"18-25",A103&lt;=35,"26-35",A103&lt;=45,"36-45",A103&lt;=55,"46-55",A103&gt;55,"55+")</f>
        <v>26-35</v>
      </c>
      <c r="C103">
        <v>0</v>
      </c>
      <c r="D103" t="s">
        <v>32</v>
      </c>
      <c r="E103">
        <v>827</v>
      </c>
      <c r="F103" t="s">
        <v>48</v>
      </c>
      <c r="G103">
        <v>1</v>
      </c>
      <c r="H103" t="s">
        <v>49</v>
      </c>
      <c r="I103" t="s">
        <v>35</v>
      </c>
      <c r="J103" t="s">
        <v>41</v>
      </c>
      <c r="K103" t="s">
        <v>50</v>
      </c>
      <c r="L103">
        <v>71</v>
      </c>
      <c r="M103" t="s">
        <v>38</v>
      </c>
      <c r="N103" t="s">
        <v>56</v>
      </c>
      <c r="O103" t="s">
        <v>51</v>
      </c>
      <c r="P103" t="s">
        <v>44</v>
      </c>
      <c r="Q103" t="s">
        <v>42</v>
      </c>
      <c r="R103">
        <v>2956</v>
      </c>
      <c r="S103">
        <v>15178</v>
      </c>
      <c r="T103">
        <v>1</v>
      </c>
      <c r="U103" t="s">
        <v>46</v>
      </c>
      <c r="V103">
        <v>13</v>
      </c>
      <c r="W103" t="s">
        <v>43</v>
      </c>
      <c r="X103" t="s">
        <v>41</v>
      </c>
      <c r="Y103">
        <v>0</v>
      </c>
      <c r="Z103">
        <v>1</v>
      </c>
      <c r="AA103">
        <v>2</v>
      </c>
      <c r="AB103" t="s">
        <v>54</v>
      </c>
      <c r="AC103">
        <v>1</v>
      </c>
      <c r="AD103" t="str" cm="1">
        <f t="array" ref="AD103">_xlfn.IFS(AC103&lt;=5,"0-5",AC103&lt;=10,"5-10",AC103&lt;=40,"10-40")</f>
        <v>0-5</v>
      </c>
      <c r="AE103">
        <v>0</v>
      </c>
      <c r="AF103">
        <v>0</v>
      </c>
      <c r="AG103">
        <v>0</v>
      </c>
      <c r="AH103">
        <v>102</v>
      </c>
    </row>
    <row r="104" spans="1:34" x14ac:dyDescent="0.3">
      <c r="A104">
        <v>20</v>
      </c>
      <c r="B104" t="str" cm="1">
        <f t="array" ref="B104">_xlfn.IFS(A104&lt;=25,"18-25",A104&lt;=35,"26-35",A104&lt;=45,"36-45",A104&lt;=55,"46-55",A104&gt;55,"55+")</f>
        <v>18-25</v>
      </c>
      <c r="C104">
        <v>1</v>
      </c>
      <c r="D104" t="s">
        <v>47</v>
      </c>
      <c r="E104">
        <v>871</v>
      </c>
      <c r="F104" t="s">
        <v>48</v>
      </c>
      <c r="G104">
        <v>6</v>
      </c>
      <c r="H104" t="s">
        <v>61</v>
      </c>
      <c r="I104" t="s">
        <v>35</v>
      </c>
      <c r="J104" t="s">
        <v>41</v>
      </c>
      <c r="K104" t="s">
        <v>37</v>
      </c>
      <c r="L104">
        <v>66</v>
      </c>
      <c r="M104" t="s">
        <v>36</v>
      </c>
      <c r="N104" t="s">
        <v>56</v>
      </c>
      <c r="O104" t="s">
        <v>57</v>
      </c>
      <c r="P104" t="s">
        <v>41</v>
      </c>
      <c r="Q104" t="s">
        <v>42</v>
      </c>
      <c r="R104">
        <v>2926</v>
      </c>
      <c r="S104">
        <v>19783</v>
      </c>
      <c r="T104">
        <v>1</v>
      </c>
      <c r="U104" t="s">
        <v>31</v>
      </c>
      <c r="V104">
        <v>18</v>
      </c>
      <c r="W104" t="s">
        <v>43</v>
      </c>
      <c r="X104" t="s">
        <v>36</v>
      </c>
      <c r="Y104">
        <v>0</v>
      </c>
      <c r="Z104">
        <v>1</v>
      </c>
      <c r="AA104">
        <v>5</v>
      </c>
      <c r="AB104" t="s">
        <v>54</v>
      </c>
      <c r="AC104">
        <v>1</v>
      </c>
      <c r="AD104" t="str" cm="1">
        <f t="array" ref="AD104">_xlfn.IFS(AC104&lt;=5,"0-5",AC104&lt;=10,"5-10",AC104&lt;=40,"10-40")</f>
        <v>0-5</v>
      </c>
      <c r="AE104">
        <v>0</v>
      </c>
      <c r="AF104">
        <v>1</v>
      </c>
      <c r="AG104">
        <v>0</v>
      </c>
      <c r="AH104">
        <v>103</v>
      </c>
    </row>
    <row r="105" spans="1:34" x14ac:dyDescent="0.3">
      <c r="A105">
        <v>34</v>
      </c>
      <c r="B105" t="str" cm="1">
        <f t="array" ref="B105">_xlfn.IFS(A105&lt;=25,"18-25",A105&lt;=35,"26-35",A105&lt;=45,"36-45",A105&lt;=55,"46-55",A105&gt;55,"55+")</f>
        <v>26-35</v>
      </c>
      <c r="C105">
        <v>0</v>
      </c>
      <c r="D105" t="s">
        <v>32</v>
      </c>
      <c r="E105">
        <v>665</v>
      </c>
      <c r="F105" t="s">
        <v>48</v>
      </c>
      <c r="G105">
        <v>6</v>
      </c>
      <c r="H105" t="s">
        <v>58</v>
      </c>
      <c r="I105" t="s">
        <v>55</v>
      </c>
      <c r="J105" t="s">
        <v>44</v>
      </c>
      <c r="K105" t="s">
        <v>37</v>
      </c>
      <c r="L105">
        <v>41</v>
      </c>
      <c r="M105" t="s">
        <v>38</v>
      </c>
      <c r="N105" t="s">
        <v>39</v>
      </c>
      <c r="O105" t="s">
        <v>51</v>
      </c>
      <c r="P105" t="s">
        <v>38</v>
      </c>
      <c r="Q105" t="s">
        <v>42</v>
      </c>
      <c r="R105">
        <v>4809</v>
      </c>
      <c r="S105">
        <v>12482</v>
      </c>
      <c r="T105">
        <v>1</v>
      </c>
      <c r="U105" t="s">
        <v>46</v>
      </c>
      <c r="V105">
        <v>14</v>
      </c>
      <c r="W105" t="s">
        <v>43</v>
      </c>
      <c r="X105" t="s">
        <v>38</v>
      </c>
      <c r="Y105">
        <v>0</v>
      </c>
      <c r="Z105">
        <v>16</v>
      </c>
      <c r="AA105">
        <v>3</v>
      </c>
      <c r="AB105" t="s">
        <v>54</v>
      </c>
      <c r="AC105">
        <v>16</v>
      </c>
      <c r="AD105" t="str" cm="1">
        <f t="array" ref="AD105">_xlfn.IFS(AC105&lt;=5,"0-5",AC105&lt;=10,"5-10",AC105&lt;=40,"10-40")</f>
        <v>10-40</v>
      </c>
      <c r="AE105">
        <v>13</v>
      </c>
      <c r="AF105">
        <v>2</v>
      </c>
      <c r="AG105">
        <v>10</v>
      </c>
      <c r="AH105">
        <v>104</v>
      </c>
    </row>
    <row r="106" spans="1:34" x14ac:dyDescent="0.3">
      <c r="A106">
        <v>37</v>
      </c>
      <c r="B106" t="str" cm="1">
        <f t="array" ref="B106">_xlfn.IFS(A106&lt;=25,"18-25",A106&lt;=35,"26-35",A106&lt;=45,"36-45",A106&lt;=55,"46-55",A106&gt;55,"55+")</f>
        <v>36-45</v>
      </c>
      <c r="C106">
        <v>0</v>
      </c>
      <c r="D106" t="s">
        <v>66</v>
      </c>
      <c r="E106">
        <v>1040</v>
      </c>
      <c r="F106" t="s">
        <v>48</v>
      </c>
      <c r="G106">
        <v>2</v>
      </c>
      <c r="H106" t="s">
        <v>34</v>
      </c>
      <c r="I106" t="s">
        <v>35</v>
      </c>
      <c r="J106" t="s">
        <v>38</v>
      </c>
      <c r="K106" t="s">
        <v>50</v>
      </c>
      <c r="L106">
        <v>100</v>
      </c>
      <c r="M106" t="s">
        <v>36</v>
      </c>
      <c r="N106" t="s">
        <v>39</v>
      </c>
      <c r="O106" t="s">
        <v>65</v>
      </c>
      <c r="P106" t="s">
        <v>41</v>
      </c>
      <c r="Q106" t="s">
        <v>62</v>
      </c>
      <c r="R106">
        <v>5163</v>
      </c>
      <c r="S106">
        <v>15850</v>
      </c>
      <c r="T106">
        <v>5</v>
      </c>
      <c r="U106" t="s">
        <v>46</v>
      </c>
      <c r="V106">
        <v>14</v>
      </c>
      <c r="W106" t="s">
        <v>43</v>
      </c>
      <c r="X106" t="s">
        <v>41</v>
      </c>
      <c r="Y106">
        <v>1</v>
      </c>
      <c r="Z106">
        <v>17</v>
      </c>
      <c r="AA106">
        <v>2</v>
      </c>
      <c r="AB106" t="s">
        <v>73</v>
      </c>
      <c r="AC106">
        <v>1</v>
      </c>
      <c r="AD106" t="str" cm="1">
        <f t="array" ref="AD106">_xlfn.IFS(AC106&lt;=5,"0-5",AC106&lt;=10,"5-10",AC106&lt;=40,"10-40")</f>
        <v>0-5</v>
      </c>
      <c r="AE106">
        <v>0</v>
      </c>
      <c r="AF106">
        <v>0</v>
      </c>
      <c r="AG106">
        <v>0</v>
      </c>
      <c r="AH106">
        <v>105</v>
      </c>
    </row>
    <row r="107" spans="1:34" x14ac:dyDescent="0.3">
      <c r="A107">
        <v>59</v>
      </c>
      <c r="B107" t="str" cm="1">
        <f t="array" ref="B107">_xlfn.IFS(A107&lt;=25,"18-25",A107&lt;=35,"26-35",A107&lt;=45,"36-45",A107&lt;=55,"46-55",A107&gt;55,"55+")</f>
        <v>55+</v>
      </c>
      <c r="C107">
        <v>0</v>
      </c>
      <c r="D107" t="s">
        <v>66</v>
      </c>
      <c r="E107">
        <v>1420</v>
      </c>
      <c r="F107" t="s">
        <v>76</v>
      </c>
      <c r="G107">
        <v>2</v>
      </c>
      <c r="H107" t="s">
        <v>58</v>
      </c>
      <c r="I107" t="s">
        <v>76</v>
      </c>
      <c r="J107" t="s">
        <v>38</v>
      </c>
      <c r="K107" t="s">
        <v>37</v>
      </c>
      <c r="L107">
        <v>32</v>
      </c>
      <c r="M107" t="s">
        <v>36</v>
      </c>
      <c r="N107" t="s">
        <v>71</v>
      </c>
      <c r="O107" t="s">
        <v>68</v>
      </c>
      <c r="P107" t="s">
        <v>41</v>
      </c>
      <c r="Q107" t="s">
        <v>52</v>
      </c>
      <c r="R107">
        <v>18844</v>
      </c>
      <c r="S107">
        <v>21922</v>
      </c>
      <c r="T107">
        <v>9</v>
      </c>
      <c r="U107" t="s">
        <v>46</v>
      </c>
      <c r="V107">
        <v>21</v>
      </c>
      <c r="W107" t="s">
        <v>53</v>
      </c>
      <c r="X107" t="s">
        <v>41</v>
      </c>
      <c r="Y107">
        <v>1</v>
      </c>
      <c r="Z107">
        <v>30</v>
      </c>
      <c r="AA107">
        <v>3</v>
      </c>
      <c r="AB107" t="s">
        <v>54</v>
      </c>
      <c r="AC107">
        <v>3</v>
      </c>
      <c r="AD107" t="str" cm="1">
        <f t="array" ref="AD107">_xlfn.IFS(AC107&lt;=5,"0-5",AC107&lt;=10,"5-10",AC107&lt;=40,"10-40")</f>
        <v>0-5</v>
      </c>
      <c r="AE107">
        <v>2</v>
      </c>
      <c r="AF107">
        <v>2</v>
      </c>
      <c r="AG107">
        <v>2</v>
      </c>
      <c r="AH107">
        <v>106</v>
      </c>
    </row>
    <row r="108" spans="1:34" x14ac:dyDescent="0.3">
      <c r="A108">
        <v>50</v>
      </c>
      <c r="B108" t="str" cm="1">
        <f t="array" ref="B108">_xlfn.IFS(A108&lt;=25,"18-25",A108&lt;=35,"26-35",A108&lt;=45,"36-45",A108&lt;=55,"46-55",A108&gt;55,"55+")</f>
        <v>46-55</v>
      </c>
      <c r="C108">
        <v>0</v>
      </c>
      <c r="D108" t="s">
        <v>47</v>
      </c>
      <c r="E108">
        <v>1115</v>
      </c>
      <c r="F108" t="s">
        <v>48</v>
      </c>
      <c r="G108">
        <v>1</v>
      </c>
      <c r="H108" t="s">
        <v>61</v>
      </c>
      <c r="I108" t="s">
        <v>35</v>
      </c>
      <c r="J108" t="s">
        <v>44</v>
      </c>
      <c r="K108" t="s">
        <v>37</v>
      </c>
      <c r="L108">
        <v>73</v>
      </c>
      <c r="M108" t="s">
        <v>38</v>
      </c>
      <c r="N108" t="s">
        <v>71</v>
      </c>
      <c r="O108" t="s">
        <v>70</v>
      </c>
      <c r="P108" t="s">
        <v>36</v>
      </c>
      <c r="Q108" t="s">
        <v>52</v>
      </c>
      <c r="R108">
        <v>18172</v>
      </c>
      <c r="S108">
        <v>9755</v>
      </c>
      <c r="T108">
        <v>3</v>
      </c>
      <c r="U108" t="s">
        <v>31</v>
      </c>
      <c r="V108">
        <v>19</v>
      </c>
      <c r="W108" t="s">
        <v>43</v>
      </c>
      <c r="X108" t="s">
        <v>44</v>
      </c>
      <c r="Y108">
        <v>0</v>
      </c>
      <c r="Z108">
        <v>28</v>
      </c>
      <c r="AA108">
        <v>1</v>
      </c>
      <c r="AB108" t="s">
        <v>60</v>
      </c>
      <c r="AC108">
        <v>8</v>
      </c>
      <c r="AD108" t="str" cm="1">
        <f t="array" ref="AD108">_xlfn.IFS(AC108&lt;=5,"0-5",AC108&lt;=10,"5-10",AC108&lt;=40,"10-40")</f>
        <v>5-10</v>
      </c>
      <c r="AE108">
        <v>3</v>
      </c>
      <c r="AF108">
        <v>0</v>
      </c>
      <c r="AG108">
        <v>7</v>
      </c>
      <c r="AH108">
        <v>107</v>
      </c>
    </row>
    <row r="109" spans="1:34" x14ac:dyDescent="0.3">
      <c r="A109">
        <v>25</v>
      </c>
      <c r="B109" t="str" cm="1">
        <f t="array" ref="B109">_xlfn.IFS(A109&lt;=25,"18-25",A109&lt;=35,"26-35",A109&lt;=45,"36-45",A109&lt;=55,"46-55",A109&gt;55,"55+")</f>
        <v>18-25</v>
      </c>
      <c r="C109">
        <v>1</v>
      </c>
      <c r="D109" t="s">
        <v>32</v>
      </c>
      <c r="E109">
        <v>240</v>
      </c>
      <c r="F109" t="s">
        <v>33</v>
      </c>
      <c r="G109">
        <v>5</v>
      </c>
      <c r="H109" t="s">
        <v>61</v>
      </c>
      <c r="I109" t="s">
        <v>72</v>
      </c>
      <c r="J109" t="s">
        <v>38</v>
      </c>
      <c r="K109" t="s">
        <v>50</v>
      </c>
      <c r="L109">
        <v>46</v>
      </c>
      <c r="M109" t="s">
        <v>36</v>
      </c>
      <c r="N109" t="s">
        <v>39</v>
      </c>
      <c r="O109" t="s">
        <v>40</v>
      </c>
      <c r="P109" t="s">
        <v>38</v>
      </c>
      <c r="Q109" t="s">
        <v>42</v>
      </c>
      <c r="R109">
        <v>5744</v>
      </c>
      <c r="S109">
        <v>26959</v>
      </c>
      <c r="T109">
        <v>1</v>
      </c>
      <c r="U109" t="s">
        <v>31</v>
      </c>
      <c r="V109">
        <v>11</v>
      </c>
      <c r="W109" t="s">
        <v>43</v>
      </c>
      <c r="X109" t="s">
        <v>41</v>
      </c>
      <c r="Y109">
        <v>0</v>
      </c>
      <c r="Z109">
        <v>6</v>
      </c>
      <c r="AA109">
        <v>1</v>
      </c>
      <c r="AB109" t="s">
        <v>54</v>
      </c>
      <c r="AC109">
        <v>6</v>
      </c>
      <c r="AD109" t="str" cm="1">
        <f t="array" ref="AD109">_xlfn.IFS(AC109&lt;=5,"0-5",AC109&lt;=10,"5-10",AC109&lt;=40,"10-40")</f>
        <v>5-10</v>
      </c>
      <c r="AE109">
        <v>4</v>
      </c>
      <c r="AF109">
        <v>0</v>
      </c>
      <c r="AG109">
        <v>3</v>
      </c>
      <c r="AH109">
        <v>108</v>
      </c>
    </row>
    <row r="110" spans="1:34" x14ac:dyDescent="0.3">
      <c r="A110">
        <v>25</v>
      </c>
      <c r="B110" t="str" cm="1">
        <f t="array" ref="B110">_xlfn.IFS(A110&lt;=25,"18-25",A110&lt;=35,"26-35",A110&lt;=45,"36-45",A110&lt;=55,"46-55",A110&gt;55,"55+")</f>
        <v>18-25</v>
      </c>
      <c r="C110">
        <v>0</v>
      </c>
      <c r="D110" t="s">
        <v>32</v>
      </c>
      <c r="E110">
        <v>1280</v>
      </c>
      <c r="F110" t="s">
        <v>48</v>
      </c>
      <c r="G110">
        <v>7</v>
      </c>
      <c r="H110" t="s">
        <v>49</v>
      </c>
      <c r="I110" t="s">
        <v>59</v>
      </c>
      <c r="J110" t="s">
        <v>41</v>
      </c>
      <c r="K110" t="s">
        <v>50</v>
      </c>
      <c r="L110">
        <v>64</v>
      </c>
      <c r="M110" t="s">
        <v>36</v>
      </c>
      <c r="N110" t="s">
        <v>56</v>
      </c>
      <c r="O110" t="s">
        <v>51</v>
      </c>
      <c r="P110" t="s">
        <v>41</v>
      </c>
      <c r="Q110" t="s">
        <v>52</v>
      </c>
      <c r="R110">
        <v>2889</v>
      </c>
      <c r="S110">
        <v>26897</v>
      </c>
      <c r="T110">
        <v>1</v>
      </c>
      <c r="U110" t="s">
        <v>46</v>
      </c>
      <c r="V110">
        <v>11</v>
      </c>
      <c r="W110" t="s">
        <v>43</v>
      </c>
      <c r="X110" t="s">
        <v>38</v>
      </c>
      <c r="Y110">
        <v>2</v>
      </c>
      <c r="Z110">
        <v>2</v>
      </c>
      <c r="AA110">
        <v>2</v>
      </c>
      <c r="AB110" t="s">
        <v>54</v>
      </c>
      <c r="AC110">
        <v>2</v>
      </c>
      <c r="AD110" t="str" cm="1">
        <f t="array" ref="AD110">_xlfn.IFS(AC110&lt;=5,"0-5",AC110&lt;=10,"5-10",AC110&lt;=40,"10-40")</f>
        <v>0-5</v>
      </c>
      <c r="AE110">
        <v>2</v>
      </c>
      <c r="AF110">
        <v>2</v>
      </c>
      <c r="AG110">
        <v>1</v>
      </c>
      <c r="AH110">
        <v>109</v>
      </c>
    </row>
    <row r="111" spans="1:34" x14ac:dyDescent="0.3">
      <c r="A111">
        <v>22</v>
      </c>
      <c r="B111" t="str" cm="1">
        <f t="array" ref="B111">_xlfn.IFS(A111&lt;=25,"18-25",A111&lt;=35,"26-35",A111&lt;=45,"36-45",A111&lt;=55,"46-55",A111&gt;55,"55+")</f>
        <v>18-25</v>
      </c>
      <c r="C111">
        <v>0</v>
      </c>
      <c r="D111" t="s">
        <v>32</v>
      </c>
      <c r="E111">
        <v>534</v>
      </c>
      <c r="F111" t="s">
        <v>48</v>
      </c>
      <c r="G111">
        <v>15</v>
      </c>
      <c r="H111" t="s">
        <v>61</v>
      </c>
      <c r="I111" t="s">
        <v>59</v>
      </c>
      <c r="J111" t="s">
        <v>36</v>
      </c>
      <c r="K111" t="s">
        <v>37</v>
      </c>
      <c r="L111">
        <v>59</v>
      </c>
      <c r="M111" t="s">
        <v>38</v>
      </c>
      <c r="N111" t="s">
        <v>56</v>
      </c>
      <c r="O111" t="s">
        <v>57</v>
      </c>
      <c r="P111" t="s">
        <v>41</v>
      </c>
      <c r="Q111" t="s">
        <v>42</v>
      </c>
      <c r="R111">
        <v>2871</v>
      </c>
      <c r="S111">
        <v>23785</v>
      </c>
      <c r="T111">
        <v>1</v>
      </c>
      <c r="U111" t="s">
        <v>46</v>
      </c>
      <c r="V111">
        <v>15</v>
      </c>
      <c r="W111" t="s">
        <v>43</v>
      </c>
      <c r="X111" t="s">
        <v>38</v>
      </c>
      <c r="Y111">
        <v>0</v>
      </c>
      <c r="Z111">
        <v>1</v>
      </c>
      <c r="AA111">
        <v>5</v>
      </c>
      <c r="AB111" t="s">
        <v>54</v>
      </c>
      <c r="AC111">
        <v>0</v>
      </c>
      <c r="AD111" t="str" cm="1">
        <f t="array" ref="AD111">_xlfn.IFS(AC111&lt;=5,"0-5",AC111&lt;=10,"5-10",AC111&lt;=40,"10-40")</f>
        <v>0-5</v>
      </c>
      <c r="AE111">
        <v>0</v>
      </c>
      <c r="AF111">
        <v>0</v>
      </c>
      <c r="AG111">
        <v>0</v>
      </c>
      <c r="AH111">
        <v>110</v>
      </c>
    </row>
    <row r="112" spans="1:34" x14ac:dyDescent="0.3">
      <c r="A112">
        <v>51</v>
      </c>
      <c r="B112" t="str" cm="1">
        <f t="array" ref="B112">_xlfn.IFS(A112&lt;=25,"18-25",A112&lt;=35,"26-35",A112&lt;=45,"36-45",A112&lt;=55,"46-55",A112&gt;55,"55+")</f>
        <v>46-55</v>
      </c>
      <c r="C112">
        <v>0</v>
      </c>
      <c r="D112" t="s">
        <v>47</v>
      </c>
      <c r="E112">
        <v>1456</v>
      </c>
      <c r="F112" t="s">
        <v>48</v>
      </c>
      <c r="G112">
        <v>1</v>
      </c>
      <c r="H112" t="s">
        <v>58</v>
      </c>
      <c r="I112" t="s">
        <v>59</v>
      </c>
      <c r="J112" t="s">
        <v>44</v>
      </c>
      <c r="K112" t="s">
        <v>37</v>
      </c>
      <c r="L112">
        <v>30</v>
      </c>
      <c r="M112" t="s">
        <v>36</v>
      </c>
      <c r="N112" t="s">
        <v>63</v>
      </c>
      <c r="O112" t="s">
        <v>65</v>
      </c>
      <c r="P112" t="s">
        <v>44</v>
      </c>
      <c r="Q112" t="s">
        <v>42</v>
      </c>
      <c r="R112">
        <v>7484</v>
      </c>
      <c r="S112">
        <v>25796</v>
      </c>
      <c r="T112">
        <v>3</v>
      </c>
      <c r="U112" t="s">
        <v>46</v>
      </c>
      <c r="V112">
        <v>20</v>
      </c>
      <c r="W112" t="s">
        <v>53</v>
      </c>
      <c r="X112" t="s">
        <v>38</v>
      </c>
      <c r="Y112">
        <v>0</v>
      </c>
      <c r="Z112">
        <v>23</v>
      </c>
      <c r="AA112">
        <v>1</v>
      </c>
      <c r="AB112" t="s">
        <v>60</v>
      </c>
      <c r="AC112">
        <v>13</v>
      </c>
      <c r="AD112" t="str" cm="1">
        <f t="array" ref="AD112">_xlfn.IFS(AC112&lt;=5,"0-5",AC112&lt;=10,"5-10",AC112&lt;=40,"10-40")</f>
        <v>10-40</v>
      </c>
      <c r="AE112">
        <v>12</v>
      </c>
      <c r="AF112">
        <v>12</v>
      </c>
      <c r="AG112">
        <v>8</v>
      </c>
      <c r="AH112">
        <v>111</v>
      </c>
    </row>
    <row r="113" spans="1:34" x14ac:dyDescent="0.3">
      <c r="A113">
        <v>34</v>
      </c>
      <c r="B113" t="str" cm="1">
        <f t="array" ref="B113">_xlfn.IFS(A113&lt;=25,"18-25",A113&lt;=35,"26-35",A113&lt;=45,"36-45",A113&lt;=55,"46-55",A113&gt;55,"55+")</f>
        <v>26-35</v>
      </c>
      <c r="C113">
        <v>1</v>
      </c>
      <c r="D113" t="s">
        <v>47</v>
      </c>
      <c r="E113">
        <v>658</v>
      </c>
      <c r="F113" t="s">
        <v>48</v>
      </c>
      <c r="G113">
        <v>7</v>
      </c>
      <c r="H113" t="s">
        <v>61</v>
      </c>
      <c r="I113" t="s">
        <v>35</v>
      </c>
      <c r="J113" t="s">
        <v>44</v>
      </c>
      <c r="K113" t="s">
        <v>50</v>
      </c>
      <c r="L113">
        <v>66</v>
      </c>
      <c r="M113" t="s">
        <v>44</v>
      </c>
      <c r="N113" t="s">
        <v>39</v>
      </c>
      <c r="O113" t="s">
        <v>57</v>
      </c>
      <c r="P113" t="s">
        <v>38</v>
      </c>
      <c r="Q113" t="s">
        <v>42</v>
      </c>
      <c r="R113">
        <v>6074</v>
      </c>
      <c r="S113">
        <v>22887</v>
      </c>
      <c r="T113">
        <v>1</v>
      </c>
      <c r="U113" t="s">
        <v>31</v>
      </c>
      <c r="V113">
        <v>24</v>
      </c>
      <c r="W113" t="s">
        <v>53</v>
      </c>
      <c r="X113" t="s">
        <v>41</v>
      </c>
      <c r="Y113">
        <v>0</v>
      </c>
      <c r="Z113">
        <v>9</v>
      </c>
      <c r="AA113">
        <v>3</v>
      </c>
      <c r="AB113" t="s">
        <v>54</v>
      </c>
      <c r="AC113">
        <v>9</v>
      </c>
      <c r="AD113" t="str" cm="1">
        <f t="array" ref="AD113">_xlfn.IFS(AC113&lt;=5,"0-5",AC113&lt;=10,"5-10",AC113&lt;=40,"10-40")</f>
        <v>5-10</v>
      </c>
      <c r="AE113">
        <v>7</v>
      </c>
      <c r="AF113">
        <v>0</v>
      </c>
      <c r="AG113">
        <v>6</v>
      </c>
      <c r="AH113">
        <v>112</v>
      </c>
    </row>
    <row r="114" spans="1:34" x14ac:dyDescent="0.3">
      <c r="A114">
        <v>54</v>
      </c>
      <c r="B114" t="str" cm="1">
        <f t="array" ref="B114">_xlfn.IFS(A114&lt;=25,"18-25",A114&lt;=35,"26-35",A114&lt;=45,"36-45",A114&lt;=55,"46-55",A114&gt;55,"55+")</f>
        <v>46-55</v>
      </c>
      <c r="C114">
        <v>0</v>
      </c>
      <c r="D114" t="s">
        <v>66</v>
      </c>
      <c r="E114">
        <v>142</v>
      </c>
      <c r="F114" t="s">
        <v>76</v>
      </c>
      <c r="G114">
        <v>26</v>
      </c>
      <c r="H114" t="s">
        <v>61</v>
      </c>
      <c r="I114" t="s">
        <v>76</v>
      </c>
      <c r="J114" t="s">
        <v>41</v>
      </c>
      <c r="K114" t="s">
        <v>37</v>
      </c>
      <c r="L114">
        <v>30</v>
      </c>
      <c r="M114" t="s">
        <v>41</v>
      </c>
      <c r="N114" t="s">
        <v>67</v>
      </c>
      <c r="O114" t="s">
        <v>68</v>
      </c>
      <c r="P114" t="s">
        <v>41</v>
      </c>
      <c r="Q114" t="s">
        <v>42</v>
      </c>
      <c r="R114">
        <v>17328</v>
      </c>
      <c r="S114">
        <v>13871</v>
      </c>
      <c r="T114">
        <v>2</v>
      </c>
      <c r="U114" t="s">
        <v>31</v>
      </c>
      <c r="V114">
        <v>12</v>
      </c>
      <c r="W114" t="s">
        <v>43</v>
      </c>
      <c r="X114" t="s">
        <v>38</v>
      </c>
      <c r="Y114">
        <v>0</v>
      </c>
      <c r="Z114">
        <v>23</v>
      </c>
      <c r="AA114">
        <v>3</v>
      </c>
      <c r="AB114" t="s">
        <v>54</v>
      </c>
      <c r="AC114">
        <v>5</v>
      </c>
      <c r="AD114" t="str" cm="1">
        <f t="array" ref="AD114">_xlfn.IFS(AC114&lt;=5,"0-5",AC114&lt;=10,"5-10",AC114&lt;=40,"10-40")</f>
        <v>0-5</v>
      </c>
      <c r="AE114">
        <v>3</v>
      </c>
      <c r="AF114">
        <v>4</v>
      </c>
      <c r="AG114">
        <v>4</v>
      </c>
      <c r="AH114">
        <v>113</v>
      </c>
    </row>
    <row r="115" spans="1:34" x14ac:dyDescent="0.3">
      <c r="A115">
        <v>24</v>
      </c>
      <c r="B115" t="str" cm="1">
        <f t="array" ref="B115">_xlfn.IFS(A115&lt;=25,"18-25",A115&lt;=35,"26-35",A115&lt;=45,"36-45",A115&lt;=55,"46-55",A115&gt;55,"55+")</f>
        <v>18-25</v>
      </c>
      <c r="C115">
        <v>0</v>
      </c>
      <c r="D115" t="s">
        <v>32</v>
      </c>
      <c r="E115">
        <v>1127</v>
      </c>
      <c r="F115" t="s">
        <v>48</v>
      </c>
      <c r="G115">
        <v>18</v>
      </c>
      <c r="H115" t="s">
        <v>49</v>
      </c>
      <c r="I115" t="s">
        <v>35</v>
      </c>
      <c r="J115" t="s">
        <v>36</v>
      </c>
      <c r="K115" t="s">
        <v>50</v>
      </c>
      <c r="L115">
        <v>52</v>
      </c>
      <c r="M115" t="s">
        <v>38</v>
      </c>
      <c r="N115" t="s">
        <v>56</v>
      </c>
      <c r="O115" t="s">
        <v>57</v>
      </c>
      <c r="P115" t="s">
        <v>38</v>
      </c>
      <c r="Q115" t="s">
        <v>52</v>
      </c>
      <c r="R115">
        <v>2774</v>
      </c>
      <c r="S115">
        <v>13257</v>
      </c>
      <c r="T115">
        <v>0</v>
      </c>
      <c r="U115" t="s">
        <v>46</v>
      </c>
      <c r="V115">
        <v>12</v>
      </c>
      <c r="W115" t="s">
        <v>43</v>
      </c>
      <c r="X115" t="s">
        <v>38</v>
      </c>
      <c r="Y115">
        <v>1</v>
      </c>
      <c r="Z115">
        <v>6</v>
      </c>
      <c r="AA115">
        <v>2</v>
      </c>
      <c r="AB115" t="s">
        <v>54</v>
      </c>
      <c r="AC115">
        <v>5</v>
      </c>
      <c r="AD115" t="str" cm="1">
        <f t="array" ref="AD115">_xlfn.IFS(AC115&lt;=5,"0-5",AC115&lt;=10,"5-10",AC115&lt;=40,"10-40")</f>
        <v>0-5</v>
      </c>
      <c r="AE115">
        <v>3</v>
      </c>
      <c r="AF115">
        <v>1</v>
      </c>
      <c r="AG115">
        <v>2</v>
      </c>
      <c r="AH115">
        <v>114</v>
      </c>
    </row>
    <row r="116" spans="1:34" x14ac:dyDescent="0.3">
      <c r="A116">
        <v>34</v>
      </c>
      <c r="B116" t="str" cm="1">
        <f t="array" ref="B116">_xlfn.IFS(A116&lt;=25,"18-25",A116&lt;=35,"26-35",A116&lt;=45,"36-45",A116&lt;=55,"46-55",A116&gt;55,"55+")</f>
        <v>26-35</v>
      </c>
      <c r="C116">
        <v>0</v>
      </c>
      <c r="D116" t="s">
        <v>32</v>
      </c>
      <c r="E116">
        <v>1031</v>
      </c>
      <c r="F116" t="s">
        <v>48</v>
      </c>
      <c r="G116">
        <v>6</v>
      </c>
      <c r="H116" t="s">
        <v>58</v>
      </c>
      <c r="I116" t="s">
        <v>35</v>
      </c>
      <c r="J116" t="s">
        <v>38</v>
      </c>
      <c r="K116" t="s">
        <v>37</v>
      </c>
      <c r="L116">
        <v>45</v>
      </c>
      <c r="M116" t="s">
        <v>36</v>
      </c>
      <c r="N116" t="s">
        <v>39</v>
      </c>
      <c r="O116" t="s">
        <v>51</v>
      </c>
      <c r="P116" t="s">
        <v>36</v>
      </c>
      <c r="Q116" t="s">
        <v>62</v>
      </c>
      <c r="R116">
        <v>4505</v>
      </c>
      <c r="S116">
        <v>15000</v>
      </c>
      <c r="T116">
        <v>6</v>
      </c>
      <c r="U116" t="s">
        <v>46</v>
      </c>
      <c r="V116">
        <v>15</v>
      </c>
      <c r="W116" t="s">
        <v>43</v>
      </c>
      <c r="X116" t="s">
        <v>38</v>
      </c>
      <c r="Y116">
        <v>1</v>
      </c>
      <c r="Z116">
        <v>12</v>
      </c>
      <c r="AA116">
        <v>3</v>
      </c>
      <c r="AB116" t="s">
        <v>54</v>
      </c>
      <c r="AC116">
        <v>1</v>
      </c>
      <c r="AD116" t="str" cm="1">
        <f t="array" ref="AD116">_xlfn.IFS(AC116&lt;=5,"0-5",AC116&lt;=10,"5-10",AC116&lt;=40,"10-40")</f>
        <v>0-5</v>
      </c>
      <c r="AE116">
        <v>0</v>
      </c>
      <c r="AF116">
        <v>0</v>
      </c>
      <c r="AG116">
        <v>0</v>
      </c>
      <c r="AH116">
        <v>115</v>
      </c>
    </row>
    <row r="117" spans="1:34" x14ac:dyDescent="0.3">
      <c r="A117">
        <v>37</v>
      </c>
      <c r="B117" t="str" cm="1">
        <f t="array" ref="B117">_xlfn.IFS(A117&lt;=25,"18-25",A117&lt;=35,"26-35",A117&lt;=45,"36-45",A117&lt;=55,"46-55",A117&gt;55,"55+")</f>
        <v>36-45</v>
      </c>
      <c r="C117">
        <v>0</v>
      </c>
      <c r="D117" t="s">
        <v>32</v>
      </c>
      <c r="E117">
        <v>1189</v>
      </c>
      <c r="F117" t="s">
        <v>33</v>
      </c>
      <c r="G117">
        <v>3</v>
      </c>
      <c r="H117" t="s">
        <v>61</v>
      </c>
      <c r="I117" t="s">
        <v>35</v>
      </c>
      <c r="J117" t="s">
        <v>38</v>
      </c>
      <c r="K117" t="s">
        <v>50</v>
      </c>
      <c r="L117">
        <v>87</v>
      </c>
      <c r="M117" t="s">
        <v>38</v>
      </c>
      <c r="N117" t="s">
        <v>63</v>
      </c>
      <c r="O117" t="s">
        <v>40</v>
      </c>
      <c r="P117" t="s">
        <v>41</v>
      </c>
      <c r="Q117" t="s">
        <v>42</v>
      </c>
      <c r="R117">
        <v>7428</v>
      </c>
      <c r="S117">
        <v>14506</v>
      </c>
      <c r="T117">
        <v>2</v>
      </c>
      <c r="U117" t="s">
        <v>46</v>
      </c>
      <c r="V117">
        <v>12</v>
      </c>
      <c r="W117" t="s">
        <v>43</v>
      </c>
      <c r="X117" t="s">
        <v>44</v>
      </c>
      <c r="Y117">
        <v>0</v>
      </c>
      <c r="Z117">
        <v>12</v>
      </c>
      <c r="AA117">
        <v>3</v>
      </c>
      <c r="AB117" t="s">
        <v>54</v>
      </c>
      <c r="AC117">
        <v>5</v>
      </c>
      <c r="AD117" t="str" cm="1">
        <f t="array" ref="AD117">_xlfn.IFS(AC117&lt;=5,"0-5",AC117&lt;=10,"5-10",AC117&lt;=40,"10-40")</f>
        <v>0-5</v>
      </c>
      <c r="AE117">
        <v>3</v>
      </c>
      <c r="AF117">
        <v>1</v>
      </c>
      <c r="AG117">
        <v>3</v>
      </c>
      <c r="AH117">
        <v>116</v>
      </c>
    </row>
    <row r="118" spans="1:34" x14ac:dyDescent="0.3">
      <c r="A118">
        <v>34</v>
      </c>
      <c r="B118" t="str" cm="1">
        <f t="array" ref="B118">_xlfn.IFS(A118&lt;=25,"18-25",A118&lt;=35,"26-35",A118&lt;=45,"36-45",A118&lt;=55,"46-55",A118&gt;55,"55+")</f>
        <v>26-35</v>
      </c>
      <c r="C118">
        <v>0</v>
      </c>
      <c r="D118" t="s">
        <v>32</v>
      </c>
      <c r="E118">
        <v>1354</v>
      </c>
      <c r="F118" t="s">
        <v>48</v>
      </c>
      <c r="G118">
        <v>5</v>
      </c>
      <c r="H118" t="s">
        <v>61</v>
      </c>
      <c r="I118" t="s">
        <v>59</v>
      </c>
      <c r="J118" t="s">
        <v>38</v>
      </c>
      <c r="K118" t="s">
        <v>37</v>
      </c>
      <c r="L118">
        <v>45</v>
      </c>
      <c r="M118" t="s">
        <v>36</v>
      </c>
      <c r="N118" t="s">
        <v>63</v>
      </c>
      <c r="O118" t="s">
        <v>68</v>
      </c>
      <c r="P118" t="s">
        <v>44</v>
      </c>
      <c r="Q118" t="s">
        <v>42</v>
      </c>
      <c r="R118">
        <v>11631</v>
      </c>
      <c r="S118">
        <v>5615</v>
      </c>
      <c r="T118">
        <v>2</v>
      </c>
      <c r="U118" t="s">
        <v>46</v>
      </c>
      <c r="V118">
        <v>12</v>
      </c>
      <c r="W118" t="s">
        <v>43</v>
      </c>
      <c r="X118" t="s">
        <v>41</v>
      </c>
      <c r="Y118">
        <v>0</v>
      </c>
      <c r="Z118">
        <v>14</v>
      </c>
      <c r="AA118">
        <v>6</v>
      </c>
      <c r="AB118" t="s">
        <v>54</v>
      </c>
      <c r="AC118">
        <v>11</v>
      </c>
      <c r="AD118" t="str" cm="1">
        <f t="array" ref="AD118">_xlfn.IFS(AC118&lt;=5,"0-5",AC118&lt;=10,"5-10",AC118&lt;=40,"10-40")</f>
        <v>10-40</v>
      </c>
      <c r="AE118">
        <v>10</v>
      </c>
      <c r="AF118">
        <v>5</v>
      </c>
      <c r="AG118">
        <v>8</v>
      </c>
      <c r="AH118">
        <v>117</v>
      </c>
    </row>
    <row r="119" spans="1:34" x14ac:dyDescent="0.3">
      <c r="A119">
        <v>36</v>
      </c>
      <c r="B119" t="str" cm="1">
        <f t="array" ref="B119">_xlfn.IFS(A119&lt;=25,"18-25",A119&lt;=35,"26-35",A119&lt;=45,"36-45",A119&lt;=55,"46-55",A119&gt;55,"55+")</f>
        <v>36-45</v>
      </c>
      <c r="C119">
        <v>0</v>
      </c>
      <c r="D119" t="s">
        <v>47</v>
      </c>
      <c r="E119">
        <v>1467</v>
      </c>
      <c r="F119" t="s">
        <v>33</v>
      </c>
      <c r="G119">
        <v>11</v>
      </c>
      <c r="H119" t="s">
        <v>34</v>
      </c>
      <c r="I119" t="s">
        <v>74</v>
      </c>
      <c r="J119" t="s">
        <v>36</v>
      </c>
      <c r="K119" t="s">
        <v>37</v>
      </c>
      <c r="L119">
        <v>92</v>
      </c>
      <c r="M119" t="s">
        <v>38</v>
      </c>
      <c r="N119" t="s">
        <v>63</v>
      </c>
      <c r="O119" t="s">
        <v>40</v>
      </c>
      <c r="P119" t="s">
        <v>41</v>
      </c>
      <c r="Q119" t="s">
        <v>52</v>
      </c>
      <c r="R119">
        <v>9738</v>
      </c>
      <c r="S119">
        <v>22952</v>
      </c>
      <c r="T119">
        <v>0</v>
      </c>
      <c r="U119" t="s">
        <v>46</v>
      </c>
      <c r="V119">
        <v>14</v>
      </c>
      <c r="W119" t="s">
        <v>43</v>
      </c>
      <c r="X119" t="s">
        <v>38</v>
      </c>
      <c r="Y119">
        <v>1</v>
      </c>
      <c r="Z119">
        <v>10</v>
      </c>
      <c r="AA119">
        <v>6</v>
      </c>
      <c r="AB119" t="s">
        <v>54</v>
      </c>
      <c r="AC119">
        <v>9</v>
      </c>
      <c r="AD119" t="str" cm="1">
        <f t="array" ref="AD119">_xlfn.IFS(AC119&lt;=5,"0-5",AC119&lt;=10,"5-10",AC119&lt;=40,"10-40")</f>
        <v>5-10</v>
      </c>
      <c r="AE119">
        <v>7</v>
      </c>
      <c r="AF119">
        <v>2</v>
      </c>
      <c r="AG119">
        <v>8</v>
      </c>
      <c r="AH119">
        <v>118</v>
      </c>
    </row>
    <row r="120" spans="1:34" x14ac:dyDescent="0.3">
      <c r="A120">
        <v>36</v>
      </c>
      <c r="B120" t="str" cm="1">
        <f t="array" ref="B120">_xlfn.IFS(A120&lt;=25,"18-25",A120&lt;=35,"26-35",A120&lt;=45,"36-45",A120&lt;=55,"46-55",A120&gt;55,"55+")</f>
        <v>36-45</v>
      </c>
      <c r="C120">
        <v>0</v>
      </c>
      <c r="D120" t="s">
        <v>32</v>
      </c>
      <c r="E120">
        <v>922</v>
      </c>
      <c r="F120" t="s">
        <v>48</v>
      </c>
      <c r="G120">
        <v>3</v>
      </c>
      <c r="H120" t="s">
        <v>34</v>
      </c>
      <c r="I120" t="s">
        <v>35</v>
      </c>
      <c r="J120" t="s">
        <v>44</v>
      </c>
      <c r="K120" t="s">
        <v>37</v>
      </c>
      <c r="L120">
        <v>39</v>
      </c>
      <c r="M120" t="s">
        <v>38</v>
      </c>
      <c r="N120" t="s">
        <v>56</v>
      </c>
      <c r="O120" t="s">
        <v>57</v>
      </c>
      <c r="P120" t="s">
        <v>41</v>
      </c>
      <c r="Q120" t="s">
        <v>62</v>
      </c>
      <c r="R120">
        <v>2835</v>
      </c>
      <c r="S120">
        <v>2561</v>
      </c>
      <c r="T120">
        <v>5</v>
      </c>
      <c r="U120" t="s">
        <v>46</v>
      </c>
      <c r="V120">
        <v>22</v>
      </c>
      <c r="W120" t="s">
        <v>53</v>
      </c>
      <c r="X120" t="s">
        <v>44</v>
      </c>
      <c r="Y120">
        <v>1</v>
      </c>
      <c r="Z120">
        <v>7</v>
      </c>
      <c r="AA120">
        <v>2</v>
      </c>
      <c r="AB120" t="s">
        <v>54</v>
      </c>
      <c r="AC120">
        <v>1</v>
      </c>
      <c r="AD120" t="str" cm="1">
        <f t="array" ref="AD120">_xlfn.IFS(AC120&lt;=5,"0-5",AC120&lt;=10,"5-10",AC120&lt;=40,"10-40")</f>
        <v>0-5</v>
      </c>
      <c r="AE120">
        <v>0</v>
      </c>
      <c r="AF120">
        <v>0</v>
      </c>
      <c r="AG120">
        <v>0</v>
      </c>
      <c r="AH120">
        <v>119</v>
      </c>
    </row>
    <row r="121" spans="1:34" x14ac:dyDescent="0.3">
      <c r="A121">
        <v>43</v>
      </c>
      <c r="B121" t="str" cm="1">
        <f t="array" ref="B121">_xlfn.IFS(A121&lt;=25,"18-25",A121&lt;=35,"26-35",A121&lt;=45,"36-45",A121&lt;=55,"46-55",A121&gt;55,"55+")</f>
        <v>36-45</v>
      </c>
      <c r="C121">
        <v>0</v>
      </c>
      <c r="D121" t="s">
        <v>47</v>
      </c>
      <c r="E121">
        <v>394</v>
      </c>
      <c r="F121" t="s">
        <v>33</v>
      </c>
      <c r="G121">
        <v>26</v>
      </c>
      <c r="H121" t="s">
        <v>34</v>
      </c>
      <c r="I121" t="s">
        <v>35</v>
      </c>
      <c r="J121" t="s">
        <v>38</v>
      </c>
      <c r="K121" t="s">
        <v>50</v>
      </c>
      <c r="L121">
        <v>92</v>
      </c>
      <c r="M121" t="s">
        <v>38</v>
      </c>
      <c r="N121" t="s">
        <v>67</v>
      </c>
      <c r="O121" t="s">
        <v>68</v>
      </c>
      <c r="P121" t="s">
        <v>41</v>
      </c>
      <c r="Q121" t="s">
        <v>52</v>
      </c>
      <c r="R121">
        <v>16959</v>
      </c>
      <c r="S121">
        <v>19494</v>
      </c>
      <c r="T121">
        <v>1</v>
      </c>
      <c r="U121" t="s">
        <v>31</v>
      </c>
      <c r="V121">
        <v>12</v>
      </c>
      <c r="W121" t="s">
        <v>43</v>
      </c>
      <c r="X121" t="s">
        <v>41</v>
      </c>
      <c r="Y121">
        <v>2</v>
      </c>
      <c r="Z121">
        <v>25</v>
      </c>
      <c r="AA121">
        <v>3</v>
      </c>
      <c r="AB121" t="s">
        <v>73</v>
      </c>
      <c r="AC121">
        <v>25</v>
      </c>
      <c r="AD121" t="str" cm="1">
        <f t="array" ref="AD121">_xlfn.IFS(AC121&lt;=5,"0-5",AC121&lt;=10,"5-10",AC121&lt;=40,"10-40")</f>
        <v>10-40</v>
      </c>
      <c r="AE121">
        <v>12</v>
      </c>
      <c r="AF121">
        <v>4</v>
      </c>
      <c r="AG121">
        <v>12</v>
      </c>
      <c r="AH121">
        <v>120</v>
      </c>
    </row>
    <row r="122" spans="1:34" x14ac:dyDescent="0.3">
      <c r="A122">
        <v>30</v>
      </c>
      <c r="B122" t="str" cm="1">
        <f t="array" ref="B122">_xlfn.IFS(A122&lt;=25,"18-25",A122&lt;=35,"26-35",A122&lt;=45,"36-45",A122&lt;=55,"46-55",A122&gt;55,"55+")</f>
        <v>26-35</v>
      </c>
      <c r="C122">
        <v>0</v>
      </c>
      <c r="D122" t="s">
        <v>47</v>
      </c>
      <c r="E122">
        <v>1312</v>
      </c>
      <c r="F122" t="s">
        <v>48</v>
      </c>
      <c r="G122">
        <v>23</v>
      </c>
      <c r="H122" t="s">
        <v>61</v>
      </c>
      <c r="I122" t="s">
        <v>35</v>
      </c>
      <c r="J122" t="s">
        <v>44</v>
      </c>
      <c r="K122" t="s">
        <v>50</v>
      </c>
      <c r="L122">
        <v>96</v>
      </c>
      <c r="M122" t="s">
        <v>44</v>
      </c>
      <c r="N122" t="s">
        <v>56</v>
      </c>
      <c r="O122" t="s">
        <v>51</v>
      </c>
      <c r="P122" t="s">
        <v>38</v>
      </c>
      <c r="Q122" t="s">
        <v>62</v>
      </c>
      <c r="R122">
        <v>2613</v>
      </c>
      <c r="S122">
        <v>22310</v>
      </c>
      <c r="T122">
        <v>1</v>
      </c>
      <c r="U122" t="s">
        <v>46</v>
      </c>
      <c r="V122">
        <v>25</v>
      </c>
      <c r="W122" t="s">
        <v>53</v>
      </c>
      <c r="X122" t="s">
        <v>38</v>
      </c>
      <c r="Y122">
        <v>3</v>
      </c>
      <c r="Z122">
        <v>10</v>
      </c>
      <c r="AA122">
        <v>2</v>
      </c>
      <c r="AB122" t="s">
        <v>60</v>
      </c>
      <c r="AC122">
        <v>10</v>
      </c>
      <c r="AD122" t="str" cm="1">
        <f t="array" ref="AD122">_xlfn.IFS(AC122&lt;=5,"0-5",AC122&lt;=10,"5-10",AC122&lt;=40,"10-40")</f>
        <v>5-10</v>
      </c>
      <c r="AE122">
        <v>7</v>
      </c>
      <c r="AF122">
        <v>0</v>
      </c>
      <c r="AG122">
        <v>9</v>
      </c>
      <c r="AH122">
        <v>121</v>
      </c>
    </row>
    <row r="123" spans="1:34" x14ac:dyDescent="0.3">
      <c r="A123">
        <v>33</v>
      </c>
      <c r="B123" t="str" cm="1">
        <f t="array" ref="B123">_xlfn.IFS(A123&lt;=25,"18-25",A123&lt;=35,"26-35",A123&lt;=45,"36-45",A123&lt;=55,"46-55",A123&gt;55,"55+")</f>
        <v>26-35</v>
      </c>
      <c r="C123">
        <v>0</v>
      </c>
      <c r="D123" t="s">
        <v>66</v>
      </c>
      <c r="E123">
        <v>750</v>
      </c>
      <c r="F123" t="s">
        <v>33</v>
      </c>
      <c r="G123">
        <v>22</v>
      </c>
      <c r="H123" t="s">
        <v>34</v>
      </c>
      <c r="I123" t="s">
        <v>72</v>
      </c>
      <c r="J123" t="s">
        <v>38</v>
      </c>
      <c r="K123" t="s">
        <v>50</v>
      </c>
      <c r="L123">
        <v>95</v>
      </c>
      <c r="M123" t="s">
        <v>38</v>
      </c>
      <c r="N123" t="s">
        <v>39</v>
      </c>
      <c r="O123" t="s">
        <v>40</v>
      </c>
      <c r="P123" t="s">
        <v>36</v>
      </c>
      <c r="Q123" t="s">
        <v>52</v>
      </c>
      <c r="R123">
        <v>6146</v>
      </c>
      <c r="S123">
        <v>15480</v>
      </c>
      <c r="T123">
        <v>0</v>
      </c>
      <c r="U123" t="s">
        <v>46</v>
      </c>
      <c r="V123">
        <v>13</v>
      </c>
      <c r="W123" t="s">
        <v>43</v>
      </c>
      <c r="X123" t="s">
        <v>44</v>
      </c>
      <c r="Y123">
        <v>1</v>
      </c>
      <c r="Z123">
        <v>8</v>
      </c>
      <c r="AA123">
        <v>2</v>
      </c>
      <c r="AB123" t="s">
        <v>73</v>
      </c>
      <c r="AC123">
        <v>7</v>
      </c>
      <c r="AD123" t="str" cm="1">
        <f t="array" ref="AD123">_xlfn.IFS(AC123&lt;=5,"0-5",AC123&lt;=10,"5-10",AC123&lt;=40,"10-40")</f>
        <v>5-10</v>
      </c>
      <c r="AE123">
        <v>7</v>
      </c>
      <c r="AF123">
        <v>0</v>
      </c>
      <c r="AG123">
        <v>7</v>
      </c>
      <c r="AH123">
        <v>122</v>
      </c>
    </row>
    <row r="124" spans="1:34" x14ac:dyDescent="0.3">
      <c r="A124">
        <v>56</v>
      </c>
      <c r="B124" t="str" cm="1">
        <f t="array" ref="B124">_xlfn.IFS(A124&lt;=25,"18-25",A124&lt;=35,"26-35",A124&lt;=45,"36-45",A124&lt;=55,"46-55",A124&gt;55,"55+")</f>
        <v>55+</v>
      </c>
      <c r="C124">
        <v>1</v>
      </c>
      <c r="D124" t="s">
        <v>32</v>
      </c>
      <c r="E124">
        <v>441</v>
      </c>
      <c r="F124" t="s">
        <v>48</v>
      </c>
      <c r="G124">
        <v>14</v>
      </c>
      <c r="H124" t="s">
        <v>58</v>
      </c>
      <c r="I124" t="s">
        <v>35</v>
      </c>
      <c r="J124" t="s">
        <v>36</v>
      </c>
      <c r="K124" t="s">
        <v>37</v>
      </c>
      <c r="L124">
        <v>72</v>
      </c>
      <c r="M124" t="s">
        <v>38</v>
      </c>
      <c r="N124" t="s">
        <v>56</v>
      </c>
      <c r="O124" t="s">
        <v>51</v>
      </c>
      <c r="P124" t="s">
        <v>36</v>
      </c>
      <c r="Q124" t="s">
        <v>52</v>
      </c>
      <c r="R124">
        <v>4963</v>
      </c>
      <c r="S124">
        <v>4510</v>
      </c>
      <c r="T124">
        <v>9</v>
      </c>
      <c r="U124" t="s">
        <v>31</v>
      </c>
      <c r="V124">
        <v>18</v>
      </c>
      <c r="W124" t="s">
        <v>43</v>
      </c>
      <c r="X124" t="s">
        <v>44</v>
      </c>
      <c r="Y124">
        <v>3</v>
      </c>
      <c r="Z124">
        <v>7</v>
      </c>
      <c r="AA124">
        <v>2</v>
      </c>
      <c r="AB124" t="s">
        <v>54</v>
      </c>
      <c r="AC124">
        <v>5</v>
      </c>
      <c r="AD124" t="str" cm="1">
        <f t="array" ref="AD124">_xlfn.IFS(AC124&lt;=5,"0-5",AC124&lt;=10,"5-10",AC124&lt;=40,"10-40")</f>
        <v>0-5</v>
      </c>
      <c r="AE124">
        <v>4</v>
      </c>
      <c r="AF124">
        <v>4</v>
      </c>
      <c r="AG124">
        <v>3</v>
      </c>
      <c r="AH124">
        <v>123</v>
      </c>
    </row>
    <row r="125" spans="1:34" x14ac:dyDescent="0.3">
      <c r="A125">
        <v>51</v>
      </c>
      <c r="B125" t="str" cm="1">
        <f t="array" ref="B125">_xlfn.IFS(A125&lt;=25,"18-25",A125&lt;=35,"26-35",A125&lt;=45,"36-45",A125&lt;=55,"46-55",A125&gt;55,"55+")</f>
        <v>46-55</v>
      </c>
      <c r="C125">
        <v>0</v>
      </c>
      <c r="D125" t="s">
        <v>32</v>
      </c>
      <c r="E125">
        <v>684</v>
      </c>
      <c r="F125" t="s">
        <v>48</v>
      </c>
      <c r="G125">
        <v>6</v>
      </c>
      <c r="H125" t="s">
        <v>61</v>
      </c>
      <c r="I125" t="s">
        <v>35</v>
      </c>
      <c r="J125" t="s">
        <v>44</v>
      </c>
      <c r="K125" t="s">
        <v>50</v>
      </c>
      <c r="L125">
        <v>51</v>
      </c>
      <c r="M125" t="s">
        <v>38</v>
      </c>
      <c r="N125" t="s">
        <v>71</v>
      </c>
      <c r="O125" t="s">
        <v>70</v>
      </c>
      <c r="P125" t="s">
        <v>38</v>
      </c>
      <c r="Q125" t="s">
        <v>42</v>
      </c>
      <c r="R125">
        <v>19537</v>
      </c>
      <c r="S125">
        <v>6462</v>
      </c>
      <c r="T125">
        <v>7</v>
      </c>
      <c r="U125" t="s">
        <v>46</v>
      </c>
      <c r="V125">
        <v>13</v>
      </c>
      <c r="W125" t="s">
        <v>43</v>
      </c>
      <c r="X125" t="s">
        <v>38</v>
      </c>
      <c r="Y125">
        <v>0</v>
      </c>
      <c r="Z125">
        <v>23</v>
      </c>
      <c r="AA125">
        <v>5</v>
      </c>
      <c r="AB125" t="s">
        <v>54</v>
      </c>
      <c r="AC125">
        <v>20</v>
      </c>
      <c r="AD125" t="str" cm="1">
        <f t="array" ref="AD125">_xlfn.IFS(AC125&lt;=5,"0-5",AC125&lt;=10,"5-10",AC125&lt;=40,"10-40")</f>
        <v>10-40</v>
      </c>
      <c r="AE125">
        <v>18</v>
      </c>
      <c r="AF125">
        <v>15</v>
      </c>
      <c r="AG125">
        <v>15</v>
      </c>
      <c r="AH125">
        <v>124</v>
      </c>
    </row>
    <row r="126" spans="1:34" x14ac:dyDescent="0.3">
      <c r="A126">
        <v>31</v>
      </c>
      <c r="B126" t="str" cm="1">
        <f t="array" ref="B126">_xlfn.IFS(A126&lt;=25,"18-25",A126&lt;=35,"26-35",A126&lt;=45,"36-45",A126&lt;=55,"46-55",A126&gt;55,"55+")</f>
        <v>26-35</v>
      </c>
      <c r="C126">
        <v>1</v>
      </c>
      <c r="D126" t="s">
        <v>32</v>
      </c>
      <c r="E126">
        <v>249</v>
      </c>
      <c r="F126" t="s">
        <v>33</v>
      </c>
      <c r="G126">
        <v>6</v>
      </c>
      <c r="H126" t="s">
        <v>58</v>
      </c>
      <c r="I126" t="s">
        <v>35</v>
      </c>
      <c r="J126" t="s">
        <v>36</v>
      </c>
      <c r="K126" t="s">
        <v>50</v>
      </c>
      <c r="L126">
        <v>76</v>
      </c>
      <c r="M126" t="s">
        <v>44</v>
      </c>
      <c r="N126" t="s">
        <v>39</v>
      </c>
      <c r="O126" t="s">
        <v>40</v>
      </c>
      <c r="P126" t="s">
        <v>38</v>
      </c>
      <c r="Q126" t="s">
        <v>52</v>
      </c>
      <c r="R126">
        <v>6172</v>
      </c>
      <c r="S126">
        <v>20739</v>
      </c>
      <c r="T126">
        <v>4</v>
      </c>
      <c r="U126" t="s">
        <v>31</v>
      </c>
      <c r="V126">
        <v>18</v>
      </c>
      <c r="W126" t="s">
        <v>43</v>
      </c>
      <c r="X126" t="s">
        <v>36</v>
      </c>
      <c r="Y126">
        <v>0</v>
      </c>
      <c r="Z126">
        <v>12</v>
      </c>
      <c r="AA126">
        <v>3</v>
      </c>
      <c r="AB126" t="s">
        <v>60</v>
      </c>
      <c r="AC126">
        <v>7</v>
      </c>
      <c r="AD126" t="str" cm="1">
        <f t="array" ref="AD126">_xlfn.IFS(AC126&lt;=5,"0-5",AC126&lt;=10,"5-10",AC126&lt;=40,"10-40")</f>
        <v>5-10</v>
      </c>
      <c r="AE126">
        <v>7</v>
      </c>
      <c r="AF126">
        <v>7</v>
      </c>
      <c r="AG126">
        <v>7</v>
      </c>
      <c r="AH126">
        <v>125</v>
      </c>
    </row>
    <row r="127" spans="1:34" x14ac:dyDescent="0.3">
      <c r="A127">
        <v>26</v>
      </c>
      <c r="B127" t="str" cm="1">
        <f t="array" ref="B127">_xlfn.IFS(A127&lt;=25,"18-25",A127&lt;=35,"26-35",A127&lt;=45,"36-45",A127&lt;=55,"46-55",A127&gt;55,"55+")</f>
        <v>26-35</v>
      </c>
      <c r="C127">
        <v>0</v>
      </c>
      <c r="D127" t="s">
        <v>32</v>
      </c>
      <c r="E127">
        <v>841</v>
      </c>
      <c r="F127" t="s">
        <v>48</v>
      </c>
      <c r="G127">
        <v>6</v>
      </c>
      <c r="H127" t="s">
        <v>61</v>
      </c>
      <c r="I127" t="s">
        <v>55</v>
      </c>
      <c r="J127" t="s">
        <v>38</v>
      </c>
      <c r="K127" t="s">
        <v>37</v>
      </c>
      <c r="L127">
        <v>46</v>
      </c>
      <c r="M127" t="s">
        <v>36</v>
      </c>
      <c r="N127" t="s">
        <v>56</v>
      </c>
      <c r="O127" t="s">
        <v>51</v>
      </c>
      <c r="P127" t="s">
        <v>36</v>
      </c>
      <c r="Q127" t="s">
        <v>52</v>
      </c>
      <c r="R127">
        <v>2368</v>
      </c>
      <c r="S127">
        <v>23300</v>
      </c>
      <c r="T127">
        <v>1</v>
      </c>
      <c r="U127" t="s">
        <v>46</v>
      </c>
      <c r="V127">
        <v>19</v>
      </c>
      <c r="W127" t="s">
        <v>43</v>
      </c>
      <c r="X127" t="s">
        <v>38</v>
      </c>
      <c r="Y127">
        <v>0</v>
      </c>
      <c r="Z127">
        <v>5</v>
      </c>
      <c r="AA127">
        <v>3</v>
      </c>
      <c r="AB127" t="s">
        <v>60</v>
      </c>
      <c r="AC127">
        <v>5</v>
      </c>
      <c r="AD127" t="str" cm="1">
        <f t="array" ref="AD127">_xlfn.IFS(AC127&lt;=5,"0-5",AC127&lt;=10,"5-10",AC127&lt;=40,"10-40")</f>
        <v>0-5</v>
      </c>
      <c r="AE127">
        <v>4</v>
      </c>
      <c r="AF127">
        <v>4</v>
      </c>
      <c r="AG127">
        <v>3</v>
      </c>
      <c r="AH127">
        <v>126</v>
      </c>
    </row>
    <row r="128" spans="1:34" x14ac:dyDescent="0.3">
      <c r="A128">
        <v>58</v>
      </c>
      <c r="B128" t="str" cm="1">
        <f t="array" ref="B128">_xlfn.IFS(A128&lt;=25,"18-25",A128&lt;=35,"26-35",A128&lt;=45,"36-45",A128&lt;=55,"46-55",A128&gt;55,"55+")</f>
        <v>55+</v>
      </c>
      <c r="C128">
        <v>1</v>
      </c>
      <c r="D128" t="s">
        <v>32</v>
      </c>
      <c r="E128">
        <v>147</v>
      </c>
      <c r="F128" t="s">
        <v>48</v>
      </c>
      <c r="G128">
        <v>23</v>
      </c>
      <c r="H128" t="s">
        <v>58</v>
      </c>
      <c r="I128" t="s">
        <v>59</v>
      </c>
      <c r="J128" t="s">
        <v>41</v>
      </c>
      <c r="K128" t="s">
        <v>37</v>
      </c>
      <c r="L128">
        <v>94</v>
      </c>
      <c r="M128" t="s">
        <v>38</v>
      </c>
      <c r="N128" t="s">
        <v>63</v>
      </c>
      <c r="O128" t="s">
        <v>65</v>
      </c>
      <c r="P128" t="s">
        <v>41</v>
      </c>
      <c r="Q128" t="s">
        <v>52</v>
      </c>
      <c r="R128">
        <v>10312</v>
      </c>
      <c r="S128">
        <v>3465</v>
      </c>
      <c r="T128">
        <v>1</v>
      </c>
      <c r="U128" t="s">
        <v>46</v>
      </c>
      <c r="V128">
        <v>12</v>
      </c>
      <c r="W128" t="s">
        <v>43</v>
      </c>
      <c r="X128" t="s">
        <v>41</v>
      </c>
      <c r="Y128">
        <v>1</v>
      </c>
      <c r="Z128">
        <v>40</v>
      </c>
      <c r="AA128">
        <v>3</v>
      </c>
      <c r="AB128" t="s">
        <v>60</v>
      </c>
      <c r="AC128">
        <v>40</v>
      </c>
      <c r="AD128" t="str" cm="1">
        <f t="array" ref="AD128">_xlfn.IFS(AC128&lt;=5,"0-5",AC128&lt;=10,"5-10",AC128&lt;=40,"10-40")</f>
        <v>10-40</v>
      </c>
      <c r="AE128">
        <v>10</v>
      </c>
      <c r="AF128">
        <v>15</v>
      </c>
      <c r="AG128">
        <v>6</v>
      </c>
      <c r="AH128">
        <v>127</v>
      </c>
    </row>
    <row r="129" spans="1:34" x14ac:dyDescent="0.3">
      <c r="A129">
        <v>19</v>
      </c>
      <c r="B129" t="str" cm="1">
        <f t="array" ref="B129">_xlfn.IFS(A129&lt;=25,"18-25",A129&lt;=35,"26-35",A129&lt;=45,"36-45",A129&lt;=55,"46-55",A129&gt;55,"55+")</f>
        <v>18-25</v>
      </c>
      <c r="C129">
        <v>1</v>
      </c>
      <c r="D129" t="s">
        <v>32</v>
      </c>
      <c r="E129">
        <v>528</v>
      </c>
      <c r="F129" t="s">
        <v>33</v>
      </c>
      <c r="G129">
        <v>22</v>
      </c>
      <c r="H129" t="s">
        <v>49</v>
      </c>
      <c r="I129" t="s">
        <v>72</v>
      </c>
      <c r="J129" t="s">
        <v>41</v>
      </c>
      <c r="K129" t="s">
        <v>50</v>
      </c>
      <c r="L129">
        <v>50</v>
      </c>
      <c r="M129" t="s">
        <v>38</v>
      </c>
      <c r="N129" t="s">
        <v>56</v>
      </c>
      <c r="O129" t="s">
        <v>69</v>
      </c>
      <c r="P129" t="s">
        <v>38</v>
      </c>
      <c r="Q129" t="s">
        <v>42</v>
      </c>
      <c r="R129">
        <v>1675</v>
      </c>
      <c r="S129">
        <v>26820</v>
      </c>
      <c r="T129">
        <v>1</v>
      </c>
      <c r="U129" t="s">
        <v>31</v>
      </c>
      <c r="V129">
        <v>19</v>
      </c>
      <c r="W129" t="s">
        <v>43</v>
      </c>
      <c r="X129" t="s">
        <v>41</v>
      </c>
      <c r="Y129">
        <v>0</v>
      </c>
      <c r="Z129">
        <v>0</v>
      </c>
      <c r="AA129">
        <v>2</v>
      </c>
      <c r="AB129" t="s">
        <v>60</v>
      </c>
      <c r="AC129">
        <v>0</v>
      </c>
      <c r="AD129" t="str" cm="1">
        <f t="array" ref="AD129">_xlfn.IFS(AC129&lt;=5,"0-5",AC129&lt;=10,"5-10",AC129&lt;=40,"10-40")</f>
        <v>0-5</v>
      </c>
      <c r="AE129">
        <v>0</v>
      </c>
      <c r="AF129">
        <v>0</v>
      </c>
      <c r="AG129">
        <v>0</v>
      </c>
      <c r="AH129">
        <v>128</v>
      </c>
    </row>
    <row r="130" spans="1:34" x14ac:dyDescent="0.3">
      <c r="A130">
        <v>22</v>
      </c>
      <c r="B130" t="str" cm="1">
        <f t="array" ref="B130">_xlfn.IFS(A130&lt;=25,"18-25",A130&lt;=35,"26-35",A130&lt;=45,"36-45",A130&lt;=55,"46-55",A130&gt;55,"55+")</f>
        <v>18-25</v>
      </c>
      <c r="C130">
        <v>0</v>
      </c>
      <c r="D130" t="s">
        <v>32</v>
      </c>
      <c r="E130">
        <v>594</v>
      </c>
      <c r="F130" t="s">
        <v>48</v>
      </c>
      <c r="G130">
        <v>2</v>
      </c>
      <c r="H130" t="s">
        <v>49</v>
      </c>
      <c r="I130" t="s">
        <v>74</v>
      </c>
      <c r="J130" t="s">
        <v>38</v>
      </c>
      <c r="K130" t="s">
        <v>50</v>
      </c>
      <c r="L130">
        <v>100</v>
      </c>
      <c r="M130" t="s">
        <v>38</v>
      </c>
      <c r="N130" t="s">
        <v>56</v>
      </c>
      <c r="O130" t="s">
        <v>57</v>
      </c>
      <c r="P130" t="s">
        <v>41</v>
      </c>
      <c r="Q130" t="s">
        <v>52</v>
      </c>
      <c r="R130">
        <v>2523</v>
      </c>
      <c r="S130">
        <v>19299</v>
      </c>
      <c r="T130">
        <v>0</v>
      </c>
      <c r="U130" t="s">
        <v>46</v>
      </c>
      <c r="V130">
        <v>14</v>
      </c>
      <c r="W130" t="s">
        <v>43</v>
      </c>
      <c r="X130" t="s">
        <v>38</v>
      </c>
      <c r="Y130">
        <v>1</v>
      </c>
      <c r="Z130">
        <v>3</v>
      </c>
      <c r="AA130">
        <v>2</v>
      </c>
      <c r="AB130" t="s">
        <v>54</v>
      </c>
      <c r="AC130">
        <v>2</v>
      </c>
      <c r="AD130" t="str" cm="1">
        <f t="array" ref="AD130">_xlfn.IFS(AC130&lt;=5,"0-5",AC130&lt;=10,"5-10",AC130&lt;=40,"10-40")</f>
        <v>0-5</v>
      </c>
      <c r="AE130">
        <v>1</v>
      </c>
      <c r="AF130">
        <v>2</v>
      </c>
      <c r="AG130">
        <v>1</v>
      </c>
      <c r="AH130">
        <v>129</v>
      </c>
    </row>
    <row r="131" spans="1:34" x14ac:dyDescent="0.3">
      <c r="A131">
        <v>49</v>
      </c>
      <c r="B131" t="str" cm="1">
        <f t="array" ref="B131">_xlfn.IFS(A131&lt;=25,"18-25",A131&lt;=35,"26-35",A131&lt;=45,"36-45",A131&lt;=55,"46-55",A131&gt;55,"55+")</f>
        <v>46-55</v>
      </c>
      <c r="C131">
        <v>0</v>
      </c>
      <c r="D131" t="s">
        <v>32</v>
      </c>
      <c r="E131">
        <v>470</v>
      </c>
      <c r="F131" t="s">
        <v>48</v>
      </c>
      <c r="G131">
        <v>20</v>
      </c>
      <c r="H131" t="s">
        <v>58</v>
      </c>
      <c r="I131" t="s">
        <v>59</v>
      </c>
      <c r="J131" t="s">
        <v>38</v>
      </c>
      <c r="K131" t="s">
        <v>37</v>
      </c>
      <c r="L131">
        <v>96</v>
      </c>
      <c r="M131" t="s">
        <v>38</v>
      </c>
      <c r="N131" t="s">
        <v>39</v>
      </c>
      <c r="O131" t="s">
        <v>64</v>
      </c>
      <c r="P131" t="s">
        <v>44</v>
      </c>
      <c r="Q131" t="s">
        <v>52</v>
      </c>
      <c r="R131">
        <v>6567</v>
      </c>
      <c r="S131">
        <v>5549</v>
      </c>
      <c r="T131">
        <v>1</v>
      </c>
      <c r="U131" t="s">
        <v>46</v>
      </c>
      <c r="V131">
        <v>14</v>
      </c>
      <c r="W131" t="s">
        <v>43</v>
      </c>
      <c r="X131" t="s">
        <v>38</v>
      </c>
      <c r="Y131">
        <v>0</v>
      </c>
      <c r="Z131">
        <v>16</v>
      </c>
      <c r="AA131">
        <v>2</v>
      </c>
      <c r="AB131" t="s">
        <v>60</v>
      </c>
      <c r="AC131">
        <v>15</v>
      </c>
      <c r="AD131" t="str" cm="1">
        <f t="array" ref="AD131">_xlfn.IFS(AC131&lt;=5,"0-5",AC131&lt;=10,"5-10",AC131&lt;=40,"10-40")</f>
        <v>10-40</v>
      </c>
      <c r="AE131">
        <v>11</v>
      </c>
      <c r="AF131">
        <v>5</v>
      </c>
      <c r="AG131">
        <v>11</v>
      </c>
      <c r="AH131">
        <v>130</v>
      </c>
    </row>
    <row r="132" spans="1:34" x14ac:dyDescent="0.3">
      <c r="A132">
        <v>43</v>
      </c>
      <c r="B132" t="str" cm="1">
        <f t="array" ref="B132">_xlfn.IFS(A132&lt;=25,"18-25",A132&lt;=35,"26-35",A132&lt;=45,"36-45",A132&lt;=55,"46-55",A132&gt;55,"55+")</f>
        <v>36-45</v>
      </c>
      <c r="C132">
        <v>0</v>
      </c>
      <c r="D132" t="s">
        <v>47</v>
      </c>
      <c r="E132">
        <v>957</v>
      </c>
      <c r="F132" t="s">
        <v>48</v>
      </c>
      <c r="G132">
        <v>28</v>
      </c>
      <c r="H132" t="s">
        <v>61</v>
      </c>
      <c r="I132" t="s">
        <v>59</v>
      </c>
      <c r="J132" t="s">
        <v>36</v>
      </c>
      <c r="K132" t="s">
        <v>37</v>
      </c>
      <c r="L132">
        <v>72</v>
      </c>
      <c r="M132" t="s">
        <v>41</v>
      </c>
      <c r="N132" t="s">
        <v>56</v>
      </c>
      <c r="O132" t="s">
        <v>51</v>
      </c>
      <c r="P132" t="s">
        <v>38</v>
      </c>
      <c r="Q132" t="s">
        <v>42</v>
      </c>
      <c r="R132">
        <v>4739</v>
      </c>
      <c r="S132">
        <v>16090</v>
      </c>
      <c r="T132">
        <v>4</v>
      </c>
      <c r="U132" t="s">
        <v>46</v>
      </c>
      <c r="V132">
        <v>12</v>
      </c>
      <c r="W132" t="s">
        <v>43</v>
      </c>
      <c r="X132" t="s">
        <v>41</v>
      </c>
      <c r="Y132">
        <v>0</v>
      </c>
      <c r="Z132">
        <v>18</v>
      </c>
      <c r="AA132">
        <v>2</v>
      </c>
      <c r="AB132" t="s">
        <v>54</v>
      </c>
      <c r="AC132">
        <v>3</v>
      </c>
      <c r="AD132" t="str" cm="1">
        <f t="array" ref="AD132">_xlfn.IFS(AC132&lt;=5,"0-5",AC132&lt;=10,"5-10",AC132&lt;=40,"10-40")</f>
        <v>0-5</v>
      </c>
      <c r="AE132">
        <v>2</v>
      </c>
      <c r="AF132">
        <v>1</v>
      </c>
      <c r="AG132">
        <v>2</v>
      </c>
      <c r="AH132">
        <v>131</v>
      </c>
    </row>
    <row r="133" spans="1:34" x14ac:dyDescent="0.3">
      <c r="A133">
        <v>50</v>
      </c>
      <c r="B133" t="str" cm="1">
        <f t="array" ref="B133">_xlfn.IFS(A133&lt;=25,"18-25",A133&lt;=35,"26-35",A133&lt;=45,"36-45",A133&lt;=55,"46-55",A133&gt;55,"55+")</f>
        <v>46-55</v>
      </c>
      <c r="C133">
        <v>0</v>
      </c>
      <c r="D133" t="s">
        <v>47</v>
      </c>
      <c r="E133">
        <v>809</v>
      </c>
      <c r="F133" t="s">
        <v>33</v>
      </c>
      <c r="G133">
        <v>12</v>
      </c>
      <c r="H133" t="s">
        <v>61</v>
      </c>
      <c r="I133" t="s">
        <v>72</v>
      </c>
      <c r="J133" t="s">
        <v>38</v>
      </c>
      <c r="K133" t="s">
        <v>37</v>
      </c>
      <c r="L133">
        <v>77</v>
      </c>
      <c r="M133" t="s">
        <v>38</v>
      </c>
      <c r="N133" t="s">
        <v>63</v>
      </c>
      <c r="O133" t="s">
        <v>40</v>
      </c>
      <c r="P133" t="s">
        <v>41</v>
      </c>
      <c r="Q133" t="s">
        <v>42</v>
      </c>
      <c r="R133">
        <v>9208</v>
      </c>
      <c r="S133">
        <v>6645</v>
      </c>
      <c r="T133">
        <v>4</v>
      </c>
      <c r="U133" t="s">
        <v>46</v>
      </c>
      <c r="V133">
        <v>11</v>
      </c>
      <c r="W133" t="s">
        <v>43</v>
      </c>
      <c r="X133" t="s">
        <v>41</v>
      </c>
      <c r="Y133">
        <v>0</v>
      </c>
      <c r="Z133">
        <v>16</v>
      </c>
      <c r="AA133">
        <v>3</v>
      </c>
      <c r="AB133" t="s">
        <v>54</v>
      </c>
      <c r="AC133">
        <v>2</v>
      </c>
      <c r="AD133" t="str" cm="1">
        <f t="array" ref="AD133">_xlfn.IFS(AC133&lt;=5,"0-5",AC133&lt;=10,"5-10",AC133&lt;=40,"10-40")</f>
        <v>0-5</v>
      </c>
      <c r="AE133">
        <v>2</v>
      </c>
      <c r="AF133">
        <v>2</v>
      </c>
      <c r="AG133">
        <v>1</v>
      </c>
      <c r="AH133">
        <v>132</v>
      </c>
    </row>
    <row r="134" spans="1:34" x14ac:dyDescent="0.3">
      <c r="A134">
        <v>31</v>
      </c>
      <c r="B134" t="str" cm="1">
        <f t="array" ref="B134">_xlfn.IFS(A134&lt;=25,"18-25",A134&lt;=35,"26-35",A134&lt;=45,"36-45",A134&lt;=55,"46-55",A134&gt;55,"55+")</f>
        <v>26-35</v>
      </c>
      <c r="C134">
        <v>1</v>
      </c>
      <c r="D134" t="s">
        <v>32</v>
      </c>
      <c r="E134">
        <v>542</v>
      </c>
      <c r="F134" t="s">
        <v>33</v>
      </c>
      <c r="G134">
        <v>20</v>
      </c>
      <c r="H134" t="s">
        <v>61</v>
      </c>
      <c r="I134" t="s">
        <v>35</v>
      </c>
      <c r="J134" t="s">
        <v>36</v>
      </c>
      <c r="K134" t="s">
        <v>37</v>
      </c>
      <c r="L134">
        <v>71</v>
      </c>
      <c r="M134" t="s">
        <v>44</v>
      </c>
      <c r="N134" t="s">
        <v>39</v>
      </c>
      <c r="O134" t="s">
        <v>40</v>
      </c>
      <c r="P134" t="s">
        <v>38</v>
      </c>
      <c r="Q134" t="s">
        <v>52</v>
      </c>
      <c r="R134">
        <v>4559</v>
      </c>
      <c r="S134">
        <v>24788</v>
      </c>
      <c r="T134">
        <v>3</v>
      </c>
      <c r="U134" t="s">
        <v>31</v>
      </c>
      <c r="V134">
        <v>11</v>
      </c>
      <c r="W134" t="s">
        <v>43</v>
      </c>
      <c r="X134" t="s">
        <v>38</v>
      </c>
      <c r="Y134">
        <v>1</v>
      </c>
      <c r="Z134">
        <v>4</v>
      </c>
      <c r="AA134">
        <v>2</v>
      </c>
      <c r="AB134" t="s">
        <v>54</v>
      </c>
      <c r="AC134">
        <v>2</v>
      </c>
      <c r="AD134" t="str" cm="1">
        <f t="array" ref="AD134">_xlfn.IFS(AC134&lt;=5,"0-5",AC134&lt;=10,"5-10",AC134&lt;=40,"10-40")</f>
        <v>0-5</v>
      </c>
      <c r="AE134">
        <v>2</v>
      </c>
      <c r="AF134">
        <v>2</v>
      </c>
      <c r="AG134">
        <v>2</v>
      </c>
      <c r="AH134">
        <v>133</v>
      </c>
    </row>
    <row r="135" spans="1:34" x14ac:dyDescent="0.3">
      <c r="A135">
        <v>41</v>
      </c>
      <c r="B135" t="str" cm="1">
        <f t="array" ref="B135">_xlfn.IFS(A135&lt;=25,"18-25",A135&lt;=35,"26-35",A135&lt;=45,"36-45",A135&lt;=55,"46-55",A135&gt;55,"55+")</f>
        <v>36-45</v>
      </c>
      <c r="C135">
        <v>0</v>
      </c>
      <c r="D135" t="s">
        <v>32</v>
      </c>
      <c r="E135">
        <v>802</v>
      </c>
      <c r="F135" t="s">
        <v>33</v>
      </c>
      <c r="G135">
        <v>9</v>
      </c>
      <c r="H135" t="s">
        <v>49</v>
      </c>
      <c r="I135" t="s">
        <v>35</v>
      </c>
      <c r="J135" t="s">
        <v>38</v>
      </c>
      <c r="K135" t="s">
        <v>50</v>
      </c>
      <c r="L135">
        <v>96</v>
      </c>
      <c r="M135" t="s">
        <v>38</v>
      </c>
      <c r="N135" t="s">
        <v>63</v>
      </c>
      <c r="O135" t="s">
        <v>40</v>
      </c>
      <c r="P135" t="s">
        <v>38</v>
      </c>
      <c r="Q135" t="s">
        <v>62</v>
      </c>
      <c r="R135">
        <v>8189</v>
      </c>
      <c r="S135">
        <v>21196</v>
      </c>
      <c r="T135">
        <v>3</v>
      </c>
      <c r="U135" t="s">
        <v>31</v>
      </c>
      <c r="V135">
        <v>13</v>
      </c>
      <c r="W135" t="s">
        <v>43</v>
      </c>
      <c r="X135" t="s">
        <v>38</v>
      </c>
      <c r="Y135">
        <v>1</v>
      </c>
      <c r="Z135">
        <v>12</v>
      </c>
      <c r="AA135">
        <v>2</v>
      </c>
      <c r="AB135" t="s">
        <v>54</v>
      </c>
      <c r="AC135">
        <v>9</v>
      </c>
      <c r="AD135" t="str" cm="1">
        <f t="array" ref="AD135">_xlfn.IFS(AC135&lt;=5,"0-5",AC135&lt;=10,"5-10",AC135&lt;=40,"10-40")</f>
        <v>5-10</v>
      </c>
      <c r="AE135">
        <v>7</v>
      </c>
      <c r="AF135">
        <v>0</v>
      </c>
      <c r="AG135">
        <v>7</v>
      </c>
      <c r="AH135">
        <v>134</v>
      </c>
    </row>
    <row r="136" spans="1:34" x14ac:dyDescent="0.3">
      <c r="A136">
        <v>26</v>
      </c>
      <c r="B136" t="str" cm="1">
        <f t="array" ref="B136">_xlfn.IFS(A136&lt;=25,"18-25",A136&lt;=35,"26-35",A136&lt;=45,"36-45",A136&lt;=55,"46-55",A136&gt;55,"55+")</f>
        <v>26-35</v>
      </c>
      <c r="C136">
        <v>0</v>
      </c>
      <c r="D136" t="s">
        <v>32</v>
      </c>
      <c r="E136">
        <v>1355</v>
      </c>
      <c r="F136" t="s">
        <v>76</v>
      </c>
      <c r="G136">
        <v>25</v>
      </c>
      <c r="H136" t="s">
        <v>49</v>
      </c>
      <c r="I136" t="s">
        <v>35</v>
      </c>
      <c r="J136" t="s">
        <v>38</v>
      </c>
      <c r="K136" t="s">
        <v>37</v>
      </c>
      <c r="L136">
        <v>61</v>
      </c>
      <c r="M136" t="s">
        <v>38</v>
      </c>
      <c r="N136" t="s">
        <v>56</v>
      </c>
      <c r="O136" t="s">
        <v>76</v>
      </c>
      <c r="P136" t="s">
        <v>38</v>
      </c>
      <c r="Q136" t="s">
        <v>52</v>
      </c>
      <c r="R136">
        <v>2942</v>
      </c>
      <c r="S136">
        <v>8916</v>
      </c>
      <c r="T136">
        <v>1</v>
      </c>
      <c r="U136" t="s">
        <v>46</v>
      </c>
      <c r="V136">
        <v>23</v>
      </c>
      <c r="W136" t="s">
        <v>53</v>
      </c>
      <c r="X136" t="s">
        <v>41</v>
      </c>
      <c r="Y136">
        <v>1</v>
      </c>
      <c r="Z136">
        <v>8</v>
      </c>
      <c r="AA136">
        <v>3</v>
      </c>
      <c r="AB136" t="s">
        <v>54</v>
      </c>
      <c r="AC136">
        <v>8</v>
      </c>
      <c r="AD136" t="str" cm="1">
        <f t="array" ref="AD136">_xlfn.IFS(AC136&lt;=5,"0-5",AC136&lt;=10,"5-10",AC136&lt;=40,"10-40")</f>
        <v>5-10</v>
      </c>
      <c r="AE136">
        <v>7</v>
      </c>
      <c r="AF136">
        <v>5</v>
      </c>
      <c r="AG136">
        <v>7</v>
      </c>
      <c r="AH136">
        <v>135</v>
      </c>
    </row>
    <row r="137" spans="1:34" x14ac:dyDescent="0.3">
      <c r="A137">
        <v>36</v>
      </c>
      <c r="B137" t="str" cm="1">
        <f t="array" ref="B137">_xlfn.IFS(A137&lt;=25,"18-25",A137&lt;=35,"26-35",A137&lt;=45,"36-45",A137&lt;=55,"46-55",A137&gt;55,"55+")</f>
        <v>36-45</v>
      </c>
      <c r="C137">
        <v>0</v>
      </c>
      <c r="D137" t="s">
        <v>32</v>
      </c>
      <c r="E137">
        <v>216</v>
      </c>
      <c r="F137" t="s">
        <v>48</v>
      </c>
      <c r="G137">
        <v>6</v>
      </c>
      <c r="H137" t="s">
        <v>34</v>
      </c>
      <c r="I137" t="s">
        <v>59</v>
      </c>
      <c r="J137" t="s">
        <v>36</v>
      </c>
      <c r="K137" t="s">
        <v>50</v>
      </c>
      <c r="L137">
        <v>84</v>
      </c>
      <c r="M137" t="s">
        <v>38</v>
      </c>
      <c r="N137" t="s">
        <v>39</v>
      </c>
      <c r="O137" t="s">
        <v>64</v>
      </c>
      <c r="P137" t="s">
        <v>36</v>
      </c>
      <c r="Q137" t="s">
        <v>62</v>
      </c>
      <c r="R137">
        <v>4941</v>
      </c>
      <c r="S137">
        <v>2819</v>
      </c>
      <c r="T137">
        <v>6</v>
      </c>
      <c r="U137" t="s">
        <v>46</v>
      </c>
      <c r="V137">
        <v>20</v>
      </c>
      <c r="W137" t="s">
        <v>53</v>
      </c>
      <c r="X137" t="s">
        <v>41</v>
      </c>
      <c r="Y137">
        <v>2</v>
      </c>
      <c r="Z137">
        <v>7</v>
      </c>
      <c r="AA137">
        <v>0</v>
      </c>
      <c r="AB137" t="s">
        <v>54</v>
      </c>
      <c r="AC137">
        <v>3</v>
      </c>
      <c r="AD137" t="str" cm="1">
        <f t="array" ref="AD137">_xlfn.IFS(AC137&lt;=5,"0-5",AC137&lt;=10,"5-10",AC137&lt;=40,"10-40")</f>
        <v>0-5</v>
      </c>
      <c r="AE137">
        <v>2</v>
      </c>
      <c r="AF137">
        <v>0</v>
      </c>
      <c r="AG137">
        <v>1</v>
      </c>
      <c r="AH137">
        <v>136</v>
      </c>
    </row>
    <row r="138" spans="1:34" x14ac:dyDescent="0.3">
      <c r="A138">
        <v>51</v>
      </c>
      <c r="B138" t="str" cm="1">
        <f t="array" ref="B138">_xlfn.IFS(A138&lt;=25,"18-25",A138&lt;=35,"26-35",A138&lt;=45,"36-45",A138&lt;=55,"46-55",A138&gt;55,"55+")</f>
        <v>46-55</v>
      </c>
      <c r="C138">
        <v>1</v>
      </c>
      <c r="D138" t="s">
        <v>47</v>
      </c>
      <c r="E138">
        <v>1150</v>
      </c>
      <c r="F138" t="s">
        <v>48</v>
      </c>
      <c r="G138">
        <v>8</v>
      </c>
      <c r="H138" t="s">
        <v>58</v>
      </c>
      <c r="I138" t="s">
        <v>35</v>
      </c>
      <c r="J138" t="s">
        <v>44</v>
      </c>
      <c r="K138" t="s">
        <v>50</v>
      </c>
      <c r="L138">
        <v>53</v>
      </c>
      <c r="M138" t="s">
        <v>44</v>
      </c>
      <c r="N138" t="s">
        <v>63</v>
      </c>
      <c r="O138" t="s">
        <v>64</v>
      </c>
      <c r="P138" t="s">
        <v>41</v>
      </c>
      <c r="Q138" t="s">
        <v>42</v>
      </c>
      <c r="R138">
        <v>10650</v>
      </c>
      <c r="S138">
        <v>25150</v>
      </c>
      <c r="T138">
        <v>2</v>
      </c>
      <c r="U138" t="s">
        <v>46</v>
      </c>
      <c r="V138">
        <v>15</v>
      </c>
      <c r="W138" t="s">
        <v>43</v>
      </c>
      <c r="X138" t="s">
        <v>41</v>
      </c>
      <c r="Y138">
        <v>0</v>
      </c>
      <c r="Z138">
        <v>18</v>
      </c>
      <c r="AA138">
        <v>2</v>
      </c>
      <c r="AB138" t="s">
        <v>54</v>
      </c>
      <c r="AC138">
        <v>4</v>
      </c>
      <c r="AD138" t="str" cm="1">
        <f t="array" ref="AD138">_xlfn.IFS(AC138&lt;=5,"0-5",AC138&lt;=10,"5-10",AC138&lt;=40,"10-40")</f>
        <v>0-5</v>
      </c>
      <c r="AE138">
        <v>2</v>
      </c>
      <c r="AF138">
        <v>0</v>
      </c>
      <c r="AG138">
        <v>3</v>
      </c>
      <c r="AH138">
        <v>137</v>
      </c>
    </row>
    <row r="139" spans="1:34" x14ac:dyDescent="0.3">
      <c r="A139">
        <v>39</v>
      </c>
      <c r="B139" t="str" cm="1">
        <f t="array" ref="B139">_xlfn.IFS(A139&lt;=25,"18-25",A139&lt;=35,"26-35",A139&lt;=45,"36-45",A139&lt;=55,"46-55",A139&gt;55,"55+")</f>
        <v>36-45</v>
      </c>
      <c r="C139">
        <v>0</v>
      </c>
      <c r="D139" t="s">
        <v>32</v>
      </c>
      <c r="E139">
        <v>1329</v>
      </c>
      <c r="F139" t="s">
        <v>33</v>
      </c>
      <c r="G139">
        <v>4</v>
      </c>
      <c r="H139" t="s">
        <v>58</v>
      </c>
      <c r="I139" t="s">
        <v>35</v>
      </c>
      <c r="J139" t="s">
        <v>41</v>
      </c>
      <c r="K139" t="s">
        <v>37</v>
      </c>
      <c r="L139">
        <v>47</v>
      </c>
      <c r="M139" t="s">
        <v>36</v>
      </c>
      <c r="N139" t="s">
        <v>39</v>
      </c>
      <c r="O139" t="s">
        <v>40</v>
      </c>
      <c r="P139" t="s">
        <v>38</v>
      </c>
      <c r="Q139" t="s">
        <v>52</v>
      </c>
      <c r="R139">
        <v>5902</v>
      </c>
      <c r="S139">
        <v>14590</v>
      </c>
      <c r="T139">
        <v>4</v>
      </c>
      <c r="U139" t="s">
        <v>46</v>
      </c>
      <c r="V139">
        <v>14</v>
      </c>
      <c r="W139" t="s">
        <v>43</v>
      </c>
      <c r="X139" t="s">
        <v>38</v>
      </c>
      <c r="Y139">
        <v>1</v>
      </c>
      <c r="Z139">
        <v>17</v>
      </c>
      <c r="AA139">
        <v>1</v>
      </c>
      <c r="AB139" t="s">
        <v>73</v>
      </c>
      <c r="AC139">
        <v>15</v>
      </c>
      <c r="AD139" t="str" cm="1">
        <f t="array" ref="AD139">_xlfn.IFS(AC139&lt;=5,"0-5",AC139&lt;=10,"5-10",AC139&lt;=40,"10-40")</f>
        <v>10-40</v>
      </c>
      <c r="AE139">
        <v>11</v>
      </c>
      <c r="AF139">
        <v>5</v>
      </c>
      <c r="AG139">
        <v>9</v>
      </c>
      <c r="AH139">
        <v>138</v>
      </c>
    </row>
    <row r="140" spans="1:34" x14ac:dyDescent="0.3">
      <c r="A140">
        <v>25</v>
      </c>
      <c r="B140" t="str" cm="1">
        <f t="array" ref="B140">_xlfn.IFS(A140&lt;=25,"18-25",A140&lt;=35,"26-35",A140&lt;=45,"36-45",A140&lt;=55,"46-55",A140&gt;55,"55+")</f>
        <v>18-25</v>
      </c>
      <c r="C140">
        <v>0</v>
      </c>
      <c r="D140" t="s">
        <v>32</v>
      </c>
      <c r="E140">
        <v>959</v>
      </c>
      <c r="F140" t="s">
        <v>33</v>
      </c>
      <c r="G140">
        <v>28</v>
      </c>
      <c r="H140" t="s">
        <v>61</v>
      </c>
      <c r="I140" t="s">
        <v>35</v>
      </c>
      <c r="J140" t="s">
        <v>44</v>
      </c>
      <c r="K140" t="s">
        <v>50</v>
      </c>
      <c r="L140">
        <v>41</v>
      </c>
      <c r="M140" t="s">
        <v>36</v>
      </c>
      <c r="N140" t="s">
        <v>39</v>
      </c>
      <c r="O140" t="s">
        <v>40</v>
      </c>
      <c r="P140" t="s">
        <v>38</v>
      </c>
      <c r="Q140" t="s">
        <v>52</v>
      </c>
      <c r="R140">
        <v>8639</v>
      </c>
      <c r="S140">
        <v>24835</v>
      </c>
      <c r="T140">
        <v>2</v>
      </c>
      <c r="U140" t="s">
        <v>46</v>
      </c>
      <c r="V140">
        <v>18</v>
      </c>
      <c r="W140" t="s">
        <v>43</v>
      </c>
      <c r="X140" t="s">
        <v>41</v>
      </c>
      <c r="Y140">
        <v>0</v>
      </c>
      <c r="Z140">
        <v>6</v>
      </c>
      <c r="AA140">
        <v>3</v>
      </c>
      <c r="AB140" t="s">
        <v>54</v>
      </c>
      <c r="AC140">
        <v>2</v>
      </c>
      <c r="AD140" t="str" cm="1">
        <f t="array" ref="AD140">_xlfn.IFS(AC140&lt;=5,"0-5",AC140&lt;=10,"5-10",AC140&lt;=40,"10-40")</f>
        <v>0-5</v>
      </c>
      <c r="AE140">
        <v>2</v>
      </c>
      <c r="AF140">
        <v>2</v>
      </c>
      <c r="AG140">
        <v>2</v>
      </c>
      <c r="AH140">
        <v>139</v>
      </c>
    </row>
    <row r="141" spans="1:34" x14ac:dyDescent="0.3">
      <c r="A141">
        <v>30</v>
      </c>
      <c r="B141" t="str" cm="1">
        <f t="array" ref="B141">_xlfn.IFS(A141&lt;=25,"18-25",A141&lt;=35,"26-35",A141&lt;=45,"36-45",A141&lt;=55,"46-55",A141&gt;55,"55+")</f>
        <v>26-35</v>
      </c>
      <c r="C141">
        <v>0</v>
      </c>
      <c r="D141" t="s">
        <v>32</v>
      </c>
      <c r="E141">
        <v>1240</v>
      </c>
      <c r="F141" t="s">
        <v>76</v>
      </c>
      <c r="G141">
        <v>9</v>
      </c>
      <c r="H141" t="s">
        <v>61</v>
      </c>
      <c r="I141" t="s">
        <v>76</v>
      </c>
      <c r="J141" t="s">
        <v>38</v>
      </c>
      <c r="K141" t="s">
        <v>50</v>
      </c>
      <c r="L141">
        <v>48</v>
      </c>
      <c r="M141" t="s">
        <v>38</v>
      </c>
      <c r="N141" t="s">
        <v>39</v>
      </c>
      <c r="O141" t="s">
        <v>76</v>
      </c>
      <c r="P141" t="s">
        <v>41</v>
      </c>
      <c r="Q141" t="s">
        <v>52</v>
      </c>
      <c r="R141">
        <v>6347</v>
      </c>
      <c r="S141">
        <v>13982</v>
      </c>
      <c r="T141">
        <v>0</v>
      </c>
      <c r="U141" t="s">
        <v>31</v>
      </c>
      <c r="V141">
        <v>19</v>
      </c>
      <c r="W141" t="s">
        <v>43</v>
      </c>
      <c r="X141" t="s">
        <v>41</v>
      </c>
      <c r="Y141">
        <v>0</v>
      </c>
      <c r="Z141">
        <v>12</v>
      </c>
      <c r="AA141">
        <v>2</v>
      </c>
      <c r="AB141" t="s">
        <v>45</v>
      </c>
      <c r="AC141">
        <v>11</v>
      </c>
      <c r="AD141" t="str" cm="1">
        <f t="array" ref="AD141">_xlfn.IFS(AC141&lt;=5,"0-5",AC141&lt;=10,"5-10",AC141&lt;=40,"10-40")</f>
        <v>10-40</v>
      </c>
      <c r="AE141">
        <v>9</v>
      </c>
      <c r="AF141">
        <v>4</v>
      </c>
      <c r="AG141">
        <v>7</v>
      </c>
      <c r="AH141">
        <v>140</v>
      </c>
    </row>
    <row r="142" spans="1:34" x14ac:dyDescent="0.3">
      <c r="A142">
        <v>32</v>
      </c>
      <c r="B142" t="str" cm="1">
        <f t="array" ref="B142">_xlfn.IFS(A142&lt;=25,"18-25",A142&lt;=35,"26-35",A142&lt;=45,"36-45",A142&lt;=55,"46-55",A142&gt;55,"55+")</f>
        <v>26-35</v>
      </c>
      <c r="C142">
        <v>1</v>
      </c>
      <c r="D142" t="s">
        <v>32</v>
      </c>
      <c r="E142">
        <v>1033</v>
      </c>
      <c r="F142" t="s">
        <v>48</v>
      </c>
      <c r="G142">
        <v>9</v>
      </c>
      <c r="H142" t="s">
        <v>61</v>
      </c>
      <c r="I142" t="s">
        <v>59</v>
      </c>
      <c r="J142" t="s">
        <v>44</v>
      </c>
      <c r="K142" t="s">
        <v>37</v>
      </c>
      <c r="L142">
        <v>41</v>
      </c>
      <c r="M142" t="s">
        <v>38</v>
      </c>
      <c r="N142" t="s">
        <v>56</v>
      </c>
      <c r="O142" t="s">
        <v>57</v>
      </c>
      <c r="P142" t="s">
        <v>44</v>
      </c>
      <c r="Q142" t="s">
        <v>42</v>
      </c>
      <c r="R142">
        <v>4200</v>
      </c>
      <c r="S142">
        <v>10224</v>
      </c>
      <c r="T142">
        <v>7</v>
      </c>
      <c r="U142" t="s">
        <v>46</v>
      </c>
      <c r="V142">
        <v>22</v>
      </c>
      <c r="W142" t="s">
        <v>53</v>
      </c>
      <c r="X142" t="s">
        <v>44</v>
      </c>
      <c r="Y142">
        <v>0</v>
      </c>
      <c r="Z142">
        <v>10</v>
      </c>
      <c r="AA142">
        <v>2</v>
      </c>
      <c r="AB142" t="s">
        <v>73</v>
      </c>
      <c r="AC142">
        <v>5</v>
      </c>
      <c r="AD142" t="str" cm="1">
        <f t="array" ref="AD142">_xlfn.IFS(AC142&lt;=5,"0-5",AC142&lt;=10,"5-10",AC142&lt;=40,"10-40")</f>
        <v>0-5</v>
      </c>
      <c r="AE142">
        <v>4</v>
      </c>
      <c r="AF142">
        <v>0</v>
      </c>
      <c r="AG142">
        <v>4</v>
      </c>
      <c r="AH142">
        <v>141</v>
      </c>
    </row>
    <row r="143" spans="1:34" x14ac:dyDescent="0.3">
      <c r="A143">
        <v>45</v>
      </c>
      <c r="B143" t="str" cm="1">
        <f t="array" ref="B143">_xlfn.IFS(A143&lt;=25,"18-25",A143&lt;=35,"26-35",A143&lt;=45,"36-45",A143&lt;=55,"46-55",A143&gt;55,"55+")</f>
        <v>36-45</v>
      </c>
      <c r="C143">
        <v>0</v>
      </c>
      <c r="D143" t="s">
        <v>32</v>
      </c>
      <c r="E143">
        <v>1316</v>
      </c>
      <c r="F143" t="s">
        <v>48</v>
      </c>
      <c r="G143">
        <v>29</v>
      </c>
      <c r="H143" t="s">
        <v>61</v>
      </c>
      <c r="I143" t="s">
        <v>59</v>
      </c>
      <c r="J143" t="s">
        <v>38</v>
      </c>
      <c r="K143" t="s">
        <v>50</v>
      </c>
      <c r="L143">
        <v>83</v>
      </c>
      <c r="M143" t="s">
        <v>38</v>
      </c>
      <c r="N143" t="s">
        <v>56</v>
      </c>
      <c r="O143" t="s">
        <v>51</v>
      </c>
      <c r="P143" t="s">
        <v>41</v>
      </c>
      <c r="Q143" t="s">
        <v>42</v>
      </c>
      <c r="R143">
        <v>3452</v>
      </c>
      <c r="S143">
        <v>9752</v>
      </c>
      <c r="T143">
        <v>5</v>
      </c>
      <c r="U143" t="s">
        <v>46</v>
      </c>
      <c r="V143">
        <v>13</v>
      </c>
      <c r="W143" t="s">
        <v>43</v>
      </c>
      <c r="X143" t="s">
        <v>36</v>
      </c>
      <c r="Y143">
        <v>0</v>
      </c>
      <c r="Z143">
        <v>9</v>
      </c>
      <c r="AA143">
        <v>2</v>
      </c>
      <c r="AB143" t="s">
        <v>60</v>
      </c>
      <c r="AC143">
        <v>6</v>
      </c>
      <c r="AD143" t="str" cm="1">
        <f t="array" ref="AD143">_xlfn.IFS(AC143&lt;=5,"0-5",AC143&lt;=10,"5-10",AC143&lt;=40,"10-40")</f>
        <v>5-10</v>
      </c>
      <c r="AE143">
        <v>5</v>
      </c>
      <c r="AF143">
        <v>0</v>
      </c>
      <c r="AG143">
        <v>3</v>
      </c>
      <c r="AH143">
        <v>142</v>
      </c>
    </row>
    <row r="144" spans="1:34" x14ac:dyDescent="0.3">
      <c r="A144">
        <v>38</v>
      </c>
      <c r="B144" t="str" cm="1">
        <f t="array" ref="B144">_xlfn.IFS(A144&lt;=25,"18-25",A144&lt;=35,"26-35",A144&lt;=45,"36-45",A144&lt;=55,"46-55",A144&gt;55,"55+")</f>
        <v>36-45</v>
      </c>
      <c r="C144">
        <v>0</v>
      </c>
      <c r="D144" t="s">
        <v>32</v>
      </c>
      <c r="E144">
        <v>364</v>
      </c>
      <c r="F144" t="s">
        <v>48</v>
      </c>
      <c r="G144">
        <v>3</v>
      </c>
      <c r="H144" t="s">
        <v>75</v>
      </c>
      <c r="I144" t="s">
        <v>74</v>
      </c>
      <c r="J144" t="s">
        <v>41</v>
      </c>
      <c r="K144" t="s">
        <v>37</v>
      </c>
      <c r="L144">
        <v>32</v>
      </c>
      <c r="M144" t="s">
        <v>38</v>
      </c>
      <c r="N144" t="s">
        <v>39</v>
      </c>
      <c r="O144" t="s">
        <v>51</v>
      </c>
      <c r="P144" t="s">
        <v>38</v>
      </c>
      <c r="Q144" t="s">
        <v>42</v>
      </c>
      <c r="R144">
        <v>4317</v>
      </c>
      <c r="S144">
        <v>2302</v>
      </c>
      <c r="T144">
        <v>3</v>
      </c>
      <c r="U144" t="s">
        <v>31</v>
      </c>
      <c r="V144">
        <v>20</v>
      </c>
      <c r="W144" t="s">
        <v>53</v>
      </c>
      <c r="X144" t="s">
        <v>36</v>
      </c>
      <c r="Y144">
        <v>0</v>
      </c>
      <c r="Z144">
        <v>19</v>
      </c>
      <c r="AA144">
        <v>2</v>
      </c>
      <c r="AB144" t="s">
        <v>54</v>
      </c>
      <c r="AC144">
        <v>3</v>
      </c>
      <c r="AD144" t="str" cm="1">
        <f t="array" ref="AD144">_xlfn.IFS(AC144&lt;=5,"0-5",AC144&lt;=10,"5-10",AC144&lt;=40,"10-40")</f>
        <v>0-5</v>
      </c>
      <c r="AE144">
        <v>2</v>
      </c>
      <c r="AF144">
        <v>2</v>
      </c>
      <c r="AG144">
        <v>2</v>
      </c>
      <c r="AH144">
        <v>143</v>
      </c>
    </row>
    <row r="145" spans="1:34" x14ac:dyDescent="0.3">
      <c r="A145">
        <v>30</v>
      </c>
      <c r="B145" t="str" cm="1">
        <f t="array" ref="B145">_xlfn.IFS(A145&lt;=25,"18-25",A145&lt;=35,"26-35",A145&lt;=45,"36-45",A145&lt;=55,"46-55",A145&gt;55,"55+")</f>
        <v>26-35</v>
      </c>
      <c r="C145">
        <v>0</v>
      </c>
      <c r="D145" t="s">
        <v>32</v>
      </c>
      <c r="E145">
        <v>438</v>
      </c>
      <c r="F145" t="s">
        <v>48</v>
      </c>
      <c r="G145">
        <v>18</v>
      </c>
      <c r="H145" t="s">
        <v>61</v>
      </c>
      <c r="I145" t="s">
        <v>35</v>
      </c>
      <c r="J145" t="s">
        <v>44</v>
      </c>
      <c r="K145" t="s">
        <v>37</v>
      </c>
      <c r="L145">
        <v>75</v>
      </c>
      <c r="M145" t="s">
        <v>38</v>
      </c>
      <c r="N145" t="s">
        <v>56</v>
      </c>
      <c r="O145" t="s">
        <v>51</v>
      </c>
      <c r="P145" t="s">
        <v>38</v>
      </c>
      <c r="Q145" t="s">
        <v>42</v>
      </c>
      <c r="R145">
        <v>2632</v>
      </c>
      <c r="S145">
        <v>23910</v>
      </c>
      <c r="T145">
        <v>1</v>
      </c>
      <c r="U145" t="s">
        <v>46</v>
      </c>
      <c r="V145">
        <v>14</v>
      </c>
      <c r="W145" t="s">
        <v>43</v>
      </c>
      <c r="X145" t="s">
        <v>38</v>
      </c>
      <c r="Y145">
        <v>0</v>
      </c>
      <c r="Z145">
        <v>5</v>
      </c>
      <c r="AA145">
        <v>4</v>
      </c>
      <c r="AB145" t="s">
        <v>60</v>
      </c>
      <c r="AC145">
        <v>5</v>
      </c>
      <c r="AD145" t="str" cm="1">
        <f t="array" ref="AD145">_xlfn.IFS(AC145&lt;=5,"0-5",AC145&lt;=10,"5-10",AC145&lt;=40,"10-40")</f>
        <v>0-5</v>
      </c>
      <c r="AE145">
        <v>4</v>
      </c>
      <c r="AF145">
        <v>0</v>
      </c>
      <c r="AG145">
        <v>4</v>
      </c>
      <c r="AH145">
        <v>144</v>
      </c>
    </row>
    <row r="146" spans="1:34" x14ac:dyDescent="0.3">
      <c r="A146">
        <v>32</v>
      </c>
      <c r="B146" t="str" cm="1">
        <f t="array" ref="B146">_xlfn.IFS(A146&lt;=25,"18-25",A146&lt;=35,"26-35",A146&lt;=45,"36-45",A146&lt;=55,"46-55",A146&gt;55,"55+")</f>
        <v>26-35</v>
      </c>
      <c r="C146">
        <v>0</v>
      </c>
      <c r="D146" t="s">
        <v>47</v>
      </c>
      <c r="E146">
        <v>689</v>
      </c>
      <c r="F146" t="s">
        <v>33</v>
      </c>
      <c r="G146">
        <v>9</v>
      </c>
      <c r="H146" t="s">
        <v>34</v>
      </c>
      <c r="I146" t="s">
        <v>59</v>
      </c>
      <c r="J146" t="s">
        <v>41</v>
      </c>
      <c r="K146" t="s">
        <v>50</v>
      </c>
      <c r="L146">
        <v>35</v>
      </c>
      <c r="M146" t="s">
        <v>44</v>
      </c>
      <c r="N146" t="s">
        <v>39</v>
      </c>
      <c r="O146" t="s">
        <v>40</v>
      </c>
      <c r="P146" t="s">
        <v>41</v>
      </c>
      <c r="Q146" t="s">
        <v>62</v>
      </c>
      <c r="R146">
        <v>4668</v>
      </c>
      <c r="S146">
        <v>22812</v>
      </c>
      <c r="T146">
        <v>0</v>
      </c>
      <c r="U146" t="s">
        <v>46</v>
      </c>
      <c r="V146">
        <v>17</v>
      </c>
      <c r="W146" t="s">
        <v>43</v>
      </c>
      <c r="X146" t="s">
        <v>41</v>
      </c>
      <c r="Y146">
        <v>3</v>
      </c>
      <c r="Z146">
        <v>9</v>
      </c>
      <c r="AA146">
        <v>2</v>
      </c>
      <c r="AB146" t="s">
        <v>73</v>
      </c>
      <c r="AC146">
        <v>8</v>
      </c>
      <c r="AD146" t="str" cm="1">
        <f t="array" ref="AD146">_xlfn.IFS(AC146&lt;=5,"0-5",AC146&lt;=10,"5-10",AC146&lt;=40,"10-40")</f>
        <v>5-10</v>
      </c>
      <c r="AE146">
        <v>7</v>
      </c>
      <c r="AF146">
        <v>0</v>
      </c>
      <c r="AG146">
        <v>7</v>
      </c>
      <c r="AH146">
        <v>145</v>
      </c>
    </row>
    <row r="147" spans="1:34" x14ac:dyDescent="0.3">
      <c r="A147">
        <v>30</v>
      </c>
      <c r="B147" t="str" cm="1">
        <f t="array" ref="B147">_xlfn.IFS(A147&lt;=25,"18-25",A147&lt;=35,"26-35",A147&lt;=45,"36-45",A147&lt;=55,"46-55",A147&gt;55,"55+")</f>
        <v>26-35</v>
      </c>
      <c r="C147">
        <v>0</v>
      </c>
      <c r="D147" t="s">
        <v>32</v>
      </c>
      <c r="E147">
        <v>201</v>
      </c>
      <c r="F147" t="s">
        <v>48</v>
      </c>
      <c r="G147">
        <v>5</v>
      </c>
      <c r="H147" t="s">
        <v>61</v>
      </c>
      <c r="I147" t="s">
        <v>74</v>
      </c>
      <c r="J147" t="s">
        <v>41</v>
      </c>
      <c r="K147" t="s">
        <v>37</v>
      </c>
      <c r="L147">
        <v>84</v>
      </c>
      <c r="M147" t="s">
        <v>38</v>
      </c>
      <c r="N147" t="s">
        <v>56</v>
      </c>
      <c r="O147" t="s">
        <v>51</v>
      </c>
      <c r="P147" t="s">
        <v>44</v>
      </c>
      <c r="Q147" t="s">
        <v>62</v>
      </c>
      <c r="R147">
        <v>3204</v>
      </c>
      <c r="S147">
        <v>10415</v>
      </c>
      <c r="T147">
        <v>5</v>
      </c>
      <c r="U147" t="s">
        <v>46</v>
      </c>
      <c r="V147">
        <v>14</v>
      </c>
      <c r="W147" t="s">
        <v>43</v>
      </c>
      <c r="X147" t="s">
        <v>41</v>
      </c>
      <c r="Y147">
        <v>1</v>
      </c>
      <c r="Z147">
        <v>8</v>
      </c>
      <c r="AA147">
        <v>3</v>
      </c>
      <c r="AB147" t="s">
        <v>54</v>
      </c>
      <c r="AC147">
        <v>3</v>
      </c>
      <c r="AD147" t="str" cm="1">
        <f t="array" ref="AD147">_xlfn.IFS(AC147&lt;=5,"0-5",AC147&lt;=10,"5-10",AC147&lt;=40,"10-40")</f>
        <v>0-5</v>
      </c>
      <c r="AE147">
        <v>2</v>
      </c>
      <c r="AF147">
        <v>2</v>
      </c>
      <c r="AG147">
        <v>2</v>
      </c>
      <c r="AH147">
        <v>146</v>
      </c>
    </row>
    <row r="148" spans="1:34" x14ac:dyDescent="0.3">
      <c r="A148">
        <v>30</v>
      </c>
      <c r="B148" t="str" cm="1">
        <f t="array" ref="B148">_xlfn.IFS(A148&lt;=25,"18-25",A148&lt;=35,"26-35",A148&lt;=45,"36-45",A148&lt;=55,"46-55",A148&gt;55,"55+")</f>
        <v>26-35</v>
      </c>
      <c r="C148">
        <v>0</v>
      </c>
      <c r="D148" t="s">
        <v>32</v>
      </c>
      <c r="E148">
        <v>1427</v>
      </c>
      <c r="F148" t="s">
        <v>48</v>
      </c>
      <c r="G148">
        <v>2</v>
      </c>
      <c r="H148" t="s">
        <v>49</v>
      </c>
      <c r="I148" t="s">
        <v>59</v>
      </c>
      <c r="J148" t="s">
        <v>36</v>
      </c>
      <c r="K148" t="s">
        <v>50</v>
      </c>
      <c r="L148">
        <v>35</v>
      </c>
      <c r="M148" t="s">
        <v>36</v>
      </c>
      <c r="N148" t="s">
        <v>56</v>
      </c>
      <c r="O148" t="s">
        <v>57</v>
      </c>
      <c r="P148" t="s">
        <v>41</v>
      </c>
      <c r="Q148" t="s">
        <v>42</v>
      </c>
      <c r="R148">
        <v>2720</v>
      </c>
      <c r="S148">
        <v>11162</v>
      </c>
      <c r="T148">
        <v>0</v>
      </c>
      <c r="U148" t="s">
        <v>46</v>
      </c>
      <c r="V148">
        <v>13</v>
      </c>
      <c r="W148" t="s">
        <v>43</v>
      </c>
      <c r="X148" t="s">
        <v>41</v>
      </c>
      <c r="Y148">
        <v>0</v>
      </c>
      <c r="Z148">
        <v>6</v>
      </c>
      <c r="AA148">
        <v>3</v>
      </c>
      <c r="AB148" t="s">
        <v>54</v>
      </c>
      <c r="AC148">
        <v>5</v>
      </c>
      <c r="AD148" t="str" cm="1">
        <f t="array" ref="AD148">_xlfn.IFS(AC148&lt;=5,"0-5",AC148&lt;=10,"5-10",AC148&lt;=40,"10-40")</f>
        <v>0-5</v>
      </c>
      <c r="AE148">
        <v>3</v>
      </c>
      <c r="AF148">
        <v>1</v>
      </c>
      <c r="AG148">
        <v>2</v>
      </c>
      <c r="AH148">
        <v>147</v>
      </c>
    </row>
    <row r="149" spans="1:34" x14ac:dyDescent="0.3">
      <c r="A149">
        <v>41</v>
      </c>
      <c r="B149" t="str" cm="1">
        <f t="array" ref="B149">_xlfn.IFS(A149&lt;=25,"18-25",A149&lt;=35,"26-35",A149&lt;=45,"36-45",A149&lt;=55,"46-55",A149&gt;55,"55+")</f>
        <v>36-45</v>
      </c>
      <c r="C149">
        <v>0</v>
      </c>
      <c r="D149" t="s">
        <v>47</v>
      </c>
      <c r="E149">
        <v>857</v>
      </c>
      <c r="F149" t="s">
        <v>48</v>
      </c>
      <c r="G149">
        <v>10</v>
      </c>
      <c r="H149" t="s">
        <v>61</v>
      </c>
      <c r="I149" t="s">
        <v>35</v>
      </c>
      <c r="J149" t="s">
        <v>41</v>
      </c>
      <c r="K149" t="s">
        <v>50</v>
      </c>
      <c r="L149">
        <v>91</v>
      </c>
      <c r="M149" t="s">
        <v>36</v>
      </c>
      <c r="N149" t="s">
        <v>67</v>
      </c>
      <c r="O149" t="s">
        <v>68</v>
      </c>
      <c r="P149" t="s">
        <v>44</v>
      </c>
      <c r="Q149" t="s">
        <v>62</v>
      </c>
      <c r="R149">
        <v>17181</v>
      </c>
      <c r="S149">
        <v>12888</v>
      </c>
      <c r="T149">
        <v>4</v>
      </c>
      <c r="U149" t="s">
        <v>46</v>
      </c>
      <c r="V149">
        <v>13</v>
      </c>
      <c r="W149" t="s">
        <v>43</v>
      </c>
      <c r="X149" t="s">
        <v>36</v>
      </c>
      <c r="Y149">
        <v>1</v>
      </c>
      <c r="Z149">
        <v>21</v>
      </c>
      <c r="AA149">
        <v>2</v>
      </c>
      <c r="AB149" t="s">
        <v>60</v>
      </c>
      <c r="AC149">
        <v>7</v>
      </c>
      <c r="AD149" t="str" cm="1">
        <f t="array" ref="AD149">_xlfn.IFS(AC149&lt;=5,"0-5",AC149&lt;=10,"5-10",AC149&lt;=40,"10-40")</f>
        <v>5-10</v>
      </c>
      <c r="AE149">
        <v>6</v>
      </c>
      <c r="AF149">
        <v>7</v>
      </c>
      <c r="AG149">
        <v>7</v>
      </c>
      <c r="AH149">
        <v>148</v>
      </c>
    </row>
    <row r="150" spans="1:34" x14ac:dyDescent="0.3">
      <c r="A150">
        <v>41</v>
      </c>
      <c r="B150" t="str" cm="1">
        <f t="array" ref="B150">_xlfn.IFS(A150&lt;=25,"18-25",A150&lt;=35,"26-35",A150&lt;=45,"36-45",A150&lt;=55,"46-55",A150&gt;55,"55+")</f>
        <v>36-45</v>
      </c>
      <c r="C150">
        <v>0</v>
      </c>
      <c r="D150" t="s">
        <v>32</v>
      </c>
      <c r="E150">
        <v>933</v>
      </c>
      <c r="F150" t="s">
        <v>48</v>
      </c>
      <c r="G150">
        <v>9</v>
      </c>
      <c r="H150" t="s">
        <v>58</v>
      </c>
      <c r="I150" t="s">
        <v>35</v>
      </c>
      <c r="J150" t="s">
        <v>38</v>
      </c>
      <c r="K150" t="s">
        <v>50</v>
      </c>
      <c r="L150">
        <v>94</v>
      </c>
      <c r="M150" t="s">
        <v>38</v>
      </c>
      <c r="N150" t="s">
        <v>56</v>
      </c>
      <c r="O150" t="s">
        <v>57</v>
      </c>
      <c r="P150" t="s">
        <v>44</v>
      </c>
      <c r="Q150" t="s">
        <v>52</v>
      </c>
      <c r="R150">
        <v>2238</v>
      </c>
      <c r="S150">
        <v>6961</v>
      </c>
      <c r="T150">
        <v>2</v>
      </c>
      <c r="U150" t="s">
        <v>46</v>
      </c>
      <c r="V150">
        <v>21</v>
      </c>
      <c r="W150" t="s">
        <v>53</v>
      </c>
      <c r="X150" t="s">
        <v>41</v>
      </c>
      <c r="Y150">
        <v>1</v>
      </c>
      <c r="Z150">
        <v>7</v>
      </c>
      <c r="AA150">
        <v>2</v>
      </c>
      <c r="AB150" t="s">
        <v>54</v>
      </c>
      <c r="AC150">
        <v>5</v>
      </c>
      <c r="AD150" t="str" cm="1">
        <f t="array" ref="AD150">_xlfn.IFS(AC150&lt;=5,"0-5",AC150&lt;=10,"5-10",AC150&lt;=40,"10-40")</f>
        <v>0-5</v>
      </c>
      <c r="AE150">
        <v>0</v>
      </c>
      <c r="AF150">
        <v>1</v>
      </c>
      <c r="AG150">
        <v>4</v>
      </c>
      <c r="AH150">
        <v>149</v>
      </c>
    </row>
    <row r="151" spans="1:34" x14ac:dyDescent="0.3">
      <c r="A151">
        <v>19</v>
      </c>
      <c r="B151" t="str" cm="1">
        <f t="array" ref="B151">_xlfn.IFS(A151&lt;=25,"18-25",A151&lt;=35,"26-35",A151&lt;=45,"36-45",A151&lt;=55,"46-55",A151&gt;55,"55+")</f>
        <v>18-25</v>
      </c>
      <c r="C151">
        <v>0</v>
      </c>
      <c r="D151" t="s">
        <v>32</v>
      </c>
      <c r="E151">
        <v>1181</v>
      </c>
      <c r="F151" t="s">
        <v>48</v>
      </c>
      <c r="G151">
        <v>3</v>
      </c>
      <c r="H151" t="s">
        <v>49</v>
      </c>
      <c r="I151" t="s">
        <v>59</v>
      </c>
      <c r="J151" t="s">
        <v>36</v>
      </c>
      <c r="K151" t="s">
        <v>37</v>
      </c>
      <c r="L151">
        <v>79</v>
      </c>
      <c r="M151" t="s">
        <v>38</v>
      </c>
      <c r="N151" t="s">
        <v>56</v>
      </c>
      <c r="O151" t="s">
        <v>57</v>
      </c>
      <c r="P151" t="s">
        <v>36</v>
      </c>
      <c r="Q151" t="s">
        <v>42</v>
      </c>
      <c r="R151">
        <v>1483</v>
      </c>
      <c r="S151">
        <v>16102</v>
      </c>
      <c r="T151">
        <v>1</v>
      </c>
      <c r="U151" t="s">
        <v>46</v>
      </c>
      <c r="V151">
        <v>14</v>
      </c>
      <c r="W151" t="s">
        <v>43</v>
      </c>
      <c r="X151" t="s">
        <v>41</v>
      </c>
      <c r="Y151">
        <v>0</v>
      </c>
      <c r="Z151">
        <v>1</v>
      </c>
      <c r="AA151">
        <v>3</v>
      </c>
      <c r="AB151" t="s">
        <v>54</v>
      </c>
      <c r="AC151">
        <v>1</v>
      </c>
      <c r="AD151" t="str" cm="1">
        <f t="array" ref="AD151">_xlfn.IFS(AC151&lt;=5,"0-5",AC151&lt;=10,"5-10",AC151&lt;=40,"10-40")</f>
        <v>0-5</v>
      </c>
      <c r="AE151">
        <v>0</v>
      </c>
      <c r="AF151">
        <v>0</v>
      </c>
      <c r="AG151">
        <v>0</v>
      </c>
      <c r="AH151">
        <v>150</v>
      </c>
    </row>
    <row r="152" spans="1:34" x14ac:dyDescent="0.3">
      <c r="A152">
        <v>40</v>
      </c>
      <c r="B152" t="str" cm="1">
        <f t="array" ref="B152">_xlfn.IFS(A152&lt;=25,"18-25",A152&lt;=35,"26-35",A152&lt;=45,"36-45",A152&lt;=55,"46-55",A152&gt;55,"55+")</f>
        <v>36-45</v>
      </c>
      <c r="C152">
        <v>0</v>
      </c>
      <c r="D152" t="s">
        <v>47</v>
      </c>
      <c r="E152">
        <v>1395</v>
      </c>
      <c r="F152" t="s">
        <v>48</v>
      </c>
      <c r="G152">
        <v>26</v>
      </c>
      <c r="H152" t="s">
        <v>61</v>
      </c>
      <c r="I152" t="s">
        <v>59</v>
      </c>
      <c r="J152" t="s">
        <v>36</v>
      </c>
      <c r="K152" t="s">
        <v>37</v>
      </c>
      <c r="L152">
        <v>54</v>
      </c>
      <c r="M152" t="s">
        <v>38</v>
      </c>
      <c r="N152" t="s">
        <v>39</v>
      </c>
      <c r="O152" t="s">
        <v>51</v>
      </c>
      <c r="P152" t="s">
        <v>36</v>
      </c>
      <c r="Q152" t="s">
        <v>62</v>
      </c>
      <c r="R152">
        <v>5605</v>
      </c>
      <c r="S152">
        <v>8504</v>
      </c>
      <c r="T152">
        <v>1</v>
      </c>
      <c r="U152" t="s">
        <v>46</v>
      </c>
      <c r="V152">
        <v>11</v>
      </c>
      <c r="W152" t="s">
        <v>43</v>
      </c>
      <c r="X152" t="s">
        <v>44</v>
      </c>
      <c r="Y152">
        <v>1</v>
      </c>
      <c r="Z152">
        <v>20</v>
      </c>
      <c r="AA152">
        <v>2</v>
      </c>
      <c r="AB152" t="s">
        <v>54</v>
      </c>
      <c r="AC152">
        <v>20</v>
      </c>
      <c r="AD152" t="str" cm="1">
        <f t="array" ref="AD152">_xlfn.IFS(AC152&lt;=5,"0-5",AC152&lt;=10,"5-10",AC152&lt;=40,"10-40")</f>
        <v>10-40</v>
      </c>
      <c r="AE152">
        <v>7</v>
      </c>
      <c r="AF152">
        <v>2</v>
      </c>
      <c r="AG152">
        <v>13</v>
      </c>
      <c r="AH152">
        <v>151</v>
      </c>
    </row>
    <row r="153" spans="1:34" x14ac:dyDescent="0.3">
      <c r="A153">
        <v>35</v>
      </c>
      <c r="B153" t="str" cm="1">
        <f t="array" ref="B153">_xlfn.IFS(A153&lt;=25,"18-25",A153&lt;=35,"26-35",A153&lt;=45,"36-45",A153&lt;=55,"46-55",A153&gt;55,"55+")</f>
        <v>26-35</v>
      </c>
      <c r="C153">
        <v>0</v>
      </c>
      <c r="D153" t="s">
        <v>32</v>
      </c>
      <c r="E153">
        <v>662</v>
      </c>
      <c r="F153" t="s">
        <v>33</v>
      </c>
      <c r="G153">
        <v>1</v>
      </c>
      <c r="H153" t="s">
        <v>75</v>
      </c>
      <c r="I153" t="s">
        <v>72</v>
      </c>
      <c r="J153" t="s">
        <v>38</v>
      </c>
      <c r="K153" t="s">
        <v>50</v>
      </c>
      <c r="L153">
        <v>94</v>
      </c>
      <c r="M153" t="s">
        <v>38</v>
      </c>
      <c r="N153" t="s">
        <v>63</v>
      </c>
      <c r="O153" t="s">
        <v>40</v>
      </c>
      <c r="P153" t="s">
        <v>36</v>
      </c>
      <c r="Q153" t="s">
        <v>52</v>
      </c>
      <c r="R153">
        <v>7295</v>
      </c>
      <c r="S153">
        <v>11439</v>
      </c>
      <c r="T153">
        <v>1</v>
      </c>
      <c r="U153" t="s">
        <v>46</v>
      </c>
      <c r="V153">
        <v>13</v>
      </c>
      <c r="W153" t="s">
        <v>43</v>
      </c>
      <c r="X153" t="s">
        <v>44</v>
      </c>
      <c r="Y153">
        <v>2</v>
      </c>
      <c r="Z153">
        <v>10</v>
      </c>
      <c r="AA153">
        <v>3</v>
      </c>
      <c r="AB153" t="s">
        <v>54</v>
      </c>
      <c r="AC153">
        <v>10</v>
      </c>
      <c r="AD153" t="str" cm="1">
        <f t="array" ref="AD153">_xlfn.IFS(AC153&lt;=5,"0-5",AC153&lt;=10,"5-10",AC153&lt;=40,"10-40")</f>
        <v>5-10</v>
      </c>
      <c r="AE153">
        <v>8</v>
      </c>
      <c r="AF153">
        <v>0</v>
      </c>
      <c r="AG153">
        <v>6</v>
      </c>
      <c r="AH153">
        <v>152</v>
      </c>
    </row>
    <row r="154" spans="1:34" x14ac:dyDescent="0.3">
      <c r="A154">
        <v>53</v>
      </c>
      <c r="B154" t="str" cm="1">
        <f t="array" ref="B154">_xlfn.IFS(A154&lt;=25,"18-25",A154&lt;=35,"26-35",A154&lt;=45,"36-45",A154&lt;=55,"46-55",A154&gt;55,"55+")</f>
        <v>46-55</v>
      </c>
      <c r="C154">
        <v>0</v>
      </c>
      <c r="D154" t="s">
        <v>32</v>
      </c>
      <c r="E154">
        <v>1436</v>
      </c>
      <c r="F154" t="s">
        <v>33</v>
      </c>
      <c r="G154">
        <v>6</v>
      </c>
      <c r="H154" t="s">
        <v>34</v>
      </c>
      <c r="I154" t="s">
        <v>72</v>
      </c>
      <c r="J154" t="s">
        <v>36</v>
      </c>
      <c r="K154" t="s">
        <v>50</v>
      </c>
      <c r="L154">
        <v>34</v>
      </c>
      <c r="M154" t="s">
        <v>38</v>
      </c>
      <c r="N154" t="s">
        <v>39</v>
      </c>
      <c r="O154" t="s">
        <v>69</v>
      </c>
      <c r="P154" t="s">
        <v>38</v>
      </c>
      <c r="Q154" t="s">
        <v>52</v>
      </c>
      <c r="R154">
        <v>2306</v>
      </c>
      <c r="S154">
        <v>16047</v>
      </c>
      <c r="T154">
        <v>2</v>
      </c>
      <c r="U154" t="s">
        <v>31</v>
      </c>
      <c r="V154">
        <v>20</v>
      </c>
      <c r="W154" t="s">
        <v>53</v>
      </c>
      <c r="X154" t="s">
        <v>41</v>
      </c>
      <c r="Y154">
        <v>1</v>
      </c>
      <c r="Z154">
        <v>13</v>
      </c>
      <c r="AA154">
        <v>3</v>
      </c>
      <c r="AB154" t="s">
        <v>45</v>
      </c>
      <c r="AC154">
        <v>7</v>
      </c>
      <c r="AD154" t="str" cm="1">
        <f t="array" ref="AD154">_xlfn.IFS(AC154&lt;=5,"0-5",AC154&lt;=10,"5-10",AC154&lt;=40,"10-40")</f>
        <v>5-10</v>
      </c>
      <c r="AE154">
        <v>7</v>
      </c>
      <c r="AF154">
        <v>4</v>
      </c>
      <c r="AG154">
        <v>5</v>
      </c>
      <c r="AH154">
        <v>153</v>
      </c>
    </row>
    <row r="155" spans="1:34" x14ac:dyDescent="0.3">
      <c r="A155">
        <v>45</v>
      </c>
      <c r="B155" t="str" cm="1">
        <f t="array" ref="B155">_xlfn.IFS(A155&lt;=25,"18-25",A155&lt;=35,"26-35",A155&lt;=45,"36-45",A155&lt;=55,"46-55",A155&gt;55,"55+")</f>
        <v>36-45</v>
      </c>
      <c r="C155">
        <v>0</v>
      </c>
      <c r="D155" t="s">
        <v>32</v>
      </c>
      <c r="E155">
        <v>194</v>
      </c>
      <c r="F155" t="s">
        <v>48</v>
      </c>
      <c r="G155">
        <v>9</v>
      </c>
      <c r="H155" t="s">
        <v>61</v>
      </c>
      <c r="I155" t="s">
        <v>35</v>
      </c>
      <c r="J155" t="s">
        <v>36</v>
      </c>
      <c r="K155" t="s">
        <v>50</v>
      </c>
      <c r="L155">
        <v>60</v>
      </c>
      <c r="M155" t="s">
        <v>38</v>
      </c>
      <c r="N155" t="s">
        <v>39</v>
      </c>
      <c r="O155" t="s">
        <v>57</v>
      </c>
      <c r="P155" t="s">
        <v>36</v>
      </c>
      <c r="Q155" t="s">
        <v>62</v>
      </c>
      <c r="R155">
        <v>2348</v>
      </c>
      <c r="S155">
        <v>10901</v>
      </c>
      <c r="T155">
        <v>8</v>
      </c>
      <c r="U155" t="s">
        <v>46</v>
      </c>
      <c r="V155">
        <v>18</v>
      </c>
      <c r="W155" t="s">
        <v>43</v>
      </c>
      <c r="X155" t="s">
        <v>38</v>
      </c>
      <c r="Y155">
        <v>1</v>
      </c>
      <c r="Z155">
        <v>20</v>
      </c>
      <c r="AA155">
        <v>2</v>
      </c>
      <c r="AB155" t="s">
        <v>45</v>
      </c>
      <c r="AC155">
        <v>17</v>
      </c>
      <c r="AD155" t="str" cm="1">
        <f t="array" ref="AD155">_xlfn.IFS(AC155&lt;=5,"0-5",AC155&lt;=10,"5-10",AC155&lt;=40,"10-40")</f>
        <v>10-40</v>
      </c>
      <c r="AE155">
        <v>9</v>
      </c>
      <c r="AF155">
        <v>0</v>
      </c>
      <c r="AG155">
        <v>15</v>
      </c>
      <c r="AH155">
        <v>154</v>
      </c>
    </row>
    <row r="156" spans="1:34" x14ac:dyDescent="0.3">
      <c r="A156">
        <v>32</v>
      </c>
      <c r="B156" t="str" cm="1">
        <f t="array" ref="B156">_xlfn.IFS(A156&lt;=25,"18-25",A156&lt;=35,"26-35",A156&lt;=45,"36-45",A156&lt;=55,"46-55",A156&gt;55,"55+")</f>
        <v>26-35</v>
      </c>
      <c r="C156">
        <v>0</v>
      </c>
      <c r="D156" t="s">
        <v>47</v>
      </c>
      <c r="E156">
        <v>967</v>
      </c>
      <c r="F156" t="s">
        <v>33</v>
      </c>
      <c r="G156">
        <v>8</v>
      </c>
      <c r="H156" t="s">
        <v>61</v>
      </c>
      <c r="I156" t="s">
        <v>72</v>
      </c>
      <c r="J156" t="s">
        <v>36</v>
      </c>
      <c r="K156" t="s">
        <v>37</v>
      </c>
      <c r="L156">
        <v>43</v>
      </c>
      <c r="M156" t="s">
        <v>38</v>
      </c>
      <c r="N156" t="s">
        <v>63</v>
      </c>
      <c r="O156" t="s">
        <v>40</v>
      </c>
      <c r="P156" t="s">
        <v>41</v>
      </c>
      <c r="Q156" t="s">
        <v>42</v>
      </c>
      <c r="R156">
        <v>8998</v>
      </c>
      <c r="S156">
        <v>15589</v>
      </c>
      <c r="T156">
        <v>1</v>
      </c>
      <c r="U156" t="s">
        <v>46</v>
      </c>
      <c r="V156">
        <v>14</v>
      </c>
      <c r="W156" t="s">
        <v>43</v>
      </c>
      <c r="X156" t="s">
        <v>41</v>
      </c>
      <c r="Y156">
        <v>0</v>
      </c>
      <c r="Z156">
        <v>9</v>
      </c>
      <c r="AA156">
        <v>2</v>
      </c>
      <c r="AB156" t="s">
        <v>54</v>
      </c>
      <c r="AC156">
        <v>9</v>
      </c>
      <c r="AD156" t="str" cm="1">
        <f t="array" ref="AD156">_xlfn.IFS(AC156&lt;=5,"0-5",AC156&lt;=10,"5-10",AC156&lt;=40,"10-40")</f>
        <v>5-10</v>
      </c>
      <c r="AE156">
        <v>8</v>
      </c>
      <c r="AF156">
        <v>3</v>
      </c>
      <c r="AG156">
        <v>7</v>
      </c>
      <c r="AH156">
        <v>155</v>
      </c>
    </row>
    <row r="157" spans="1:34" x14ac:dyDescent="0.3">
      <c r="A157">
        <v>29</v>
      </c>
      <c r="B157" t="str" cm="1">
        <f t="array" ref="B157">_xlfn.IFS(A157&lt;=25,"18-25",A157&lt;=35,"26-35",A157&lt;=45,"36-45",A157&lt;=55,"46-55",A157&gt;55,"55+")</f>
        <v>26-35</v>
      </c>
      <c r="C157">
        <v>0</v>
      </c>
      <c r="D157" t="s">
        <v>66</v>
      </c>
      <c r="E157">
        <v>1496</v>
      </c>
      <c r="F157" t="s">
        <v>48</v>
      </c>
      <c r="G157">
        <v>1</v>
      </c>
      <c r="H157" t="s">
        <v>49</v>
      </c>
      <c r="I157" t="s">
        <v>74</v>
      </c>
      <c r="J157" t="s">
        <v>41</v>
      </c>
      <c r="K157" t="s">
        <v>50</v>
      </c>
      <c r="L157">
        <v>41</v>
      </c>
      <c r="M157" t="s">
        <v>38</v>
      </c>
      <c r="N157" t="s">
        <v>39</v>
      </c>
      <c r="O157" t="s">
        <v>64</v>
      </c>
      <c r="P157" t="s">
        <v>38</v>
      </c>
      <c r="Q157" t="s">
        <v>52</v>
      </c>
      <c r="R157">
        <v>4319</v>
      </c>
      <c r="S157">
        <v>26283</v>
      </c>
      <c r="T157">
        <v>1</v>
      </c>
      <c r="U157" t="s">
        <v>46</v>
      </c>
      <c r="V157">
        <v>13</v>
      </c>
      <c r="W157" t="s">
        <v>43</v>
      </c>
      <c r="X157" t="s">
        <v>44</v>
      </c>
      <c r="Y157">
        <v>1</v>
      </c>
      <c r="Z157">
        <v>10</v>
      </c>
      <c r="AA157">
        <v>1</v>
      </c>
      <c r="AB157" t="s">
        <v>54</v>
      </c>
      <c r="AC157">
        <v>10</v>
      </c>
      <c r="AD157" t="str" cm="1">
        <f t="array" ref="AD157">_xlfn.IFS(AC157&lt;=5,"0-5",AC157&lt;=10,"5-10",AC157&lt;=40,"10-40")</f>
        <v>5-10</v>
      </c>
      <c r="AE157">
        <v>7</v>
      </c>
      <c r="AF157">
        <v>0</v>
      </c>
      <c r="AG157">
        <v>9</v>
      </c>
      <c r="AH157">
        <v>156</v>
      </c>
    </row>
    <row r="158" spans="1:34" x14ac:dyDescent="0.3">
      <c r="A158">
        <v>51</v>
      </c>
      <c r="B158" t="str" cm="1">
        <f t="array" ref="B158">_xlfn.IFS(A158&lt;=25,"18-25",A158&lt;=35,"26-35",A158&lt;=45,"36-45",A158&lt;=55,"46-55",A158&gt;55,"55+")</f>
        <v>46-55</v>
      </c>
      <c r="C158">
        <v>0</v>
      </c>
      <c r="D158" t="s">
        <v>32</v>
      </c>
      <c r="E158">
        <v>1169</v>
      </c>
      <c r="F158" t="s">
        <v>48</v>
      </c>
      <c r="G158">
        <v>7</v>
      </c>
      <c r="H158" t="s">
        <v>58</v>
      </c>
      <c r="I158" t="s">
        <v>59</v>
      </c>
      <c r="J158" t="s">
        <v>36</v>
      </c>
      <c r="K158" t="s">
        <v>50</v>
      </c>
      <c r="L158">
        <v>34</v>
      </c>
      <c r="M158" t="s">
        <v>36</v>
      </c>
      <c r="N158" t="s">
        <v>39</v>
      </c>
      <c r="O158" t="s">
        <v>64</v>
      </c>
      <c r="P158" t="s">
        <v>38</v>
      </c>
      <c r="Q158" t="s">
        <v>52</v>
      </c>
      <c r="R158">
        <v>6132</v>
      </c>
      <c r="S158">
        <v>13983</v>
      </c>
      <c r="T158">
        <v>2</v>
      </c>
      <c r="U158" t="s">
        <v>46</v>
      </c>
      <c r="V158">
        <v>17</v>
      </c>
      <c r="W158" t="s">
        <v>43</v>
      </c>
      <c r="X158" t="s">
        <v>38</v>
      </c>
      <c r="Y158">
        <v>0</v>
      </c>
      <c r="Z158">
        <v>10</v>
      </c>
      <c r="AA158">
        <v>2</v>
      </c>
      <c r="AB158" t="s">
        <v>54</v>
      </c>
      <c r="AC158">
        <v>1</v>
      </c>
      <c r="AD158" t="str" cm="1">
        <f t="array" ref="AD158">_xlfn.IFS(AC158&lt;=5,"0-5",AC158&lt;=10,"5-10",AC158&lt;=40,"10-40")</f>
        <v>0-5</v>
      </c>
      <c r="AE158">
        <v>0</v>
      </c>
      <c r="AF158">
        <v>0</v>
      </c>
      <c r="AG158">
        <v>0</v>
      </c>
      <c r="AH158">
        <v>157</v>
      </c>
    </row>
    <row r="159" spans="1:34" x14ac:dyDescent="0.3">
      <c r="A159">
        <v>58</v>
      </c>
      <c r="B159" t="str" cm="1">
        <f t="array" ref="B159">_xlfn.IFS(A159&lt;=25,"18-25",A159&lt;=35,"26-35",A159&lt;=45,"36-45",A159&lt;=55,"46-55",A159&gt;55,"55+")</f>
        <v>55+</v>
      </c>
      <c r="C159">
        <v>0</v>
      </c>
      <c r="D159" t="s">
        <v>32</v>
      </c>
      <c r="E159">
        <v>1145</v>
      </c>
      <c r="F159" t="s">
        <v>48</v>
      </c>
      <c r="G159">
        <v>9</v>
      </c>
      <c r="H159" t="s">
        <v>61</v>
      </c>
      <c r="I159" t="s">
        <v>59</v>
      </c>
      <c r="J159" t="s">
        <v>36</v>
      </c>
      <c r="K159" t="s">
        <v>37</v>
      </c>
      <c r="L159">
        <v>75</v>
      </c>
      <c r="M159" t="s">
        <v>36</v>
      </c>
      <c r="N159" t="s">
        <v>56</v>
      </c>
      <c r="O159" t="s">
        <v>51</v>
      </c>
      <c r="P159" t="s">
        <v>36</v>
      </c>
      <c r="Q159" t="s">
        <v>52</v>
      </c>
      <c r="R159">
        <v>3346</v>
      </c>
      <c r="S159">
        <v>11873</v>
      </c>
      <c r="T159">
        <v>4</v>
      </c>
      <c r="U159" t="s">
        <v>31</v>
      </c>
      <c r="V159">
        <v>20</v>
      </c>
      <c r="W159" t="s">
        <v>53</v>
      </c>
      <c r="X159" t="s">
        <v>36</v>
      </c>
      <c r="Y159">
        <v>1</v>
      </c>
      <c r="Z159">
        <v>9</v>
      </c>
      <c r="AA159">
        <v>3</v>
      </c>
      <c r="AB159" t="s">
        <v>60</v>
      </c>
      <c r="AC159">
        <v>1</v>
      </c>
      <c r="AD159" t="str" cm="1">
        <f t="array" ref="AD159">_xlfn.IFS(AC159&lt;=5,"0-5",AC159&lt;=10,"5-10",AC159&lt;=40,"10-40")</f>
        <v>0-5</v>
      </c>
      <c r="AE159">
        <v>0</v>
      </c>
      <c r="AF159">
        <v>0</v>
      </c>
      <c r="AG159">
        <v>0</v>
      </c>
      <c r="AH159">
        <v>158</v>
      </c>
    </row>
    <row r="160" spans="1:34" x14ac:dyDescent="0.3">
      <c r="A160">
        <v>40</v>
      </c>
      <c r="B160" t="str" cm="1">
        <f t="array" ref="B160">_xlfn.IFS(A160&lt;=25,"18-25",A160&lt;=35,"26-35",A160&lt;=45,"36-45",A160&lt;=55,"46-55",A160&gt;55,"55+")</f>
        <v>36-45</v>
      </c>
      <c r="C160">
        <v>0</v>
      </c>
      <c r="D160" t="s">
        <v>32</v>
      </c>
      <c r="E160">
        <v>630</v>
      </c>
      <c r="F160" t="s">
        <v>33</v>
      </c>
      <c r="G160">
        <v>4</v>
      </c>
      <c r="H160" t="s">
        <v>58</v>
      </c>
      <c r="I160" t="s">
        <v>72</v>
      </c>
      <c r="J160" t="s">
        <v>38</v>
      </c>
      <c r="K160" t="s">
        <v>50</v>
      </c>
      <c r="L160">
        <v>67</v>
      </c>
      <c r="M160" t="s">
        <v>36</v>
      </c>
      <c r="N160" t="s">
        <v>63</v>
      </c>
      <c r="O160" t="s">
        <v>40</v>
      </c>
      <c r="P160" t="s">
        <v>41</v>
      </c>
      <c r="Q160" t="s">
        <v>52</v>
      </c>
      <c r="R160">
        <v>10855</v>
      </c>
      <c r="S160">
        <v>8552</v>
      </c>
      <c r="T160">
        <v>7</v>
      </c>
      <c r="U160" t="s">
        <v>46</v>
      </c>
      <c r="V160">
        <v>11</v>
      </c>
      <c r="W160" t="s">
        <v>43</v>
      </c>
      <c r="X160" t="s">
        <v>44</v>
      </c>
      <c r="Y160">
        <v>1</v>
      </c>
      <c r="Z160">
        <v>15</v>
      </c>
      <c r="AA160">
        <v>2</v>
      </c>
      <c r="AB160" t="s">
        <v>60</v>
      </c>
      <c r="AC160">
        <v>12</v>
      </c>
      <c r="AD160" t="str" cm="1">
        <f t="array" ref="AD160">_xlfn.IFS(AC160&lt;=5,"0-5",AC160&lt;=10,"5-10",AC160&lt;=40,"10-40")</f>
        <v>10-40</v>
      </c>
      <c r="AE160">
        <v>11</v>
      </c>
      <c r="AF160">
        <v>2</v>
      </c>
      <c r="AG160">
        <v>11</v>
      </c>
      <c r="AH160">
        <v>159</v>
      </c>
    </row>
    <row r="161" spans="1:34" x14ac:dyDescent="0.3">
      <c r="A161">
        <v>34</v>
      </c>
      <c r="B161" t="str" cm="1">
        <f t="array" ref="B161">_xlfn.IFS(A161&lt;=25,"18-25",A161&lt;=35,"26-35",A161&lt;=45,"36-45",A161&lt;=55,"46-55",A161&gt;55,"55+")</f>
        <v>26-35</v>
      </c>
      <c r="C161">
        <v>0</v>
      </c>
      <c r="D161" t="s">
        <v>47</v>
      </c>
      <c r="E161">
        <v>303</v>
      </c>
      <c r="F161" t="s">
        <v>33</v>
      </c>
      <c r="G161">
        <v>2</v>
      </c>
      <c r="H161" t="s">
        <v>58</v>
      </c>
      <c r="I161" t="s">
        <v>72</v>
      </c>
      <c r="J161" t="s">
        <v>38</v>
      </c>
      <c r="K161" t="s">
        <v>37</v>
      </c>
      <c r="L161">
        <v>75</v>
      </c>
      <c r="M161" t="s">
        <v>38</v>
      </c>
      <c r="N161" t="s">
        <v>56</v>
      </c>
      <c r="O161" t="s">
        <v>69</v>
      </c>
      <c r="P161" t="s">
        <v>38</v>
      </c>
      <c r="Q161" t="s">
        <v>52</v>
      </c>
      <c r="R161">
        <v>2231</v>
      </c>
      <c r="S161">
        <v>11314</v>
      </c>
      <c r="T161">
        <v>6</v>
      </c>
      <c r="U161" t="s">
        <v>46</v>
      </c>
      <c r="V161">
        <v>18</v>
      </c>
      <c r="W161" t="s">
        <v>43</v>
      </c>
      <c r="X161" t="s">
        <v>41</v>
      </c>
      <c r="Y161">
        <v>1</v>
      </c>
      <c r="Z161">
        <v>6</v>
      </c>
      <c r="AA161">
        <v>3</v>
      </c>
      <c r="AB161" t="s">
        <v>54</v>
      </c>
      <c r="AC161">
        <v>4</v>
      </c>
      <c r="AD161" t="str" cm="1">
        <f t="array" ref="AD161">_xlfn.IFS(AC161&lt;=5,"0-5",AC161&lt;=10,"5-10",AC161&lt;=40,"10-40")</f>
        <v>0-5</v>
      </c>
      <c r="AE161">
        <v>3</v>
      </c>
      <c r="AF161">
        <v>1</v>
      </c>
      <c r="AG161">
        <v>2</v>
      </c>
      <c r="AH161">
        <v>160</v>
      </c>
    </row>
    <row r="162" spans="1:34" x14ac:dyDescent="0.3">
      <c r="A162">
        <v>22</v>
      </c>
      <c r="B162" t="str" cm="1">
        <f t="array" ref="B162">_xlfn.IFS(A162&lt;=25,"18-25",A162&lt;=35,"26-35",A162&lt;=45,"36-45",A162&lt;=55,"46-55",A162&gt;55,"55+")</f>
        <v>18-25</v>
      </c>
      <c r="C162">
        <v>0</v>
      </c>
      <c r="D162" t="s">
        <v>32</v>
      </c>
      <c r="E162">
        <v>1256</v>
      </c>
      <c r="F162" t="s">
        <v>48</v>
      </c>
      <c r="G162">
        <v>19</v>
      </c>
      <c r="H162" t="s">
        <v>49</v>
      </c>
      <c r="I162" t="s">
        <v>59</v>
      </c>
      <c r="J162" t="s">
        <v>38</v>
      </c>
      <c r="K162" t="s">
        <v>50</v>
      </c>
      <c r="L162">
        <v>80</v>
      </c>
      <c r="M162" t="s">
        <v>38</v>
      </c>
      <c r="N162" t="s">
        <v>56</v>
      </c>
      <c r="O162" t="s">
        <v>51</v>
      </c>
      <c r="P162" t="s">
        <v>41</v>
      </c>
      <c r="Q162" t="s">
        <v>52</v>
      </c>
      <c r="R162">
        <v>2323</v>
      </c>
      <c r="S162">
        <v>11992</v>
      </c>
      <c r="T162">
        <v>1</v>
      </c>
      <c r="U162" t="s">
        <v>46</v>
      </c>
      <c r="V162">
        <v>24</v>
      </c>
      <c r="W162" t="s">
        <v>53</v>
      </c>
      <c r="X162" t="s">
        <v>44</v>
      </c>
      <c r="Y162">
        <v>2</v>
      </c>
      <c r="Z162">
        <v>2</v>
      </c>
      <c r="AA162">
        <v>6</v>
      </c>
      <c r="AB162" t="s">
        <v>54</v>
      </c>
      <c r="AC162">
        <v>2</v>
      </c>
      <c r="AD162" t="str" cm="1">
        <f t="array" ref="AD162">_xlfn.IFS(AC162&lt;=5,"0-5",AC162&lt;=10,"5-10",AC162&lt;=40,"10-40")</f>
        <v>0-5</v>
      </c>
      <c r="AE162">
        <v>2</v>
      </c>
      <c r="AF162">
        <v>2</v>
      </c>
      <c r="AG162">
        <v>2</v>
      </c>
      <c r="AH162">
        <v>161</v>
      </c>
    </row>
    <row r="163" spans="1:34" x14ac:dyDescent="0.3">
      <c r="A163">
        <v>27</v>
      </c>
      <c r="B163" t="str" cm="1">
        <f t="array" ref="B163">_xlfn.IFS(A163&lt;=25,"18-25",A163&lt;=35,"26-35",A163&lt;=45,"36-45",A163&lt;=55,"46-55",A163&gt;55,"55+")</f>
        <v>26-35</v>
      </c>
      <c r="C163">
        <v>0</v>
      </c>
      <c r="D163" t="s">
        <v>66</v>
      </c>
      <c r="E163">
        <v>691</v>
      </c>
      <c r="F163" t="s">
        <v>48</v>
      </c>
      <c r="G163">
        <v>9</v>
      </c>
      <c r="H163" t="s">
        <v>61</v>
      </c>
      <c r="I163" t="s">
        <v>59</v>
      </c>
      <c r="J163" t="s">
        <v>41</v>
      </c>
      <c r="K163" t="s">
        <v>50</v>
      </c>
      <c r="L163">
        <v>57</v>
      </c>
      <c r="M163" t="s">
        <v>38</v>
      </c>
      <c r="N163" t="s">
        <v>56</v>
      </c>
      <c r="O163" t="s">
        <v>51</v>
      </c>
      <c r="P163" t="s">
        <v>36</v>
      </c>
      <c r="Q163" t="s">
        <v>62</v>
      </c>
      <c r="R163">
        <v>2024</v>
      </c>
      <c r="S163">
        <v>5970</v>
      </c>
      <c r="T163">
        <v>6</v>
      </c>
      <c r="U163" t="s">
        <v>46</v>
      </c>
      <c r="V163">
        <v>18</v>
      </c>
      <c r="W163" t="s">
        <v>43</v>
      </c>
      <c r="X163" t="s">
        <v>41</v>
      </c>
      <c r="Y163">
        <v>1</v>
      </c>
      <c r="Z163">
        <v>6</v>
      </c>
      <c r="AA163">
        <v>1</v>
      </c>
      <c r="AB163" t="s">
        <v>45</v>
      </c>
      <c r="AC163">
        <v>2</v>
      </c>
      <c r="AD163" t="str" cm="1">
        <f t="array" ref="AD163">_xlfn.IFS(AC163&lt;=5,"0-5",AC163&lt;=10,"5-10",AC163&lt;=40,"10-40")</f>
        <v>0-5</v>
      </c>
      <c r="AE163">
        <v>2</v>
      </c>
      <c r="AF163">
        <v>2</v>
      </c>
      <c r="AG163">
        <v>2</v>
      </c>
      <c r="AH163">
        <v>162</v>
      </c>
    </row>
    <row r="164" spans="1:34" x14ac:dyDescent="0.3">
      <c r="A164">
        <v>28</v>
      </c>
      <c r="B164" t="str" cm="1">
        <f t="array" ref="B164">_xlfn.IFS(A164&lt;=25,"18-25",A164&lt;=35,"26-35",A164&lt;=45,"36-45",A164&lt;=55,"46-55",A164&gt;55,"55+")</f>
        <v>26-35</v>
      </c>
      <c r="C164">
        <v>0</v>
      </c>
      <c r="D164" t="s">
        <v>32</v>
      </c>
      <c r="E164">
        <v>440</v>
      </c>
      <c r="F164" t="s">
        <v>48</v>
      </c>
      <c r="G164">
        <v>21</v>
      </c>
      <c r="H164" t="s">
        <v>61</v>
      </c>
      <c r="I164" t="s">
        <v>59</v>
      </c>
      <c r="J164" t="s">
        <v>38</v>
      </c>
      <c r="K164" t="s">
        <v>50</v>
      </c>
      <c r="L164">
        <v>42</v>
      </c>
      <c r="M164" t="s">
        <v>38</v>
      </c>
      <c r="N164" t="s">
        <v>56</v>
      </c>
      <c r="O164" t="s">
        <v>51</v>
      </c>
      <c r="P164" t="s">
        <v>41</v>
      </c>
      <c r="Q164" t="s">
        <v>52</v>
      </c>
      <c r="R164">
        <v>2713</v>
      </c>
      <c r="S164">
        <v>6672</v>
      </c>
      <c r="T164">
        <v>1</v>
      </c>
      <c r="U164" t="s">
        <v>46</v>
      </c>
      <c r="V164">
        <v>11</v>
      </c>
      <c r="W164" t="s">
        <v>43</v>
      </c>
      <c r="X164" t="s">
        <v>38</v>
      </c>
      <c r="Y164">
        <v>1</v>
      </c>
      <c r="Z164">
        <v>5</v>
      </c>
      <c r="AA164">
        <v>2</v>
      </c>
      <c r="AB164" t="s">
        <v>45</v>
      </c>
      <c r="AC164">
        <v>5</v>
      </c>
      <c r="AD164" t="str" cm="1">
        <f t="array" ref="AD164">_xlfn.IFS(AC164&lt;=5,"0-5",AC164&lt;=10,"5-10",AC164&lt;=40,"10-40")</f>
        <v>0-5</v>
      </c>
      <c r="AE164">
        <v>2</v>
      </c>
      <c r="AF164">
        <v>0</v>
      </c>
      <c r="AG164">
        <v>2</v>
      </c>
      <c r="AH164">
        <v>163</v>
      </c>
    </row>
    <row r="165" spans="1:34" x14ac:dyDescent="0.3">
      <c r="A165">
        <v>57</v>
      </c>
      <c r="B165" t="str" cm="1">
        <f t="array" ref="B165">_xlfn.IFS(A165&lt;=25,"18-25",A165&lt;=35,"26-35",A165&lt;=45,"36-45",A165&lt;=55,"46-55",A165&gt;55,"55+")</f>
        <v>55+</v>
      </c>
      <c r="C165">
        <v>0</v>
      </c>
      <c r="D165" t="s">
        <v>32</v>
      </c>
      <c r="E165">
        <v>334</v>
      </c>
      <c r="F165" t="s">
        <v>48</v>
      </c>
      <c r="G165">
        <v>24</v>
      </c>
      <c r="H165" t="s">
        <v>34</v>
      </c>
      <c r="I165" t="s">
        <v>35</v>
      </c>
      <c r="J165" t="s">
        <v>38</v>
      </c>
      <c r="K165" t="s">
        <v>50</v>
      </c>
      <c r="L165">
        <v>83</v>
      </c>
      <c r="M165" t="s">
        <v>41</v>
      </c>
      <c r="N165" t="s">
        <v>63</v>
      </c>
      <c r="O165" t="s">
        <v>65</v>
      </c>
      <c r="P165" t="s">
        <v>41</v>
      </c>
      <c r="Q165" t="s">
        <v>62</v>
      </c>
      <c r="R165">
        <v>9439</v>
      </c>
      <c r="S165">
        <v>23402</v>
      </c>
      <c r="T165">
        <v>3</v>
      </c>
      <c r="U165" t="s">
        <v>31</v>
      </c>
      <c r="V165">
        <v>16</v>
      </c>
      <c r="W165" t="s">
        <v>43</v>
      </c>
      <c r="X165" t="s">
        <v>36</v>
      </c>
      <c r="Y165">
        <v>1</v>
      </c>
      <c r="Z165">
        <v>12</v>
      </c>
      <c r="AA165">
        <v>2</v>
      </c>
      <c r="AB165" t="s">
        <v>45</v>
      </c>
      <c r="AC165">
        <v>5</v>
      </c>
      <c r="AD165" t="str" cm="1">
        <f t="array" ref="AD165">_xlfn.IFS(AC165&lt;=5,"0-5",AC165&lt;=10,"5-10",AC165&lt;=40,"10-40")</f>
        <v>0-5</v>
      </c>
      <c r="AE165">
        <v>3</v>
      </c>
      <c r="AF165">
        <v>1</v>
      </c>
      <c r="AG165">
        <v>4</v>
      </c>
      <c r="AH165">
        <v>164</v>
      </c>
    </row>
    <row r="166" spans="1:34" x14ac:dyDescent="0.3">
      <c r="A166">
        <v>27</v>
      </c>
      <c r="B166" t="str" cm="1">
        <f t="array" ref="B166">_xlfn.IFS(A166&lt;=25,"18-25",A166&lt;=35,"26-35",A166&lt;=45,"36-45",A166&lt;=55,"46-55",A166&gt;55,"55+")</f>
        <v>26-35</v>
      </c>
      <c r="C166">
        <v>0</v>
      </c>
      <c r="D166" t="s">
        <v>66</v>
      </c>
      <c r="E166">
        <v>1450</v>
      </c>
      <c r="F166" t="s">
        <v>48</v>
      </c>
      <c r="G166">
        <v>3</v>
      </c>
      <c r="H166" t="s">
        <v>61</v>
      </c>
      <c r="I166" t="s">
        <v>59</v>
      </c>
      <c r="J166" t="s">
        <v>38</v>
      </c>
      <c r="K166" t="s">
        <v>50</v>
      </c>
      <c r="L166">
        <v>79</v>
      </c>
      <c r="M166" t="s">
        <v>36</v>
      </c>
      <c r="N166" t="s">
        <v>56</v>
      </c>
      <c r="O166" t="s">
        <v>51</v>
      </c>
      <c r="P166" t="s">
        <v>38</v>
      </c>
      <c r="Q166" t="s">
        <v>62</v>
      </c>
      <c r="R166">
        <v>2566</v>
      </c>
      <c r="S166">
        <v>25326</v>
      </c>
      <c r="T166">
        <v>1</v>
      </c>
      <c r="U166" t="s">
        <v>31</v>
      </c>
      <c r="V166">
        <v>15</v>
      </c>
      <c r="W166" t="s">
        <v>43</v>
      </c>
      <c r="X166" t="s">
        <v>41</v>
      </c>
      <c r="Y166">
        <v>1</v>
      </c>
      <c r="Z166">
        <v>1</v>
      </c>
      <c r="AA166">
        <v>2</v>
      </c>
      <c r="AB166" t="s">
        <v>60</v>
      </c>
      <c r="AC166">
        <v>1</v>
      </c>
      <c r="AD166" t="str" cm="1">
        <f t="array" ref="AD166">_xlfn.IFS(AC166&lt;=5,"0-5",AC166&lt;=10,"5-10",AC166&lt;=40,"10-40")</f>
        <v>0-5</v>
      </c>
      <c r="AE166">
        <v>1</v>
      </c>
      <c r="AF166">
        <v>0</v>
      </c>
      <c r="AG166">
        <v>1</v>
      </c>
      <c r="AH166">
        <v>165</v>
      </c>
    </row>
    <row r="167" spans="1:34" x14ac:dyDescent="0.3">
      <c r="A167">
        <v>50</v>
      </c>
      <c r="B167" t="str" cm="1">
        <f t="array" ref="B167">_xlfn.IFS(A167&lt;=25,"18-25",A167&lt;=35,"26-35",A167&lt;=45,"36-45",A167&lt;=55,"46-55",A167&gt;55,"55+")</f>
        <v>46-55</v>
      </c>
      <c r="C167">
        <v>0</v>
      </c>
      <c r="D167" t="s">
        <v>32</v>
      </c>
      <c r="E167">
        <v>1452</v>
      </c>
      <c r="F167" t="s">
        <v>48</v>
      </c>
      <c r="G167">
        <v>11</v>
      </c>
      <c r="H167" t="s">
        <v>61</v>
      </c>
      <c r="I167" t="s">
        <v>35</v>
      </c>
      <c r="J167" t="s">
        <v>38</v>
      </c>
      <c r="K167" t="s">
        <v>37</v>
      </c>
      <c r="L167">
        <v>53</v>
      </c>
      <c r="M167" t="s">
        <v>38</v>
      </c>
      <c r="N167" t="s">
        <v>71</v>
      </c>
      <c r="O167" t="s">
        <v>68</v>
      </c>
      <c r="P167" t="s">
        <v>36</v>
      </c>
      <c r="Q167" t="s">
        <v>42</v>
      </c>
      <c r="R167">
        <v>19926</v>
      </c>
      <c r="S167">
        <v>17053</v>
      </c>
      <c r="T167">
        <v>3</v>
      </c>
      <c r="U167" t="s">
        <v>46</v>
      </c>
      <c r="V167">
        <v>15</v>
      </c>
      <c r="W167" t="s">
        <v>43</v>
      </c>
      <c r="X167" t="s">
        <v>36</v>
      </c>
      <c r="Y167">
        <v>0</v>
      </c>
      <c r="Z167">
        <v>21</v>
      </c>
      <c r="AA167">
        <v>5</v>
      </c>
      <c r="AB167" t="s">
        <v>54</v>
      </c>
      <c r="AC167">
        <v>5</v>
      </c>
      <c r="AD167" t="str" cm="1">
        <f t="array" ref="AD167">_xlfn.IFS(AC167&lt;=5,"0-5",AC167&lt;=10,"5-10",AC167&lt;=40,"10-40")</f>
        <v>0-5</v>
      </c>
      <c r="AE167">
        <v>4</v>
      </c>
      <c r="AF167">
        <v>4</v>
      </c>
      <c r="AG167">
        <v>4</v>
      </c>
      <c r="AH167">
        <v>166</v>
      </c>
    </row>
    <row r="168" spans="1:34" x14ac:dyDescent="0.3">
      <c r="A168">
        <v>41</v>
      </c>
      <c r="B168" t="str" cm="1">
        <f t="array" ref="B168">_xlfn.IFS(A168&lt;=25,"18-25",A168&lt;=35,"26-35",A168&lt;=45,"36-45",A168&lt;=55,"46-55",A168&gt;55,"55+")</f>
        <v>36-45</v>
      </c>
      <c r="C168">
        <v>0</v>
      </c>
      <c r="D168" t="s">
        <v>32</v>
      </c>
      <c r="E168">
        <v>465</v>
      </c>
      <c r="F168" t="s">
        <v>48</v>
      </c>
      <c r="G168">
        <v>14</v>
      </c>
      <c r="H168" t="s">
        <v>61</v>
      </c>
      <c r="I168" t="s">
        <v>35</v>
      </c>
      <c r="J168" t="s">
        <v>44</v>
      </c>
      <c r="K168" t="s">
        <v>50</v>
      </c>
      <c r="L168">
        <v>56</v>
      </c>
      <c r="M168" t="s">
        <v>38</v>
      </c>
      <c r="N168" t="s">
        <v>56</v>
      </c>
      <c r="O168" t="s">
        <v>51</v>
      </c>
      <c r="P168" t="s">
        <v>38</v>
      </c>
      <c r="Q168" t="s">
        <v>62</v>
      </c>
      <c r="R168">
        <v>2451</v>
      </c>
      <c r="S168">
        <v>4609</v>
      </c>
      <c r="T168">
        <v>4</v>
      </c>
      <c r="U168" t="s">
        <v>46</v>
      </c>
      <c r="V168">
        <v>12</v>
      </c>
      <c r="W168" t="s">
        <v>43</v>
      </c>
      <c r="X168" t="s">
        <v>44</v>
      </c>
      <c r="Y168">
        <v>1</v>
      </c>
      <c r="Z168">
        <v>13</v>
      </c>
      <c r="AA168">
        <v>2</v>
      </c>
      <c r="AB168" t="s">
        <v>54</v>
      </c>
      <c r="AC168">
        <v>9</v>
      </c>
      <c r="AD168" t="str" cm="1">
        <f t="array" ref="AD168">_xlfn.IFS(AC168&lt;=5,"0-5",AC168&lt;=10,"5-10",AC168&lt;=40,"10-40")</f>
        <v>5-10</v>
      </c>
      <c r="AE168">
        <v>8</v>
      </c>
      <c r="AF168">
        <v>1</v>
      </c>
      <c r="AG168">
        <v>8</v>
      </c>
      <c r="AH168">
        <v>167</v>
      </c>
    </row>
    <row r="169" spans="1:34" x14ac:dyDescent="0.3">
      <c r="A169">
        <v>30</v>
      </c>
      <c r="B169" t="str" cm="1">
        <f t="array" ref="B169">_xlfn.IFS(A169&lt;=25,"18-25",A169&lt;=35,"26-35",A169&lt;=45,"36-45",A169&lt;=55,"46-55",A169&gt;55,"55+")</f>
        <v>26-35</v>
      </c>
      <c r="C169">
        <v>0</v>
      </c>
      <c r="D169" t="s">
        <v>32</v>
      </c>
      <c r="E169">
        <v>1339</v>
      </c>
      <c r="F169" t="s">
        <v>33</v>
      </c>
      <c r="G169">
        <v>5</v>
      </c>
      <c r="H169" t="s">
        <v>61</v>
      </c>
      <c r="I169" t="s">
        <v>35</v>
      </c>
      <c r="J169" t="s">
        <v>36</v>
      </c>
      <c r="K169" t="s">
        <v>37</v>
      </c>
      <c r="L169">
        <v>41</v>
      </c>
      <c r="M169" t="s">
        <v>38</v>
      </c>
      <c r="N169" t="s">
        <v>63</v>
      </c>
      <c r="O169" t="s">
        <v>40</v>
      </c>
      <c r="P169" t="s">
        <v>41</v>
      </c>
      <c r="Q169" t="s">
        <v>52</v>
      </c>
      <c r="R169">
        <v>9419</v>
      </c>
      <c r="S169">
        <v>8053</v>
      </c>
      <c r="T169">
        <v>2</v>
      </c>
      <c r="U169" t="s">
        <v>46</v>
      </c>
      <c r="V169">
        <v>12</v>
      </c>
      <c r="W169" t="s">
        <v>43</v>
      </c>
      <c r="X169" t="s">
        <v>38</v>
      </c>
      <c r="Y169">
        <v>1</v>
      </c>
      <c r="Z169">
        <v>12</v>
      </c>
      <c r="AA169">
        <v>2</v>
      </c>
      <c r="AB169" t="s">
        <v>54</v>
      </c>
      <c r="AC169">
        <v>10</v>
      </c>
      <c r="AD169" t="str" cm="1">
        <f t="array" ref="AD169">_xlfn.IFS(AC169&lt;=5,"0-5",AC169&lt;=10,"5-10",AC169&lt;=40,"10-40")</f>
        <v>5-10</v>
      </c>
      <c r="AE169">
        <v>9</v>
      </c>
      <c r="AF169">
        <v>7</v>
      </c>
      <c r="AG169">
        <v>4</v>
      </c>
      <c r="AH169">
        <v>168</v>
      </c>
    </row>
    <row r="170" spans="1:34" x14ac:dyDescent="0.3">
      <c r="A170">
        <v>38</v>
      </c>
      <c r="B170" t="str" cm="1">
        <f t="array" ref="B170">_xlfn.IFS(A170&lt;=25,"18-25",A170&lt;=35,"26-35",A170&lt;=45,"36-45",A170&lt;=55,"46-55",A170&gt;55,"55+")</f>
        <v>36-45</v>
      </c>
      <c r="C170">
        <v>0</v>
      </c>
      <c r="D170" t="s">
        <v>32</v>
      </c>
      <c r="E170">
        <v>702</v>
      </c>
      <c r="F170" t="s">
        <v>33</v>
      </c>
      <c r="G170">
        <v>1</v>
      </c>
      <c r="H170" t="s">
        <v>58</v>
      </c>
      <c r="I170" t="s">
        <v>35</v>
      </c>
      <c r="J170" t="s">
        <v>44</v>
      </c>
      <c r="K170" t="s">
        <v>37</v>
      </c>
      <c r="L170">
        <v>59</v>
      </c>
      <c r="M170" t="s">
        <v>36</v>
      </c>
      <c r="N170" t="s">
        <v>39</v>
      </c>
      <c r="O170" t="s">
        <v>40</v>
      </c>
      <c r="P170" t="s">
        <v>41</v>
      </c>
      <c r="Q170" t="s">
        <v>42</v>
      </c>
      <c r="R170">
        <v>8686</v>
      </c>
      <c r="S170">
        <v>12930</v>
      </c>
      <c r="T170">
        <v>4</v>
      </c>
      <c r="U170" t="s">
        <v>46</v>
      </c>
      <c r="V170">
        <v>22</v>
      </c>
      <c r="W170" t="s">
        <v>53</v>
      </c>
      <c r="X170" t="s">
        <v>38</v>
      </c>
      <c r="Y170">
        <v>0</v>
      </c>
      <c r="Z170">
        <v>12</v>
      </c>
      <c r="AA170">
        <v>2</v>
      </c>
      <c r="AB170" t="s">
        <v>73</v>
      </c>
      <c r="AC170">
        <v>8</v>
      </c>
      <c r="AD170" t="str" cm="1">
        <f t="array" ref="AD170">_xlfn.IFS(AC170&lt;=5,"0-5",AC170&lt;=10,"5-10",AC170&lt;=40,"10-40")</f>
        <v>5-10</v>
      </c>
      <c r="AE170">
        <v>3</v>
      </c>
      <c r="AF170">
        <v>0</v>
      </c>
      <c r="AG170">
        <v>7</v>
      </c>
      <c r="AH170">
        <v>169</v>
      </c>
    </row>
    <row r="171" spans="1:34" x14ac:dyDescent="0.3">
      <c r="A171">
        <v>32</v>
      </c>
      <c r="B171" t="str" cm="1">
        <f t="array" ref="B171">_xlfn.IFS(A171&lt;=25,"18-25",A171&lt;=35,"26-35",A171&lt;=45,"36-45",A171&lt;=55,"46-55",A171&gt;55,"55+")</f>
        <v>26-35</v>
      </c>
      <c r="C171">
        <v>0</v>
      </c>
      <c r="D171" t="s">
        <v>32</v>
      </c>
      <c r="E171">
        <v>120</v>
      </c>
      <c r="F171" t="s">
        <v>48</v>
      </c>
      <c r="G171">
        <v>6</v>
      </c>
      <c r="H171" t="s">
        <v>75</v>
      </c>
      <c r="I171" t="s">
        <v>35</v>
      </c>
      <c r="J171" t="s">
        <v>38</v>
      </c>
      <c r="K171" t="s">
        <v>50</v>
      </c>
      <c r="L171">
        <v>43</v>
      </c>
      <c r="M171" t="s">
        <v>38</v>
      </c>
      <c r="N171" t="s">
        <v>56</v>
      </c>
      <c r="O171" t="s">
        <v>51</v>
      </c>
      <c r="P171" t="s">
        <v>38</v>
      </c>
      <c r="Q171" t="s">
        <v>42</v>
      </c>
      <c r="R171">
        <v>3038</v>
      </c>
      <c r="S171">
        <v>12430</v>
      </c>
      <c r="T171">
        <v>3</v>
      </c>
      <c r="U171" t="s">
        <v>46</v>
      </c>
      <c r="V171">
        <v>20</v>
      </c>
      <c r="W171" t="s">
        <v>53</v>
      </c>
      <c r="X171" t="s">
        <v>44</v>
      </c>
      <c r="Y171">
        <v>0</v>
      </c>
      <c r="Z171">
        <v>8</v>
      </c>
      <c r="AA171">
        <v>2</v>
      </c>
      <c r="AB171" t="s">
        <v>54</v>
      </c>
      <c r="AC171">
        <v>5</v>
      </c>
      <c r="AD171" t="str" cm="1">
        <f t="array" ref="AD171">_xlfn.IFS(AC171&lt;=5,"0-5",AC171&lt;=10,"5-10",AC171&lt;=40,"10-40")</f>
        <v>0-5</v>
      </c>
      <c r="AE171">
        <v>4</v>
      </c>
      <c r="AF171">
        <v>1</v>
      </c>
      <c r="AG171">
        <v>4</v>
      </c>
      <c r="AH171">
        <v>170</v>
      </c>
    </row>
    <row r="172" spans="1:34" x14ac:dyDescent="0.3">
      <c r="A172">
        <v>27</v>
      </c>
      <c r="B172" t="str" cm="1">
        <f t="array" ref="B172">_xlfn.IFS(A172&lt;=25,"18-25",A172&lt;=35,"26-35",A172&lt;=45,"36-45",A172&lt;=55,"46-55",A172&gt;55,"55+")</f>
        <v>26-35</v>
      </c>
      <c r="C172">
        <v>0</v>
      </c>
      <c r="D172" t="s">
        <v>32</v>
      </c>
      <c r="E172">
        <v>1157</v>
      </c>
      <c r="F172" t="s">
        <v>48</v>
      </c>
      <c r="G172">
        <v>17</v>
      </c>
      <c r="H172" t="s">
        <v>61</v>
      </c>
      <c r="I172" t="s">
        <v>74</v>
      </c>
      <c r="J172" t="s">
        <v>38</v>
      </c>
      <c r="K172" t="s">
        <v>50</v>
      </c>
      <c r="L172">
        <v>51</v>
      </c>
      <c r="M172" t="s">
        <v>38</v>
      </c>
      <c r="N172" t="s">
        <v>56</v>
      </c>
      <c r="O172" t="s">
        <v>51</v>
      </c>
      <c r="P172" t="s">
        <v>36</v>
      </c>
      <c r="Q172" t="s">
        <v>52</v>
      </c>
      <c r="R172">
        <v>3058</v>
      </c>
      <c r="S172">
        <v>13364</v>
      </c>
      <c r="T172">
        <v>0</v>
      </c>
      <c r="U172" t="s">
        <v>31</v>
      </c>
      <c r="V172">
        <v>16</v>
      </c>
      <c r="W172" t="s">
        <v>43</v>
      </c>
      <c r="X172" t="s">
        <v>41</v>
      </c>
      <c r="Y172">
        <v>1</v>
      </c>
      <c r="Z172">
        <v>6</v>
      </c>
      <c r="AA172">
        <v>3</v>
      </c>
      <c r="AB172" t="s">
        <v>60</v>
      </c>
      <c r="AC172">
        <v>5</v>
      </c>
      <c r="AD172" t="str" cm="1">
        <f t="array" ref="AD172">_xlfn.IFS(AC172&lt;=5,"0-5",AC172&lt;=10,"5-10",AC172&lt;=40,"10-40")</f>
        <v>0-5</v>
      </c>
      <c r="AE172">
        <v>2</v>
      </c>
      <c r="AF172">
        <v>1</v>
      </c>
      <c r="AG172">
        <v>1</v>
      </c>
      <c r="AH172">
        <v>171</v>
      </c>
    </row>
    <row r="173" spans="1:34" x14ac:dyDescent="0.3">
      <c r="A173">
        <v>19</v>
      </c>
      <c r="B173" t="str" cm="1">
        <f t="array" ref="B173">_xlfn.IFS(A173&lt;=25,"18-25",A173&lt;=35,"26-35",A173&lt;=45,"36-45",A173&lt;=55,"46-55",A173&gt;55,"55+")</f>
        <v>18-25</v>
      </c>
      <c r="C173">
        <v>1</v>
      </c>
      <c r="D173" t="s">
        <v>47</v>
      </c>
      <c r="E173">
        <v>602</v>
      </c>
      <c r="F173" t="s">
        <v>33</v>
      </c>
      <c r="G173">
        <v>1</v>
      </c>
      <c r="H173" t="s">
        <v>49</v>
      </c>
      <c r="I173" t="s">
        <v>74</v>
      </c>
      <c r="J173" t="s">
        <v>38</v>
      </c>
      <c r="K173" t="s">
        <v>37</v>
      </c>
      <c r="L173">
        <v>100</v>
      </c>
      <c r="M173" t="s">
        <v>44</v>
      </c>
      <c r="N173" t="s">
        <v>56</v>
      </c>
      <c r="O173" t="s">
        <v>69</v>
      </c>
      <c r="P173" t="s">
        <v>44</v>
      </c>
      <c r="Q173" t="s">
        <v>42</v>
      </c>
      <c r="R173">
        <v>2325</v>
      </c>
      <c r="S173">
        <v>20989</v>
      </c>
      <c r="T173">
        <v>0</v>
      </c>
      <c r="U173" t="s">
        <v>46</v>
      </c>
      <c r="V173">
        <v>21</v>
      </c>
      <c r="W173" t="s">
        <v>53</v>
      </c>
      <c r="X173" t="s">
        <v>44</v>
      </c>
      <c r="Y173">
        <v>0</v>
      </c>
      <c r="Z173">
        <v>1</v>
      </c>
      <c r="AA173">
        <v>5</v>
      </c>
      <c r="AB173" t="s">
        <v>73</v>
      </c>
      <c r="AC173">
        <v>0</v>
      </c>
      <c r="AD173" t="str" cm="1">
        <f t="array" ref="AD173">_xlfn.IFS(AC173&lt;=5,"0-5",AC173&lt;=10,"5-10",AC173&lt;=40,"10-40")</f>
        <v>0-5</v>
      </c>
      <c r="AE173">
        <v>0</v>
      </c>
      <c r="AF173">
        <v>0</v>
      </c>
      <c r="AG173">
        <v>0</v>
      </c>
      <c r="AH173">
        <v>172</v>
      </c>
    </row>
    <row r="174" spans="1:34" x14ac:dyDescent="0.3">
      <c r="A174">
        <v>36</v>
      </c>
      <c r="B174" t="str" cm="1">
        <f t="array" ref="B174">_xlfn.IFS(A174&lt;=25,"18-25",A174&lt;=35,"26-35",A174&lt;=45,"36-45",A174&lt;=55,"46-55",A174&gt;55,"55+")</f>
        <v>36-45</v>
      </c>
      <c r="C174">
        <v>0</v>
      </c>
      <c r="D174" t="s">
        <v>47</v>
      </c>
      <c r="E174">
        <v>1480</v>
      </c>
      <c r="F174" t="s">
        <v>48</v>
      </c>
      <c r="G174">
        <v>3</v>
      </c>
      <c r="H174" t="s">
        <v>34</v>
      </c>
      <c r="I174" t="s">
        <v>59</v>
      </c>
      <c r="J174" t="s">
        <v>41</v>
      </c>
      <c r="K174" t="s">
        <v>50</v>
      </c>
      <c r="L174">
        <v>30</v>
      </c>
      <c r="M174" t="s">
        <v>38</v>
      </c>
      <c r="N174" t="s">
        <v>56</v>
      </c>
      <c r="O174" t="s">
        <v>57</v>
      </c>
      <c r="P174" t="s">
        <v>36</v>
      </c>
      <c r="Q174" t="s">
        <v>42</v>
      </c>
      <c r="R174">
        <v>2088</v>
      </c>
      <c r="S174">
        <v>15062</v>
      </c>
      <c r="T174">
        <v>4</v>
      </c>
      <c r="U174" t="s">
        <v>46</v>
      </c>
      <c r="V174">
        <v>12</v>
      </c>
      <c r="W174" t="s">
        <v>43</v>
      </c>
      <c r="X174" t="s">
        <v>38</v>
      </c>
      <c r="Y174">
        <v>0</v>
      </c>
      <c r="Z174">
        <v>13</v>
      </c>
      <c r="AA174">
        <v>3</v>
      </c>
      <c r="AB174" t="s">
        <v>60</v>
      </c>
      <c r="AC174">
        <v>8</v>
      </c>
      <c r="AD174" t="str" cm="1">
        <f t="array" ref="AD174">_xlfn.IFS(AC174&lt;=5,"0-5",AC174&lt;=10,"5-10",AC174&lt;=40,"10-40")</f>
        <v>5-10</v>
      </c>
      <c r="AE174">
        <v>7</v>
      </c>
      <c r="AF174">
        <v>7</v>
      </c>
      <c r="AG174">
        <v>2</v>
      </c>
      <c r="AH174">
        <v>173</v>
      </c>
    </row>
    <row r="175" spans="1:34" x14ac:dyDescent="0.3">
      <c r="A175">
        <v>30</v>
      </c>
      <c r="B175" t="str" cm="1">
        <f t="array" ref="B175">_xlfn.IFS(A175&lt;=25,"18-25",A175&lt;=35,"26-35",A175&lt;=45,"36-45",A175&lt;=55,"46-55",A175&gt;55,"55+")</f>
        <v>26-35</v>
      </c>
      <c r="C175">
        <v>0</v>
      </c>
      <c r="D175" t="s">
        <v>66</v>
      </c>
      <c r="E175">
        <v>111</v>
      </c>
      <c r="F175" t="s">
        <v>48</v>
      </c>
      <c r="G175">
        <v>9</v>
      </c>
      <c r="H175" t="s">
        <v>61</v>
      </c>
      <c r="I175" t="s">
        <v>59</v>
      </c>
      <c r="J175" t="s">
        <v>38</v>
      </c>
      <c r="K175" t="s">
        <v>50</v>
      </c>
      <c r="L175">
        <v>66</v>
      </c>
      <c r="M175" t="s">
        <v>38</v>
      </c>
      <c r="N175" t="s">
        <v>39</v>
      </c>
      <c r="O175" t="s">
        <v>57</v>
      </c>
      <c r="P175" t="s">
        <v>44</v>
      </c>
      <c r="Q175" t="s">
        <v>62</v>
      </c>
      <c r="R175">
        <v>3072</v>
      </c>
      <c r="S175">
        <v>11012</v>
      </c>
      <c r="T175">
        <v>1</v>
      </c>
      <c r="U175" t="s">
        <v>46</v>
      </c>
      <c r="V175">
        <v>11</v>
      </c>
      <c r="W175" t="s">
        <v>43</v>
      </c>
      <c r="X175" t="s">
        <v>38</v>
      </c>
      <c r="Y175">
        <v>2</v>
      </c>
      <c r="Z175">
        <v>12</v>
      </c>
      <c r="AA175">
        <v>4</v>
      </c>
      <c r="AB175" t="s">
        <v>54</v>
      </c>
      <c r="AC175">
        <v>12</v>
      </c>
      <c r="AD175" t="str" cm="1">
        <f t="array" ref="AD175">_xlfn.IFS(AC175&lt;=5,"0-5",AC175&lt;=10,"5-10",AC175&lt;=40,"10-40")</f>
        <v>10-40</v>
      </c>
      <c r="AE175">
        <v>9</v>
      </c>
      <c r="AF175">
        <v>6</v>
      </c>
      <c r="AG175">
        <v>10</v>
      </c>
      <c r="AH175">
        <v>174</v>
      </c>
    </row>
    <row r="176" spans="1:34" x14ac:dyDescent="0.3">
      <c r="A176">
        <v>45</v>
      </c>
      <c r="B176" t="str" cm="1">
        <f t="array" ref="B176">_xlfn.IFS(A176&lt;=25,"18-25",A176&lt;=35,"26-35",A176&lt;=45,"36-45",A176&lt;=55,"46-55",A176&gt;55,"55+")</f>
        <v>36-45</v>
      </c>
      <c r="C176">
        <v>0</v>
      </c>
      <c r="D176" t="s">
        <v>32</v>
      </c>
      <c r="E176">
        <v>1268</v>
      </c>
      <c r="F176" t="s">
        <v>33</v>
      </c>
      <c r="G176">
        <v>4</v>
      </c>
      <c r="H176" t="s">
        <v>34</v>
      </c>
      <c r="I176" t="s">
        <v>35</v>
      </c>
      <c r="J176" t="s">
        <v>38</v>
      </c>
      <c r="K176" t="s">
        <v>37</v>
      </c>
      <c r="L176">
        <v>30</v>
      </c>
      <c r="M176" t="s">
        <v>38</v>
      </c>
      <c r="N176" t="s">
        <v>39</v>
      </c>
      <c r="O176" t="s">
        <v>40</v>
      </c>
      <c r="P176" t="s">
        <v>44</v>
      </c>
      <c r="Q176" t="s">
        <v>62</v>
      </c>
      <c r="R176">
        <v>5006</v>
      </c>
      <c r="S176">
        <v>6319</v>
      </c>
      <c r="T176">
        <v>4</v>
      </c>
      <c r="U176" t="s">
        <v>31</v>
      </c>
      <c r="V176">
        <v>11</v>
      </c>
      <c r="W176" t="s">
        <v>43</v>
      </c>
      <c r="X176" t="s">
        <v>44</v>
      </c>
      <c r="Y176">
        <v>1</v>
      </c>
      <c r="Z176">
        <v>9</v>
      </c>
      <c r="AA176">
        <v>3</v>
      </c>
      <c r="AB176" t="s">
        <v>73</v>
      </c>
      <c r="AC176">
        <v>5</v>
      </c>
      <c r="AD176" t="str" cm="1">
        <f t="array" ref="AD176">_xlfn.IFS(AC176&lt;=5,"0-5",AC176&lt;=10,"5-10",AC176&lt;=40,"10-40")</f>
        <v>0-5</v>
      </c>
      <c r="AE176">
        <v>4</v>
      </c>
      <c r="AF176">
        <v>0</v>
      </c>
      <c r="AG176">
        <v>3</v>
      </c>
      <c r="AH176">
        <v>175</v>
      </c>
    </row>
    <row r="177" spans="1:34" x14ac:dyDescent="0.3">
      <c r="A177">
        <v>56</v>
      </c>
      <c r="B177" t="str" cm="1">
        <f t="array" ref="B177">_xlfn.IFS(A177&lt;=25,"18-25",A177&lt;=35,"26-35",A177&lt;=45,"36-45",A177&lt;=55,"46-55",A177&gt;55,"55+")</f>
        <v>55+</v>
      </c>
      <c r="C177">
        <v>0</v>
      </c>
      <c r="D177" t="s">
        <v>32</v>
      </c>
      <c r="E177">
        <v>713</v>
      </c>
      <c r="F177" t="s">
        <v>48</v>
      </c>
      <c r="G177">
        <v>8</v>
      </c>
      <c r="H177" t="s">
        <v>61</v>
      </c>
      <c r="I177" t="s">
        <v>35</v>
      </c>
      <c r="J177" t="s">
        <v>38</v>
      </c>
      <c r="K177" t="s">
        <v>37</v>
      </c>
      <c r="L177">
        <v>67</v>
      </c>
      <c r="M177" t="s">
        <v>38</v>
      </c>
      <c r="N177" t="s">
        <v>56</v>
      </c>
      <c r="O177" t="s">
        <v>51</v>
      </c>
      <c r="P177" t="s">
        <v>44</v>
      </c>
      <c r="Q177" t="s">
        <v>62</v>
      </c>
      <c r="R177">
        <v>4257</v>
      </c>
      <c r="S177">
        <v>13939</v>
      </c>
      <c r="T177">
        <v>4</v>
      </c>
      <c r="U177" t="s">
        <v>31</v>
      </c>
      <c r="V177">
        <v>18</v>
      </c>
      <c r="W177" t="s">
        <v>43</v>
      </c>
      <c r="X177" t="s">
        <v>38</v>
      </c>
      <c r="Y177">
        <v>1</v>
      </c>
      <c r="Z177">
        <v>19</v>
      </c>
      <c r="AA177">
        <v>3</v>
      </c>
      <c r="AB177" t="s">
        <v>54</v>
      </c>
      <c r="AC177">
        <v>2</v>
      </c>
      <c r="AD177" t="str" cm="1">
        <f t="array" ref="AD177">_xlfn.IFS(AC177&lt;=5,"0-5",AC177&lt;=10,"5-10",AC177&lt;=40,"10-40")</f>
        <v>0-5</v>
      </c>
      <c r="AE177">
        <v>2</v>
      </c>
      <c r="AF177">
        <v>2</v>
      </c>
      <c r="AG177">
        <v>2</v>
      </c>
      <c r="AH177">
        <v>176</v>
      </c>
    </row>
    <row r="178" spans="1:34" x14ac:dyDescent="0.3">
      <c r="A178">
        <v>33</v>
      </c>
      <c r="B178" t="str" cm="1">
        <f t="array" ref="B178">_xlfn.IFS(A178&lt;=25,"18-25",A178&lt;=35,"26-35",A178&lt;=45,"36-45",A178&lt;=55,"46-55",A178&gt;55,"55+")</f>
        <v>26-35</v>
      </c>
      <c r="C178">
        <v>0</v>
      </c>
      <c r="D178" t="s">
        <v>32</v>
      </c>
      <c r="E178">
        <v>134</v>
      </c>
      <c r="F178" t="s">
        <v>48</v>
      </c>
      <c r="G178">
        <v>2</v>
      </c>
      <c r="H178" t="s">
        <v>61</v>
      </c>
      <c r="I178" t="s">
        <v>35</v>
      </c>
      <c r="J178" t="s">
        <v>38</v>
      </c>
      <c r="K178" t="s">
        <v>50</v>
      </c>
      <c r="L178">
        <v>90</v>
      </c>
      <c r="M178" t="s">
        <v>38</v>
      </c>
      <c r="N178" t="s">
        <v>56</v>
      </c>
      <c r="O178" t="s">
        <v>51</v>
      </c>
      <c r="P178" t="s">
        <v>41</v>
      </c>
      <c r="Q178" t="s">
        <v>42</v>
      </c>
      <c r="R178">
        <v>2500</v>
      </c>
      <c r="S178">
        <v>10515</v>
      </c>
      <c r="T178">
        <v>0</v>
      </c>
      <c r="U178" t="s">
        <v>46</v>
      </c>
      <c r="V178">
        <v>14</v>
      </c>
      <c r="W178" t="s">
        <v>43</v>
      </c>
      <c r="X178" t="s">
        <v>44</v>
      </c>
      <c r="Y178">
        <v>0</v>
      </c>
      <c r="Z178">
        <v>4</v>
      </c>
      <c r="AA178">
        <v>2</v>
      </c>
      <c r="AB178" t="s">
        <v>73</v>
      </c>
      <c r="AC178">
        <v>3</v>
      </c>
      <c r="AD178" t="str" cm="1">
        <f t="array" ref="AD178">_xlfn.IFS(AC178&lt;=5,"0-5",AC178&lt;=10,"5-10",AC178&lt;=40,"10-40")</f>
        <v>0-5</v>
      </c>
      <c r="AE178">
        <v>1</v>
      </c>
      <c r="AF178">
        <v>0</v>
      </c>
      <c r="AG178">
        <v>2</v>
      </c>
      <c r="AH178">
        <v>177</v>
      </c>
    </row>
    <row r="179" spans="1:34" x14ac:dyDescent="0.3">
      <c r="A179">
        <v>19</v>
      </c>
      <c r="B179" t="str" cm="1">
        <f t="array" ref="B179">_xlfn.IFS(A179&lt;=25,"18-25",A179&lt;=35,"26-35",A179&lt;=45,"36-45",A179&lt;=55,"46-55",A179&gt;55,"55+")</f>
        <v>18-25</v>
      </c>
      <c r="C179">
        <v>1</v>
      </c>
      <c r="D179" t="s">
        <v>32</v>
      </c>
      <c r="E179">
        <v>303</v>
      </c>
      <c r="F179" t="s">
        <v>48</v>
      </c>
      <c r="G179">
        <v>2</v>
      </c>
      <c r="H179" t="s">
        <v>61</v>
      </c>
      <c r="I179" t="s">
        <v>35</v>
      </c>
      <c r="J179" t="s">
        <v>36</v>
      </c>
      <c r="K179" t="s">
        <v>50</v>
      </c>
      <c r="L179">
        <v>47</v>
      </c>
      <c r="M179" t="s">
        <v>36</v>
      </c>
      <c r="N179" t="s">
        <v>56</v>
      </c>
      <c r="O179" t="s">
        <v>57</v>
      </c>
      <c r="P179" t="s">
        <v>41</v>
      </c>
      <c r="Q179" t="s">
        <v>42</v>
      </c>
      <c r="R179">
        <v>1102</v>
      </c>
      <c r="S179">
        <v>9241</v>
      </c>
      <c r="T179">
        <v>1</v>
      </c>
      <c r="U179" t="s">
        <v>46</v>
      </c>
      <c r="V179">
        <v>22</v>
      </c>
      <c r="W179" t="s">
        <v>53</v>
      </c>
      <c r="X179" t="s">
        <v>38</v>
      </c>
      <c r="Y179">
        <v>0</v>
      </c>
      <c r="Z179">
        <v>1</v>
      </c>
      <c r="AA179">
        <v>3</v>
      </c>
      <c r="AB179" t="s">
        <v>60</v>
      </c>
      <c r="AC179">
        <v>1</v>
      </c>
      <c r="AD179" t="str" cm="1">
        <f t="array" ref="AD179">_xlfn.IFS(AC179&lt;=5,"0-5",AC179&lt;=10,"5-10",AC179&lt;=40,"10-40")</f>
        <v>0-5</v>
      </c>
      <c r="AE179">
        <v>0</v>
      </c>
      <c r="AF179">
        <v>1</v>
      </c>
      <c r="AG179">
        <v>0</v>
      </c>
      <c r="AH179">
        <v>178</v>
      </c>
    </row>
    <row r="180" spans="1:34" x14ac:dyDescent="0.3">
      <c r="A180">
        <v>46</v>
      </c>
      <c r="B180" t="str" cm="1">
        <f t="array" ref="B180">_xlfn.IFS(A180&lt;=25,"18-25",A180&lt;=35,"26-35",A180&lt;=45,"36-45",A180&lt;=55,"46-55",A180&gt;55,"55+")</f>
        <v>46-55</v>
      </c>
      <c r="C180">
        <v>0</v>
      </c>
      <c r="D180" t="s">
        <v>32</v>
      </c>
      <c r="E180">
        <v>526</v>
      </c>
      <c r="F180" t="s">
        <v>33</v>
      </c>
      <c r="G180">
        <v>1</v>
      </c>
      <c r="H180" t="s">
        <v>34</v>
      </c>
      <c r="I180" t="s">
        <v>72</v>
      </c>
      <c r="J180" t="s">
        <v>36</v>
      </c>
      <c r="K180" t="s">
        <v>37</v>
      </c>
      <c r="L180">
        <v>92</v>
      </c>
      <c r="M180" t="s">
        <v>38</v>
      </c>
      <c r="N180" t="s">
        <v>63</v>
      </c>
      <c r="O180" t="s">
        <v>40</v>
      </c>
      <c r="P180" t="s">
        <v>44</v>
      </c>
      <c r="Q180" t="s">
        <v>62</v>
      </c>
      <c r="R180">
        <v>10453</v>
      </c>
      <c r="S180">
        <v>2137</v>
      </c>
      <c r="T180">
        <v>1</v>
      </c>
      <c r="U180" t="s">
        <v>46</v>
      </c>
      <c r="V180">
        <v>25</v>
      </c>
      <c r="W180" t="s">
        <v>53</v>
      </c>
      <c r="X180" t="s">
        <v>38</v>
      </c>
      <c r="Y180">
        <v>3</v>
      </c>
      <c r="Z180">
        <v>24</v>
      </c>
      <c r="AA180">
        <v>2</v>
      </c>
      <c r="AB180" t="s">
        <v>54</v>
      </c>
      <c r="AC180">
        <v>24</v>
      </c>
      <c r="AD180" t="str" cm="1">
        <f t="array" ref="AD180">_xlfn.IFS(AC180&lt;=5,"0-5",AC180&lt;=10,"5-10",AC180&lt;=40,"10-40")</f>
        <v>10-40</v>
      </c>
      <c r="AE180">
        <v>13</v>
      </c>
      <c r="AF180">
        <v>15</v>
      </c>
      <c r="AG180">
        <v>7</v>
      </c>
      <c r="AH180">
        <v>179</v>
      </c>
    </row>
    <row r="181" spans="1:34" x14ac:dyDescent="0.3">
      <c r="A181">
        <v>38</v>
      </c>
      <c r="B181" t="str" cm="1">
        <f t="array" ref="B181">_xlfn.IFS(A181&lt;=25,"18-25",A181&lt;=35,"26-35",A181&lt;=45,"36-45",A181&lt;=55,"46-55",A181&gt;55,"55+")</f>
        <v>36-45</v>
      </c>
      <c r="C181">
        <v>0</v>
      </c>
      <c r="D181" t="s">
        <v>32</v>
      </c>
      <c r="E181">
        <v>1380</v>
      </c>
      <c r="F181" t="s">
        <v>48</v>
      </c>
      <c r="G181">
        <v>9</v>
      </c>
      <c r="H181" t="s">
        <v>34</v>
      </c>
      <c r="I181" t="s">
        <v>35</v>
      </c>
      <c r="J181" t="s">
        <v>38</v>
      </c>
      <c r="K181" t="s">
        <v>37</v>
      </c>
      <c r="L181">
        <v>75</v>
      </c>
      <c r="M181" t="s">
        <v>38</v>
      </c>
      <c r="N181" t="s">
        <v>56</v>
      </c>
      <c r="O181" t="s">
        <v>57</v>
      </c>
      <c r="P181" t="s">
        <v>41</v>
      </c>
      <c r="Q181" t="s">
        <v>42</v>
      </c>
      <c r="R181">
        <v>2288</v>
      </c>
      <c r="S181">
        <v>6319</v>
      </c>
      <c r="T181">
        <v>1</v>
      </c>
      <c r="U181" t="s">
        <v>46</v>
      </c>
      <c r="V181">
        <v>12</v>
      </c>
      <c r="W181" t="s">
        <v>43</v>
      </c>
      <c r="X181" t="s">
        <v>38</v>
      </c>
      <c r="Y181">
        <v>0</v>
      </c>
      <c r="Z181">
        <v>2</v>
      </c>
      <c r="AA181">
        <v>3</v>
      </c>
      <c r="AB181" t="s">
        <v>54</v>
      </c>
      <c r="AC181">
        <v>2</v>
      </c>
      <c r="AD181" t="str" cm="1">
        <f t="array" ref="AD181">_xlfn.IFS(AC181&lt;=5,"0-5",AC181&lt;=10,"5-10",AC181&lt;=40,"10-40")</f>
        <v>0-5</v>
      </c>
      <c r="AE181">
        <v>2</v>
      </c>
      <c r="AF181">
        <v>2</v>
      </c>
      <c r="AG181">
        <v>1</v>
      </c>
      <c r="AH181">
        <v>180</v>
      </c>
    </row>
    <row r="182" spans="1:34" x14ac:dyDescent="0.3">
      <c r="A182">
        <v>31</v>
      </c>
      <c r="B182" t="str" cm="1">
        <f t="array" ref="B182">_xlfn.IFS(A182&lt;=25,"18-25",A182&lt;=35,"26-35",A182&lt;=45,"36-45",A182&lt;=55,"46-55",A182&gt;55,"55+")</f>
        <v>26-35</v>
      </c>
      <c r="C182">
        <v>0</v>
      </c>
      <c r="D182" t="s">
        <v>32</v>
      </c>
      <c r="E182">
        <v>140</v>
      </c>
      <c r="F182" t="s">
        <v>48</v>
      </c>
      <c r="G182">
        <v>12</v>
      </c>
      <c r="H182" t="s">
        <v>49</v>
      </c>
      <c r="I182" t="s">
        <v>59</v>
      </c>
      <c r="J182" t="s">
        <v>38</v>
      </c>
      <c r="K182" t="s">
        <v>37</v>
      </c>
      <c r="L182">
        <v>95</v>
      </c>
      <c r="M182" t="s">
        <v>38</v>
      </c>
      <c r="N182" t="s">
        <v>56</v>
      </c>
      <c r="O182" t="s">
        <v>51</v>
      </c>
      <c r="P182" t="s">
        <v>41</v>
      </c>
      <c r="Q182" t="s">
        <v>52</v>
      </c>
      <c r="R182">
        <v>3929</v>
      </c>
      <c r="S182">
        <v>6984</v>
      </c>
      <c r="T182">
        <v>8</v>
      </c>
      <c r="U182" t="s">
        <v>31</v>
      </c>
      <c r="V182">
        <v>23</v>
      </c>
      <c r="W182" t="s">
        <v>53</v>
      </c>
      <c r="X182" t="s">
        <v>38</v>
      </c>
      <c r="Y182">
        <v>1</v>
      </c>
      <c r="Z182">
        <v>7</v>
      </c>
      <c r="AA182">
        <v>0</v>
      </c>
      <c r="AB182" t="s">
        <v>54</v>
      </c>
      <c r="AC182">
        <v>4</v>
      </c>
      <c r="AD182" t="str" cm="1">
        <f t="array" ref="AD182">_xlfn.IFS(AC182&lt;=5,"0-5",AC182&lt;=10,"5-10",AC182&lt;=40,"10-40")</f>
        <v>0-5</v>
      </c>
      <c r="AE182">
        <v>2</v>
      </c>
      <c r="AF182">
        <v>0</v>
      </c>
      <c r="AG182">
        <v>2</v>
      </c>
      <c r="AH182">
        <v>181</v>
      </c>
    </row>
    <row r="183" spans="1:34" x14ac:dyDescent="0.3">
      <c r="A183">
        <v>34</v>
      </c>
      <c r="B183" t="str" cm="1">
        <f t="array" ref="B183">_xlfn.IFS(A183&lt;=25,"18-25",A183&lt;=35,"26-35",A183&lt;=45,"36-45",A183&lt;=55,"46-55",A183&gt;55,"55+")</f>
        <v>26-35</v>
      </c>
      <c r="C183">
        <v>0</v>
      </c>
      <c r="D183" t="s">
        <v>32</v>
      </c>
      <c r="E183">
        <v>629</v>
      </c>
      <c r="F183" t="s">
        <v>48</v>
      </c>
      <c r="G183">
        <v>27</v>
      </c>
      <c r="H183" t="s">
        <v>34</v>
      </c>
      <c r="I183" t="s">
        <v>59</v>
      </c>
      <c r="J183" t="s">
        <v>41</v>
      </c>
      <c r="K183" t="s">
        <v>37</v>
      </c>
      <c r="L183">
        <v>95</v>
      </c>
      <c r="M183" t="s">
        <v>38</v>
      </c>
      <c r="N183" t="s">
        <v>56</v>
      </c>
      <c r="O183" t="s">
        <v>51</v>
      </c>
      <c r="P183" t="s">
        <v>36</v>
      </c>
      <c r="Q183" t="s">
        <v>42</v>
      </c>
      <c r="R183">
        <v>2311</v>
      </c>
      <c r="S183">
        <v>5711</v>
      </c>
      <c r="T183">
        <v>2</v>
      </c>
      <c r="U183" t="s">
        <v>46</v>
      </c>
      <c r="V183">
        <v>15</v>
      </c>
      <c r="W183" t="s">
        <v>43</v>
      </c>
      <c r="X183" t="s">
        <v>41</v>
      </c>
      <c r="Y183">
        <v>0</v>
      </c>
      <c r="Z183">
        <v>9</v>
      </c>
      <c r="AA183">
        <v>3</v>
      </c>
      <c r="AB183" t="s">
        <v>54</v>
      </c>
      <c r="AC183">
        <v>3</v>
      </c>
      <c r="AD183" t="str" cm="1">
        <f t="array" ref="AD183">_xlfn.IFS(AC183&lt;=5,"0-5",AC183&lt;=10,"5-10",AC183&lt;=40,"10-40")</f>
        <v>0-5</v>
      </c>
      <c r="AE183">
        <v>2</v>
      </c>
      <c r="AF183">
        <v>1</v>
      </c>
      <c r="AG183">
        <v>2</v>
      </c>
      <c r="AH183">
        <v>182</v>
      </c>
    </row>
    <row r="184" spans="1:34" x14ac:dyDescent="0.3">
      <c r="A184">
        <v>41</v>
      </c>
      <c r="B184" t="str" cm="1">
        <f t="array" ref="B184">_xlfn.IFS(A184&lt;=25,"18-25",A184&lt;=35,"26-35",A184&lt;=45,"36-45",A184&lt;=55,"46-55",A184&gt;55,"55+")</f>
        <v>36-45</v>
      </c>
      <c r="C184">
        <v>1</v>
      </c>
      <c r="D184" t="s">
        <v>32</v>
      </c>
      <c r="E184">
        <v>1356</v>
      </c>
      <c r="F184" t="s">
        <v>33</v>
      </c>
      <c r="G184">
        <v>20</v>
      </c>
      <c r="H184" t="s">
        <v>34</v>
      </c>
      <c r="I184" t="s">
        <v>72</v>
      </c>
      <c r="J184" t="s">
        <v>36</v>
      </c>
      <c r="K184" t="s">
        <v>37</v>
      </c>
      <c r="L184">
        <v>70</v>
      </c>
      <c r="M184" t="s">
        <v>38</v>
      </c>
      <c r="N184" t="s">
        <v>56</v>
      </c>
      <c r="O184" t="s">
        <v>69</v>
      </c>
      <c r="P184" t="s">
        <v>36</v>
      </c>
      <c r="Q184" t="s">
        <v>42</v>
      </c>
      <c r="R184">
        <v>3140</v>
      </c>
      <c r="S184">
        <v>21728</v>
      </c>
      <c r="T184">
        <v>1</v>
      </c>
      <c r="U184" t="s">
        <v>31</v>
      </c>
      <c r="V184">
        <v>22</v>
      </c>
      <c r="W184" t="s">
        <v>53</v>
      </c>
      <c r="X184" t="s">
        <v>41</v>
      </c>
      <c r="Y184">
        <v>0</v>
      </c>
      <c r="Z184">
        <v>4</v>
      </c>
      <c r="AA184">
        <v>5</v>
      </c>
      <c r="AB184" t="s">
        <v>60</v>
      </c>
      <c r="AC184">
        <v>4</v>
      </c>
      <c r="AD184" t="str" cm="1">
        <f t="array" ref="AD184">_xlfn.IFS(AC184&lt;=5,"0-5",AC184&lt;=10,"5-10",AC184&lt;=40,"10-40")</f>
        <v>0-5</v>
      </c>
      <c r="AE184">
        <v>3</v>
      </c>
      <c r="AF184">
        <v>0</v>
      </c>
      <c r="AG184">
        <v>2</v>
      </c>
      <c r="AH184">
        <v>183</v>
      </c>
    </row>
    <row r="185" spans="1:34" x14ac:dyDescent="0.3">
      <c r="A185">
        <v>50</v>
      </c>
      <c r="B185" t="str" cm="1">
        <f t="array" ref="B185">_xlfn.IFS(A185&lt;=25,"18-25",A185&lt;=35,"26-35",A185&lt;=45,"36-45",A185&lt;=55,"46-55",A185&gt;55,"55+")</f>
        <v>46-55</v>
      </c>
      <c r="C185">
        <v>0</v>
      </c>
      <c r="D185" t="s">
        <v>32</v>
      </c>
      <c r="E185">
        <v>328</v>
      </c>
      <c r="F185" t="s">
        <v>48</v>
      </c>
      <c r="G185">
        <v>1</v>
      </c>
      <c r="H185" t="s">
        <v>61</v>
      </c>
      <c r="I185" t="s">
        <v>59</v>
      </c>
      <c r="J185" t="s">
        <v>38</v>
      </c>
      <c r="K185" t="s">
        <v>50</v>
      </c>
      <c r="L185">
        <v>86</v>
      </c>
      <c r="M185" t="s">
        <v>36</v>
      </c>
      <c r="N185" t="s">
        <v>56</v>
      </c>
      <c r="O185" t="s">
        <v>57</v>
      </c>
      <c r="P185" t="s">
        <v>38</v>
      </c>
      <c r="Q185" t="s">
        <v>52</v>
      </c>
      <c r="R185">
        <v>3690</v>
      </c>
      <c r="S185">
        <v>3425</v>
      </c>
      <c r="T185">
        <v>2</v>
      </c>
      <c r="U185" t="s">
        <v>46</v>
      </c>
      <c r="V185">
        <v>15</v>
      </c>
      <c r="W185" t="s">
        <v>43</v>
      </c>
      <c r="X185" t="s">
        <v>41</v>
      </c>
      <c r="Y185">
        <v>1</v>
      </c>
      <c r="Z185">
        <v>5</v>
      </c>
      <c r="AA185">
        <v>2</v>
      </c>
      <c r="AB185" t="s">
        <v>60</v>
      </c>
      <c r="AC185">
        <v>3</v>
      </c>
      <c r="AD185" t="str" cm="1">
        <f t="array" ref="AD185">_xlfn.IFS(AC185&lt;=5,"0-5",AC185&lt;=10,"5-10",AC185&lt;=40,"10-40")</f>
        <v>0-5</v>
      </c>
      <c r="AE185">
        <v>2</v>
      </c>
      <c r="AF185">
        <v>0</v>
      </c>
      <c r="AG185">
        <v>2</v>
      </c>
      <c r="AH185">
        <v>184</v>
      </c>
    </row>
    <row r="186" spans="1:34" x14ac:dyDescent="0.3">
      <c r="A186">
        <v>53</v>
      </c>
      <c r="B186" t="str" cm="1">
        <f t="array" ref="B186">_xlfn.IFS(A186&lt;=25,"18-25",A186&lt;=35,"26-35",A186&lt;=45,"36-45",A186&lt;=55,"46-55",A186&gt;55,"55+")</f>
        <v>46-55</v>
      </c>
      <c r="C186">
        <v>0</v>
      </c>
      <c r="D186" t="s">
        <v>32</v>
      </c>
      <c r="E186">
        <v>1084</v>
      </c>
      <c r="F186" t="s">
        <v>48</v>
      </c>
      <c r="G186">
        <v>13</v>
      </c>
      <c r="H186" t="s">
        <v>34</v>
      </c>
      <c r="I186" t="s">
        <v>59</v>
      </c>
      <c r="J186" t="s">
        <v>41</v>
      </c>
      <c r="K186" t="s">
        <v>37</v>
      </c>
      <c r="L186">
        <v>57</v>
      </c>
      <c r="M186" t="s">
        <v>41</v>
      </c>
      <c r="N186" t="s">
        <v>39</v>
      </c>
      <c r="O186" t="s">
        <v>64</v>
      </c>
      <c r="P186" t="s">
        <v>44</v>
      </c>
      <c r="Q186" t="s">
        <v>62</v>
      </c>
      <c r="R186">
        <v>4450</v>
      </c>
      <c r="S186">
        <v>26250</v>
      </c>
      <c r="T186">
        <v>1</v>
      </c>
      <c r="U186" t="s">
        <v>46</v>
      </c>
      <c r="V186">
        <v>11</v>
      </c>
      <c r="W186" t="s">
        <v>43</v>
      </c>
      <c r="X186" t="s">
        <v>38</v>
      </c>
      <c r="Y186">
        <v>2</v>
      </c>
      <c r="Z186">
        <v>5</v>
      </c>
      <c r="AA186">
        <v>3</v>
      </c>
      <c r="AB186" t="s">
        <v>54</v>
      </c>
      <c r="AC186">
        <v>4</v>
      </c>
      <c r="AD186" t="str" cm="1">
        <f t="array" ref="AD186">_xlfn.IFS(AC186&lt;=5,"0-5",AC186&lt;=10,"5-10",AC186&lt;=40,"10-40")</f>
        <v>0-5</v>
      </c>
      <c r="AE186">
        <v>2</v>
      </c>
      <c r="AF186">
        <v>1</v>
      </c>
      <c r="AG186">
        <v>3</v>
      </c>
      <c r="AH186">
        <v>185</v>
      </c>
    </row>
    <row r="187" spans="1:34" x14ac:dyDescent="0.3">
      <c r="A187">
        <v>33</v>
      </c>
      <c r="B187" t="str" cm="1">
        <f t="array" ref="B187">_xlfn.IFS(A187&lt;=25,"18-25",A187&lt;=35,"26-35",A187&lt;=45,"36-45",A187&lt;=55,"46-55",A187&gt;55,"55+")</f>
        <v>26-35</v>
      </c>
      <c r="C187">
        <v>0</v>
      </c>
      <c r="D187" t="s">
        <v>32</v>
      </c>
      <c r="E187">
        <v>931</v>
      </c>
      <c r="F187" t="s">
        <v>48</v>
      </c>
      <c r="G187">
        <v>14</v>
      </c>
      <c r="H187" t="s">
        <v>61</v>
      </c>
      <c r="I187" t="s">
        <v>59</v>
      </c>
      <c r="J187" t="s">
        <v>41</v>
      </c>
      <c r="K187" t="s">
        <v>37</v>
      </c>
      <c r="L187">
        <v>72</v>
      </c>
      <c r="M187" t="s">
        <v>38</v>
      </c>
      <c r="N187" t="s">
        <v>56</v>
      </c>
      <c r="O187" t="s">
        <v>51</v>
      </c>
      <c r="P187" t="s">
        <v>36</v>
      </c>
      <c r="Q187" t="s">
        <v>52</v>
      </c>
      <c r="R187">
        <v>2756</v>
      </c>
      <c r="S187">
        <v>4673</v>
      </c>
      <c r="T187">
        <v>1</v>
      </c>
      <c r="U187" t="s">
        <v>46</v>
      </c>
      <c r="V187">
        <v>13</v>
      </c>
      <c r="W187" t="s">
        <v>43</v>
      </c>
      <c r="X187" t="s">
        <v>41</v>
      </c>
      <c r="Y187">
        <v>1</v>
      </c>
      <c r="Z187">
        <v>8</v>
      </c>
      <c r="AA187">
        <v>5</v>
      </c>
      <c r="AB187" t="s">
        <v>54</v>
      </c>
      <c r="AC187">
        <v>8</v>
      </c>
      <c r="AD187" t="str" cm="1">
        <f t="array" ref="AD187">_xlfn.IFS(AC187&lt;=5,"0-5",AC187&lt;=10,"5-10",AC187&lt;=40,"10-40")</f>
        <v>5-10</v>
      </c>
      <c r="AE187">
        <v>7</v>
      </c>
      <c r="AF187">
        <v>1</v>
      </c>
      <c r="AG187">
        <v>6</v>
      </c>
      <c r="AH187">
        <v>186</v>
      </c>
    </row>
    <row r="188" spans="1:34" x14ac:dyDescent="0.3">
      <c r="A188">
        <v>40</v>
      </c>
      <c r="B188" t="str" cm="1">
        <f t="array" ref="B188">_xlfn.IFS(A188&lt;=25,"18-25",A188&lt;=35,"26-35",A188&lt;=45,"36-45",A188&lt;=55,"46-55",A188&gt;55,"55+")</f>
        <v>36-45</v>
      </c>
      <c r="C188">
        <v>0</v>
      </c>
      <c r="D188" t="s">
        <v>32</v>
      </c>
      <c r="E188">
        <v>989</v>
      </c>
      <c r="F188" t="s">
        <v>48</v>
      </c>
      <c r="G188">
        <v>4</v>
      </c>
      <c r="H188" t="s">
        <v>49</v>
      </c>
      <c r="I188" t="s">
        <v>59</v>
      </c>
      <c r="J188" t="s">
        <v>41</v>
      </c>
      <c r="K188" t="s">
        <v>37</v>
      </c>
      <c r="L188">
        <v>46</v>
      </c>
      <c r="M188" t="s">
        <v>38</v>
      </c>
      <c r="N188" t="s">
        <v>71</v>
      </c>
      <c r="O188" t="s">
        <v>68</v>
      </c>
      <c r="P188" t="s">
        <v>38</v>
      </c>
      <c r="Q188" t="s">
        <v>52</v>
      </c>
      <c r="R188">
        <v>19033</v>
      </c>
      <c r="S188">
        <v>6499</v>
      </c>
      <c r="T188">
        <v>1</v>
      </c>
      <c r="U188" t="s">
        <v>46</v>
      </c>
      <c r="V188">
        <v>14</v>
      </c>
      <c r="W188" t="s">
        <v>43</v>
      </c>
      <c r="X188" t="s">
        <v>36</v>
      </c>
      <c r="Y188">
        <v>1</v>
      </c>
      <c r="Z188">
        <v>21</v>
      </c>
      <c r="AA188">
        <v>2</v>
      </c>
      <c r="AB188" t="s">
        <v>54</v>
      </c>
      <c r="AC188">
        <v>20</v>
      </c>
      <c r="AD188" t="str" cm="1">
        <f t="array" ref="AD188">_xlfn.IFS(AC188&lt;=5,"0-5",AC188&lt;=10,"5-10",AC188&lt;=40,"10-40")</f>
        <v>10-40</v>
      </c>
      <c r="AE188">
        <v>8</v>
      </c>
      <c r="AF188">
        <v>9</v>
      </c>
      <c r="AG188">
        <v>9</v>
      </c>
      <c r="AH188">
        <v>187</v>
      </c>
    </row>
    <row r="189" spans="1:34" x14ac:dyDescent="0.3">
      <c r="A189">
        <v>55</v>
      </c>
      <c r="B189" t="str" cm="1">
        <f t="array" ref="B189">_xlfn.IFS(A189&lt;=25,"18-25",A189&lt;=35,"26-35",A189&lt;=45,"36-45",A189&lt;=55,"46-55",A189&gt;55,"55+")</f>
        <v>46-55</v>
      </c>
      <c r="C189">
        <v>0</v>
      </c>
      <c r="D189" t="s">
        <v>32</v>
      </c>
      <c r="E189">
        <v>692</v>
      </c>
      <c r="F189" t="s">
        <v>48</v>
      </c>
      <c r="G189">
        <v>14</v>
      </c>
      <c r="H189" t="s">
        <v>58</v>
      </c>
      <c r="I189" t="s">
        <v>59</v>
      </c>
      <c r="J189" t="s">
        <v>38</v>
      </c>
      <c r="K189" t="s">
        <v>50</v>
      </c>
      <c r="L189">
        <v>61</v>
      </c>
      <c r="M189" t="s">
        <v>41</v>
      </c>
      <c r="N189" t="s">
        <v>71</v>
      </c>
      <c r="O189" t="s">
        <v>70</v>
      </c>
      <c r="P189" t="s">
        <v>36</v>
      </c>
      <c r="Q189" t="s">
        <v>42</v>
      </c>
      <c r="R189">
        <v>18722</v>
      </c>
      <c r="S189">
        <v>13339</v>
      </c>
      <c r="T189">
        <v>8</v>
      </c>
      <c r="U189" t="s">
        <v>46</v>
      </c>
      <c r="V189">
        <v>11</v>
      </c>
      <c r="W189" t="s">
        <v>43</v>
      </c>
      <c r="X189" t="s">
        <v>41</v>
      </c>
      <c r="Y189">
        <v>0</v>
      </c>
      <c r="Z189">
        <v>36</v>
      </c>
      <c r="AA189">
        <v>3</v>
      </c>
      <c r="AB189" t="s">
        <v>54</v>
      </c>
      <c r="AC189">
        <v>24</v>
      </c>
      <c r="AD189" t="str" cm="1">
        <f t="array" ref="AD189">_xlfn.IFS(AC189&lt;=5,"0-5",AC189&lt;=10,"5-10",AC189&lt;=40,"10-40")</f>
        <v>10-40</v>
      </c>
      <c r="AE189">
        <v>15</v>
      </c>
      <c r="AF189">
        <v>2</v>
      </c>
      <c r="AG189">
        <v>15</v>
      </c>
      <c r="AH189">
        <v>188</v>
      </c>
    </row>
    <row r="190" spans="1:34" x14ac:dyDescent="0.3">
      <c r="A190">
        <v>34</v>
      </c>
      <c r="B190" t="str" cm="1">
        <f t="array" ref="B190">_xlfn.IFS(A190&lt;=25,"18-25",A190&lt;=35,"26-35",A190&lt;=45,"36-45",A190&lt;=55,"46-55",A190&gt;55,"55+")</f>
        <v>26-35</v>
      </c>
      <c r="C190">
        <v>0</v>
      </c>
      <c r="D190" t="s">
        <v>47</v>
      </c>
      <c r="E190">
        <v>1069</v>
      </c>
      <c r="F190" t="s">
        <v>48</v>
      </c>
      <c r="G190">
        <v>2</v>
      </c>
      <c r="H190" t="s">
        <v>49</v>
      </c>
      <c r="I190" t="s">
        <v>35</v>
      </c>
      <c r="J190" t="s">
        <v>41</v>
      </c>
      <c r="K190" t="s">
        <v>50</v>
      </c>
      <c r="L190">
        <v>45</v>
      </c>
      <c r="M190" t="s">
        <v>36</v>
      </c>
      <c r="N190" t="s">
        <v>39</v>
      </c>
      <c r="O190" t="s">
        <v>64</v>
      </c>
      <c r="P190" t="s">
        <v>38</v>
      </c>
      <c r="Q190" t="s">
        <v>52</v>
      </c>
      <c r="R190">
        <v>9547</v>
      </c>
      <c r="S190">
        <v>14074</v>
      </c>
      <c r="T190">
        <v>1</v>
      </c>
      <c r="U190" t="s">
        <v>46</v>
      </c>
      <c r="V190">
        <v>17</v>
      </c>
      <c r="W190" t="s">
        <v>43</v>
      </c>
      <c r="X190" t="s">
        <v>38</v>
      </c>
      <c r="Y190">
        <v>0</v>
      </c>
      <c r="Z190">
        <v>10</v>
      </c>
      <c r="AA190">
        <v>2</v>
      </c>
      <c r="AB190" t="s">
        <v>60</v>
      </c>
      <c r="AC190">
        <v>10</v>
      </c>
      <c r="AD190" t="str" cm="1">
        <f t="array" ref="AD190">_xlfn.IFS(AC190&lt;=5,"0-5",AC190&lt;=10,"5-10",AC190&lt;=40,"10-40")</f>
        <v>5-10</v>
      </c>
      <c r="AE190">
        <v>9</v>
      </c>
      <c r="AF190">
        <v>1</v>
      </c>
      <c r="AG190">
        <v>9</v>
      </c>
      <c r="AH190">
        <v>189</v>
      </c>
    </row>
    <row r="191" spans="1:34" x14ac:dyDescent="0.3">
      <c r="A191">
        <v>51</v>
      </c>
      <c r="B191" t="str" cm="1">
        <f t="array" ref="B191">_xlfn.IFS(A191&lt;=25,"18-25",A191&lt;=35,"26-35",A191&lt;=45,"36-45",A191&lt;=55,"46-55",A191&gt;55,"55+")</f>
        <v>46-55</v>
      </c>
      <c r="C191">
        <v>0</v>
      </c>
      <c r="D191" t="s">
        <v>32</v>
      </c>
      <c r="E191">
        <v>313</v>
      </c>
      <c r="F191" t="s">
        <v>48</v>
      </c>
      <c r="G191">
        <v>3</v>
      </c>
      <c r="H191" t="s">
        <v>61</v>
      </c>
      <c r="I191" t="s">
        <v>59</v>
      </c>
      <c r="J191" t="s">
        <v>41</v>
      </c>
      <c r="K191" t="s">
        <v>37</v>
      </c>
      <c r="L191">
        <v>98</v>
      </c>
      <c r="M191" t="s">
        <v>38</v>
      </c>
      <c r="N191" t="s">
        <v>67</v>
      </c>
      <c r="O191" t="s">
        <v>65</v>
      </c>
      <c r="P191" t="s">
        <v>36</v>
      </c>
      <c r="Q191" t="s">
        <v>42</v>
      </c>
      <c r="R191">
        <v>13734</v>
      </c>
      <c r="S191">
        <v>7192</v>
      </c>
      <c r="T191">
        <v>3</v>
      </c>
      <c r="U191" t="s">
        <v>46</v>
      </c>
      <c r="V191">
        <v>18</v>
      </c>
      <c r="W191" t="s">
        <v>43</v>
      </c>
      <c r="X191" t="s">
        <v>38</v>
      </c>
      <c r="Y191">
        <v>0</v>
      </c>
      <c r="Z191">
        <v>21</v>
      </c>
      <c r="AA191">
        <v>6</v>
      </c>
      <c r="AB191" t="s">
        <v>54</v>
      </c>
      <c r="AC191">
        <v>7</v>
      </c>
      <c r="AD191" t="str" cm="1">
        <f t="array" ref="AD191">_xlfn.IFS(AC191&lt;=5,"0-5",AC191&lt;=10,"5-10",AC191&lt;=40,"10-40")</f>
        <v>5-10</v>
      </c>
      <c r="AE191">
        <v>7</v>
      </c>
      <c r="AF191">
        <v>1</v>
      </c>
      <c r="AG191">
        <v>0</v>
      </c>
      <c r="AH191">
        <v>190</v>
      </c>
    </row>
    <row r="192" spans="1:34" x14ac:dyDescent="0.3">
      <c r="A192">
        <v>52</v>
      </c>
      <c r="B192" t="str" cm="1">
        <f t="array" ref="B192">_xlfn.IFS(A192&lt;=25,"18-25",A192&lt;=35,"26-35",A192&lt;=45,"36-45",A192&lt;=55,"46-55",A192&gt;55,"55+")</f>
        <v>46-55</v>
      </c>
      <c r="C192">
        <v>0</v>
      </c>
      <c r="D192" t="s">
        <v>32</v>
      </c>
      <c r="E192">
        <v>699</v>
      </c>
      <c r="F192" t="s">
        <v>48</v>
      </c>
      <c r="G192">
        <v>1</v>
      </c>
      <c r="H192" t="s">
        <v>58</v>
      </c>
      <c r="I192" t="s">
        <v>35</v>
      </c>
      <c r="J192" t="s">
        <v>38</v>
      </c>
      <c r="K192" t="s">
        <v>50</v>
      </c>
      <c r="L192">
        <v>65</v>
      </c>
      <c r="M192" t="s">
        <v>36</v>
      </c>
      <c r="N192" t="s">
        <v>71</v>
      </c>
      <c r="O192" t="s">
        <v>68</v>
      </c>
      <c r="P192" t="s">
        <v>38</v>
      </c>
      <c r="Q192" t="s">
        <v>52</v>
      </c>
      <c r="R192">
        <v>19999</v>
      </c>
      <c r="S192">
        <v>5678</v>
      </c>
      <c r="T192">
        <v>0</v>
      </c>
      <c r="U192" t="s">
        <v>46</v>
      </c>
      <c r="V192">
        <v>14</v>
      </c>
      <c r="W192" t="s">
        <v>43</v>
      </c>
      <c r="X192" t="s">
        <v>44</v>
      </c>
      <c r="Y192">
        <v>1</v>
      </c>
      <c r="Z192">
        <v>34</v>
      </c>
      <c r="AA192">
        <v>5</v>
      </c>
      <c r="AB192" t="s">
        <v>54</v>
      </c>
      <c r="AC192">
        <v>33</v>
      </c>
      <c r="AD192" t="str" cm="1">
        <f t="array" ref="AD192">_xlfn.IFS(AC192&lt;=5,"0-5",AC192&lt;=10,"5-10",AC192&lt;=40,"10-40")</f>
        <v>10-40</v>
      </c>
      <c r="AE192">
        <v>18</v>
      </c>
      <c r="AF192">
        <v>11</v>
      </c>
      <c r="AG192">
        <v>9</v>
      </c>
      <c r="AH192">
        <v>191</v>
      </c>
    </row>
    <row r="193" spans="1:34" x14ac:dyDescent="0.3">
      <c r="A193">
        <v>27</v>
      </c>
      <c r="B193" t="str" cm="1">
        <f t="array" ref="B193">_xlfn.IFS(A193&lt;=25,"18-25",A193&lt;=35,"26-35",A193&lt;=45,"36-45",A193&lt;=55,"46-55",A193&gt;55,"55+")</f>
        <v>26-35</v>
      </c>
      <c r="C193">
        <v>0</v>
      </c>
      <c r="D193" t="s">
        <v>32</v>
      </c>
      <c r="E193">
        <v>894</v>
      </c>
      <c r="F193" t="s">
        <v>48</v>
      </c>
      <c r="G193">
        <v>9</v>
      </c>
      <c r="H193" t="s">
        <v>61</v>
      </c>
      <c r="I193" t="s">
        <v>59</v>
      </c>
      <c r="J193" t="s">
        <v>41</v>
      </c>
      <c r="K193" t="s">
        <v>37</v>
      </c>
      <c r="L193">
        <v>99</v>
      </c>
      <c r="M193" t="s">
        <v>38</v>
      </c>
      <c r="N193" t="s">
        <v>56</v>
      </c>
      <c r="O193" t="s">
        <v>51</v>
      </c>
      <c r="P193" t="s">
        <v>36</v>
      </c>
      <c r="Q193" t="s">
        <v>42</v>
      </c>
      <c r="R193">
        <v>2279</v>
      </c>
      <c r="S193">
        <v>11781</v>
      </c>
      <c r="T193">
        <v>1</v>
      </c>
      <c r="U193" t="s">
        <v>46</v>
      </c>
      <c r="V193">
        <v>16</v>
      </c>
      <c r="W193" t="s">
        <v>43</v>
      </c>
      <c r="X193" t="s">
        <v>41</v>
      </c>
      <c r="Y193">
        <v>0</v>
      </c>
      <c r="Z193">
        <v>7</v>
      </c>
      <c r="AA193">
        <v>2</v>
      </c>
      <c r="AB193" t="s">
        <v>60</v>
      </c>
      <c r="AC193">
        <v>7</v>
      </c>
      <c r="AD193" t="str" cm="1">
        <f t="array" ref="AD193">_xlfn.IFS(AC193&lt;=5,"0-5",AC193&lt;=10,"5-10",AC193&lt;=40,"10-40")</f>
        <v>5-10</v>
      </c>
      <c r="AE193">
        <v>7</v>
      </c>
      <c r="AF193">
        <v>0</v>
      </c>
      <c r="AG193">
        <v>3</v>
      </c>
      <c r="AH193">
        <v>192</v>
      </c>
    </row>
    <row r="194" spans="1:34" x14ac:dyDescent="0.3">
      <c r="A194">
        <v>35</v>
      </c>
      <c r="B194" t="str" cm="1">
        <f t="array" ref="B194">_xlfn.IFS(A194&lt;=25,"18-25",A194&lt;=35,"26-35",A194&lt;=45,"36-45",A194&lt;=55,"46-55",A194&gt;55,"55+")</f>
        <v>26-35</v>
      </c>
      <c r="C194">
        <v>1</v>
      </c>
      <c r="D194" t="s">
        <v>32</v>
      </c>
      <c r="E194">
        <v>556</v>
      </c>
      <c r="F194" t="s">
        <v>48</v>
      </c>
      <c r="G194">
        <v>23</v>
      </c>
      <c r="H194" t="s">
        <v>34</v>
      </c>
      <c r="I194" t="s">
        <v>35</v>
      </c>
      <c r="J194" t="s">
        <v>36</v>
      </c>
      <c r="K194" t="s">
        <v>50</v>
      </c>
      <c r="L194">
        <v>50</v>
      </c>
      <c r="M194" t="s">
        <v>36</v>
      </c>
      <c r="N194" t="s">
        <v>39</v>
      </c>
      <c r="O194" t="s">
        <v>64</v>
      </c>
      <c r="P194" t="s">
        <v>38</v>
      </c>
      <c r="Q194" t="s">
        <v>52</v>
      </c>
      <c r="R194">
        <v>5916</v>
      </c>
      <c r="S194">
        <v>15497</v>
      </c>
      <c r="T194">
        <v>3</v>
      </c>
      <c r="U194" t="s">
        <v>31</v>
      </c>
      <c r="V194">
        <v>13</v>
      </c>
      <c r="W194" t="s">
        <v>43</v>
      </c>
      <c r="X194" t="s">
        <v>44</v>
      </c>
      <c r="Y194">
        <v>0</v>
      </c>
      <c r="Z194">
        <v>8</v>
      </c>
      <c r="AA194">
        <v>1</v>
      </c>
      <c r="AB194" t="s">
        <v>54</v>
      </c>
      <c r="AC194">
        <v>1</v>
      </c>
      <c r="AD194" t="str" cm="1">
        <f t="array" ref="AD194">_xlfn.IFS(AC194&lt;=5,"0-5",AC194&lt;=10,"5-10",AC194&lt;=40,"10-40")</f>
        <v>0-5</v>
      </c>
      <c r="AE194">
        <v>0</v>
      </c>
      <c r="AF194">
        <v>0</v>
      </c>
      <c r="AG194">
        <v>1</v>
      </c>
      <c r="AH194">
        <v>193</v>
      </c>
    </row>
    <row r="195" spans="1:34" x14ac:dyDescent="0.3">
      <c r="A195">
        <v>43</v>
      </c>
      <c r="B195" t="str" cm="1">
        <f t="array" ref="B195">_xlfn.IFS(A195&lt;=25,"18-25",A195&lt;=35,"26-35",A195&lt;=45,"36-45",A195&lt;=55,"46-55",A195&gt;55,"55+")</f>
        <v>36-45</v>
      </c>
      <c r="C195">
        <v>0</v>
      </c>
      <c r="D195" t="s">
        <v>66</v>
      </c>
      <c r="E195">
        <v>1344</v>
      </c>
      <c r="F195" t="s">
        <v>48</v>
      </c>
      <c r="G195">
        <v>7</v>
      </c>
      <c r="H195" t="s">
        <v>61</v>
      </c>
      <c r="I195" t="s">
        <v>59</v>
      </c>
      <c r="J195" t="s">
        <v>41</v>
      </c>
      <c r="K195" t="s">
        <v>50</v>
      </c>
      <c r="L195">
        <v>37</v>
      </c>
      <c r="M195" t="s">
        <v>41</v>
      </c>
      <c r="N195" t="s">
        <v>56</v>
      </c>
      <c r="O195" t="s">
        <v>51</v>
      </c>
      <c r="P195" t="s">
        <v>41</v>
      </c>
      <c r="Q195" t="s">
        <v>62</v>
      </c>
      <c r="R195">
        <v>2089</v>
      </c>
      <c r="S195">
        <v>5228</v>
      </c>
      <c r="T195">
        <v>4</v>
      </c>
      <c r="U195" t="s">
        <v>46</v>
      </c>
      <c r="V195">
        <v>14</v>
      </c>
      <c r="W195" t="s">
        <v>43</v>
      </c>
      <c r="X195" t="s">
        <v>41</v>
      </c>
      <c r="Y195">
        <v>3</v>
      </c>
      <c r="Z195">
        <v>7</v>
      </c>
      <c r="AA195">
        <v>3</v>
      </c>
      <c r="AB195" t="s">
        <v>73</v>
      </c>
      <c r="AC195">
        <v>5</v>
      </c>
      <c r="AD195" t="str" cm="1">
        <f t="array" ref="AD195">_xlfn.IFS(AC195&lt;=5,"0-5",AC195&lt;=10,"5-10",AC195&lt;=40,"10-40")</f>
        <v>0-5</v>
      </c>
      <c r="AE195">
        <v>4</v>
      </c>
      <c r="AF195">
        <v>2</v>
      </c>
      <c r="AG195">
        <v>2</v>
      </c>
      <c r="AH195">
        <v>194</v>
      </c>
    </row>
    <row r="196" spans="1:34" x14ac:dyDescent="0.3">
      <c r="A196">
        <v>45</v>
      </c>
      <c r="B196" t="str" cm="1">
        <f t="array" ref="B196">_xlfn.IFS(A196&lt;=25,"18-25",A196&lt;=35,"26-35",A196&lt;=45,"36-45",A196&lt;=55,"46-55",A196&gt;55,"55+")</f>
        <v>36-45</v>
      </c>
      <c r="C196">
        <v>0</v>
      </c>
      <c r="D196" t="s">
        <v>66</v>
      </c>
      <c r="E196">
        <v>1195</v>
      </c>
      <c r="F196" t="s">
        <v>48</v>
      </c>
      <c r="G196">
        <v>2</v>
      </c>
      <c r="H196" t="s">
        <v>34</v>
      </c>
      <c r="I196" t="s">
        <v>59</v>
      </c>
      <c r="J196" t="s">
        <v>44</v>
      </c>
      <c r="K196" t="s">
        <v>50</v>
      </c>
      <c r="L196">
        <v>65</v>
      </c>
      <c r="M196" t="s">
        <v>36</v>
      </c>
      <c r="N196" t="s">
        <v>67</v>
      </c>
      <c r="O196" t="s">
        <v>68</v>
      </c>
      <c r="P196" t="s">
        <v>41</v>
      </c>
      <c r="Q196" t="s">
        <v>52</v>
      </c>
      <c r="R196">
        <v>16792</v>
      </c>
      <c r="S196">
        <v>20462</v>
      </c>
      <c r="T196">
        <v>9</v>
      </c>
      <c r="U196" t="s">
        <v>46</v>
      </c>
      <c r="V196">
        <v>23</v>
      </c>
      <c r="W196" t="s">
        <v>53</v>
      </c>
      <c r="X196" t="s">
        <v>41</v>
      </c>
      <c r="Y196">
        <v>1</v>
      </c>
      <c r="Z196">
        <v>22</v>
      </c>
      <c r="AA196">
        <v>1</v>
      </c>
      <c r="AB196" t="s">
        <v>54</v>
      </c>
      <c r="AC196">
        <v>20</v>
      </c>
      <c r="AD196" t="str" cm="1">
        <f t="array" ref="AD196">_xlfn.IFS(AC196&lt;=5,"0-5",AC196&lt;=10,"5-10",AC196&lt;=40,"10-40")</f>
        <v>10-40</v>
      </c>
      <c r="AE196">
        <v>8</v>
      </c>
      <c r="AF196">
        <v>11</v>
      </c>
      <c r="AG196">
        <v>8</v>
      </c>
      <c r="AH196">
        <v>195</v>
      </c>
    </row>
    <row r="197" spans="1:34" x14ac:dyDescent="0.3">
      <c r="A197">
        <v>37</v>
      </c>
      <c r="B197" t="str" cm="1">
        <f t="array" ref="B197">_xlfn.IFS(A197&lt;=25,"18-25",A197&lt;=35,"26-35",A197&lt;=45,"36-45",A197&lt;=55,"46-55",A197&gt;55,"55+")</f>
        <v>36-45</v>
      </c>
      <c r="C197">
        <v>0</v>
      </c>
      <c r="D197" t="s">
        <v>32</v>
      </c>
      <c r="E197">
        <v>290</v>
      </c>
      <c r="F197" t="s">
        <v>48</v>
      </c>
      <c r="G197">
        <v>21</v>
      </c>
      <c r="H197" t="s">
        <v>61</v>
      </c>
      <c r="I197" t="s">
        <v>35</v>
      </c>
      <c r="J197" t="s">
        <v>36</v>
      </c>
      <c r="K197" t="s">
        <v>50</v>
      </c>
      <c r="L197">
        <v>65</v>
      </c>
      <c r="M197" t="s">
        <v>41</v>
      </c>
      <c r="N197" t="s">
        <v>56</v>
      </c>
      <c r="O197" t="s">
        <v>51</v>
      </c>
      <c r="P197" t="s">
        <v>44</v>
      </c>
      <c r="Q197" t="s">
        <v>52</v>
      </c>
      <c r="R197">
        <v>3564</v>
      </c>
      <c r="S197">
        <v>22977</v>
      </c>
      <c r="T197">
        <v>1</v>
      </c>
      <c r="U197" t="s">
        <v>31</v>
      </c>
      <c r="V197">
        <v>12</v>
      </c>
      <c r="W197" t="s">
        <v>43</v>
      </c>
      <c r="X197" t="s">
        <v>44</v>
      </c>
      <c r="Y197">
        <v>1</v>
      </c>
      <c r="Z197">
        <v>8</v>
      </c>
      <c r="AA197">
        <v>3</v>
      </c>
      <c r="AB197" t="s">
        <v>60</v>
      </c>
      <c r="AC197">
        <v>8</v>
      </c>
      <c r="AD197" t="str" cm="1">
        <f t="array" ref="AD197">_xlfn.IFS(AC197&lt;=5,"0-5",AC197&lt;=10,"5-10",AC197&lt;=40,"10-40")</f>
        <v>5-10</v>
      </c>
      <c r="AE197">
        <v>7</v>
      </c>
      <c r="AF197">
        <v>1</v>
      </c>
      <c r="AG197">
        <v>7</v>
      </c>
      <c r="AH197">
        <v>196</v>
      </c>
    </row>
    <row r="198" spans="1:34" x14ac:dyDescent="0.3">
      <c r="A198">
        <v>35</v>
      </c>
      <c r="B198" t="str" cm="1">
        <f t="array" ref="B198">_xlfn.IFS(A198&lt;=25,"18-25",A198&lt;=35,"26-35",A198&lt;=45,"36-45",A198&lt;=55,"46-55",A198&gt;55,"55+")</f>
        <v>26-35</v>
      </c>
      <c r="C198">
        <v>0</v>
      </c>
      <c r="D198" t="s">
        <v>47</v>
      </c>
      <c r="E198">
        <v>138</v>
      </c>
      <c r="F198" t="s">
        <v>48</v>
      </c>
      <c r="G198">
        <v>2</v>
      </c>
      <c r="H198" t="s">
        <v>61</v>
      </c>
      <c r="I198" t="s">
        <v>59</v>
      </c>
      <c r="J198" t="s">
        <v>36</v>
      </c>
      <c r="K198" t="s">
        <v>37</v>
      </c>
      <c r="L198">
        <v>37</v>
      </c>
      <c r="M198" t="s">
        <v>38</v>
      </c>
      <c r="N198" t="s">
        <v>39</v>
      </c>
      <c r="O198" t="s">
        <v>57</v>
      </c>
      <c r="P198" t="s">
        <v>36</v>
      </c>
      <c r="Q198" t="s">
        <v>42</v>
      </c>
      <c r="R198">
        <v>4425</v>
      </c>
      <c r="S198">
        <v>15986</v>
      </c>
      <c r="T198">
        <v>5</v>
      </c>
      <c r="U198" t="s">
        <v>46</v>
      </c>
      <c r="V198">
        <v>11</v>
      </c>
      <c r="W198" t="s">
        <v>43</v>
      </c>
      <c r="X198" t="s">
        <v>41</v>
      </c>
      <c r="Y198">
        <v>0</v>
      </c>
      <c r="Z198">
        <v>10</v>
      </c>
      <c r="AA198">
        <v>5</v>
      </c>
      <c r="AB198" t="s">
        <v>54</v>
      </c>
      <c r="AC198">
        <v>6</v>
      </c>
      <c r="AD198" t="str" cm="1">
        <f t="array" ref="AD198">_xlfn.IFS(AC198&lt;=5,"0-5",AC198&lt;=10,"5-10",AC198&lt;=40,"10-40")</f>
        <v>5-10</v>
      </c>
      <c r="AE198">
        <v>2</v>
      </c>
      <c r="AF198">
        <v>1</v>
      </c>
      <c r="AG198">
        <v>2</v>
      </c>
      <c r="AH198">
        <v>197</v>
      </c>
    </row>
    <row r="199" spans="1:34" x14ac:dyDescent="0.3">
      <c r="A199">
        <v>42</v>
      </c>
      <c r="B199" t="str" cm="1">
        <f t="array" ref="B199">_xlfn.IFS(A199&lt;=25,"18-25",A199&lt;=35,"26-35",A199&lt;=45,"36-45",A199&lt;=55,"46-55",A199&gt;55,"55+")</f>
        <v>36-45</v>
      </c>
      <c r="C199">
        <v>0</v>
      </c>
      <c r="D199" t="s">
        <v>66</v>
      </c>
      <c r="E199">
        <v>926</v>
      </c>
      <c r="F199" t="s">
        <v>48</v>
      </c>
      <c r="G199">
        <v>21</v>
      </c>
      <c r="H199" t="s">
        <v>34</v>
      </c>
      <c r="I199" t="s">
        <v>59</v>
      </c>
      <c r="J199" t="s">
        <v>38</v>
      </c>
      <c r="K199" t="s">
        <v>37</v>
      </c>
      <c r="L199">
        <v>36</v>
      </c>
      <c r="M199" t="s">
        <v>38</v>
      </c>
      <c r="N199" t="s">
        <v>39</v>
      </c>
      <c r="O199" t="s">
        <v>64</v>
      </c>
      <c r="P199" t="s">
        <v>38</v>
      </c>
      <c r="Q199" t="s">
        <v>62</v>
      </c>
      <c r="R199">
        <v>5265</v>
      </c>
      <c r="S199">
        <v>16439</v>
      </c>
      <c r="T199">
        <v>2</v>
      </c>
      <c r="U199" t="s">
        <v>46</v>
      </c>
      <c r="V199">
        <v>16</v>
      </c>
      <c r="W199" t="s">
        <v>43</v>
      </c>
      <c r="X199" t="s">
        <v>36</v>
      </c>
      <c r="Y199">
        <v>1</v>
      </c>
      <c r="Z199">
        <v>11</v>
      </c>
      <c r="AA199">
        <v>5</v>
      </c>
      <c r="AB199" t="s">
        <v>54</v>
      </c>
      <c r="AC199">
        <v>5</v>
      </c>
      <c r="AD199" t="str" cm="1">
        <f t="array" ref="AD199">_xlfn.IFS(AC199&lt;=5,"0-5",AC199&lt;=10,"5-10",AC199&lt;=40,"10-40")</f>
        <v>0-5</v>
      </c>
      <c r="AE199">
        <v>3</v>
      </c>
      <c r="AF199">
        <v>0</v>
      </c>
      <c r="AG199">
        <v>2</v>
      </c>
      <c r="AH199">
        <v>198</v>
      </c>
    </row>
    <row r="200" spans="1:34" x14ac:dyDescent="0.3">
      <c r="A200">
        <v>38</v>
      </c>
      <c r="B200" t="str" cm="1">
        <f t="array" ref="B200">_xlfn.IFS(A200&lt;=25,"18-25",A200&lt;=35,"26-35",A200&lt;=45,"36-45",A200&lt;=55,"46-55",A200&gt;55,"55+")</f>
        <v>36-45</v>
      </c>
      <c r="C200">
        <v>0</v>
      </c>
      <c r="D200" t="s">
        <v>32</v>
      </c>
      <c r="E200">
        <v>1261</v>
      </c>
      <c r="F200" t="s">
        <v>48</v>
      </c>
      <c r="G200">
        <v>2</v>
      </c>
      <c r="H200" t="s">
        <v>58</v>
      </c>
      <c r="I200" t="s">
        <v>35</v>
      </c>
      <c r="J200" t="s">
        <v>41</v>
      </c>
      <c r="K200" t="s">
        <v>50</v>
      </c>
      <c r="L200">
        <v>88</v>
      </c>
      <c r="M200" t="s">
        <v>38</v>
      </c>
      <c r="N200" t="s">
        <v>39</v>
      </c>
      <c r="O200" t="s">
        <v>64</v>
      </c>
      <c r="P200" t="s">
        <v>38</v>
      </c>
      <c r="Q200" t="s">
        <v>52</v>
      </c>
      <c r="R200">
        <v>6553</v>
      </c>
      <c r="S200">
        <v>7259</v>
      </c>
      <c r="T200">
        <v>9</v>
      </c>
      <c r="U200" t="s">
        <v>46</v>
      </c>
      <c r="V200">
        <v>14</v>
      </c>
      <c r="W200" t="s">
        <v>43</v>
      </c>
      <c r="X200" t="s">
        <v>36</v>
      </c>
      <c r="Y200">
        <v>0</v>
      </c>
      <c r="Z200">
        <v>14</v>
      </c>
      <c r="AA200">
        <v>3</v>
      </c>
      <c r="AB200" t="s">
        <v>54</v>
      </c>
      <c r="AC200">
        <v>1</v>
      </c>
      <c r="AD200" t="str" cm="1">
        <f t="array" ref="AD200">_xlfn.IFS(AC200&lt;=5,"0-5",AC200&lt;=10,"5-10",AC200&lt;=40,"10-40")</f>
        <v>0-5</v>
      </c>
      <c r="AE200">
        <v>0</v>
      </c>
      <c r="AF200">
        <v>0</v>
      </c>
      <c r="AG200">
        <v>0</v>
      </c>
      <c r="AH200">
        <v>199</v>
      </c>
    </row>
    <row r="201" spans="1:34" x14ac:dyDescent="0.3">
      <c r="A201">
        <v>38</v>
      </c>
      <c r="B201" t="str" cm="1">
        <f t="array" ref="B201">_xlfn.IFS(A201&lt;=25,"18-25",A201&lt;=35,"26-35",A201&lt;=45,"36-45",A201&lt;=55,"46-55",A201&gt;55,"55+")</f>
        <v>36-45</v>
      </c>
      <c r="C201">
        <v>0</v>
      </c>
      <c r="D201" t="s">
        <v>32</v>
      </c>
      <c r="E201">
        <v>1084</v>
      </c>
      <c r="F201" t="s">
        <v>48</v>
      </c>
      <c r="G201">
        <v>29</v>
      </c>
      <c r="H201" t="s">
        <v>61</v>
      </c>
      <c r="I201" t="s">
        <v>74</v>
      </c>
      <c r="J201" t="s">
        <v>41</v>
      </c>
      <c r="K201" t="s">
        <v>50</v>
      </c>
      <c r="L201">
        <v>54</v>
      </c>
      <c r="M201" t="s">
        <v>38</v>
      </c>
      <c r="N201" t="s">
        <v>39</v>
      </c>
      <c r="O201" t="s">
        <v>64</v>
      </c>
      <c r="P201" t="s">
        <v>41</v>
      </c>
      <c r="Q201" t="s">
        <v>52</v>
      </c>
      <c r="R201">
        <v>6261</v>
      </c>
      <c r="S201">
        <v>4185</v>
      </c>
      <c r="T201">
        <v>3</v>
      </c>
      <c r="U201" t="s">
        <v>46</v>
      </c>
      <c r="V201">
        <v>18</v>
      </c>
      <c r="W201" t="s">
        <v>43</v>
      </c>
      <c r="X201" t="s">
        <v>44</v>
      </c>
      <c r="Y201">
        <v>1</v>
      </c>
      <c r="Z201">
        <v>9</v>
      </c>
      <c r="AA201">
        <v>3</v>
      </c>
      <c r="AB201" t="s">
        <v>45</v>
      </c>
      <c r="AC201">
        <v>7</v>
      </c>
      <c r="AD201" t="str" cm="1">
        <f t="array" ref="AD201">_xlfn.IFS(AC201&lt;=5,"0-5",AC201&lt;=10,"5-10",AC201&lt;=40,"10-40")</f>
        <v>5-10</v>
      </c>
      <c r="AE201">
        <v>7</v>
      </c>
      <c r="AF201">
        <v>1</v>
      </c>
      <c r="AG201">
        <v>7</v>
      </c>
      <c r="AH201">
        <v>200</v>
      </c>
    </row>
    <row r="202" spans="1:34" x14ac:dyDescent="0.3">
      <c r="A202">
        <v>27</v>
      </c>
      <c r="B202" t="str" cm="1">
        <f t="array" ref="B202">_xlfn.IFS(A202&lt;=25,"18-25",A202&lt;=35,"26-35",A202&lt;=45,"36-45",A202&lt;=55,"46-55",A202&gt;55,"55+")</f>
        <v>26-35</v>
      </c>
      <c r="C202">
        <v>0</v>
      </c>
      <c r="D202" t="s">
        <v>47</v>
      </c>
      <c r="E202">
        <v>472</v>
      </c>
      <c r="F202" t="s">
        <v>48</v>
      </c>
      <c r="G202">
        <v>1</v>
      </c>
      <c r="H202" t="s">
        <v>49</v>
      </c>
      <c r="I202" t="s">
        <v>74</v>
      </c>
      <c r="J202" t="s">
        <v>38</v>
      </c>
      <c r="K202" t="s">
        <v>50</v>
      </c>
      <c r="L202">
        <v>60</v>
      </c>
      <c r="M202" t="s">
        <v>36</v>
      </c>
      <c r="N202" t="s">
        <v>39</v>
      </c>
      <c r="O202" t="s">
        <v>64</v>
      </c>
      <c r="P202" t="s">
        <v>44</v>
      </c>
      <c r="Q202" t="s">
        <v>52</v>
      </c>
      <c r="R202">
        <v>4298</v>
      </c>
      <c r="S202">
        <v>9679</v>
      </c>
      <c r="T202">
        <v>5</v>
      </c>
      <c r="U202" t="s">
        <v>46</v>
      </c>
      <c r="V202">
        <v>19</v>
      </c>
      <c r="W202" t="s">
        <v>43</v>
      </c>
      <c r="X202" t="s">
        <v>38</v>
      </c>
      <c r="Y202">
        <v>1</v>
      </c>
      <c r="Z202">
        <v>6</v>
      </c>
      <c r="AA202">
        <v>1</v>
      </c>
      <c r="AB202" t="s">
        <v>54</v>
      </c>
      <c r="AC202">
        <v>2</v>
      </c>
      <c r="AD202" t="str" cm="1">
        <f t="array" ref="AD202">_xlfn.IFS(AC202&lt;=5,"0-5",AC202&lt;=10,"5-10",AC202&lt;=40,"10-40")</f>
        <v>0-5</v>
      </c>
      <c r="AE202">
        <v>2</v>
      </c>
      <c r="AF202">
        <v>2</v>
      </c>
      <c r="AG202">
        <v>0</v>
      </c>
      <c r="AH202">
        <v>201</v>
      </c>
    </row>
    <row r="203" spans="1:34" x14ac:dyDescent="0.3">
      <c r="A203">
        <v>49</v>
      </c>
      <c r="B203" t="str" cm="1">
        <f t="array" ref="B203">_xlfn.IFS(A203&lt;=25,"18-25",A203&lt;=35,"26-35",A203&lt;=45,"36-45",A203&lt;=55,"46-55",A203&gt;55,"55+")</f>
        <v>46-55</v>
      </c>
      <c r="C203">
        <v>0</v>
      </c>
      <c r="D203" t="s">
        <v>66</v>
      </c>
      <c r="E203">
        <v>1002</v>
      </c>
      <c r="F203" t="s">
        <v>48</v>
      </c>
      <c r="G203">
        <v>18</v>
      </c>
      <c r="H203" t="s">
        <v>58</v>
      </c>
      <c r="I203" t="s">
        <v>35</v>
      </c>
      <c r="J203" t="s">
        <v>41</v>
      </c>
      <c r="K203" t="s">
        <v>50</v>
      </c>
      <c r="L203">
        <v>92</v>
      </c>
      <c r="M203" t="s">
        <v>38</v>
      </c>
      <c r="N203" t="s">
        <v>39</v>
      </c>
      <c r="O203" t="s">
        <v>64</v>
      </c>
      <c r="P203" t="s">
        <v>41</v>
      </c>
      <c r="Q203" t="s">
        <v>62</v>
      </c>
      <c r="R203">
        <v>6804</v>
      </c>
      <c r="S203">
        <v>23793</v>
      </c>
      <c r="T203">
        <v>1</v>
      </c>
      <c r="U203" t="s">
        <v>31</v>
      </c>
      <c r="V203">
        <v>15</v>
      </c>
      <c r="W203" t="s">
        <v>43</v>
      </c>
      <c r="X203" t="s">
        <v>44</v>
      </c>
      <c r="Y203">
        <v>2</v>
      </c>
      <c r="Z203">
        <v>7</v>
      </c>
      <c r="AA203">
        <v>0</v>
      </c>
      <c r="AB203" t="s">
        <v>54</v>
      </c>
      <c r="AC203">
        <v>7</v>
      </c>
      <c r="AD203" t="str" cm="1">
        <f t="array" ref="AD203">_xlfn.IFS(AC203&lt;=5,"0-5",AC203&lt;=10,"5-10",AC203&lt;=40,"10-40")</f>
        <v>5-10</v>
      </c>
      <c r="AE203">
        <v>7</v>
      </c>
      <c r="AF203">
        <v>1</v>
      </c>
      <c r="AG203">
        <v>7</v>
      </c>
      <c r="AH203">
        <v>202</v>
      </c>
    </row>
    <row r="204" spans="1:34" x14ac:dyDescent="0.3">
      <c r="A204">
        <v>34</v>
      </c>
      <c r="B204" t="str" cm="1">
        <f t="array" ref="B204">_xlfn.IFS(A204&lt;=25,"18-25",A204&lt;=35,"26-35",A204&lt;=45,"36-45",A204&lt;=55,"46-55",A204&gt;55,"55+")</f>
        <v>26-35</v>
      </c>
      <c r="C204">
        <v>0</v>
      </c>
      <c r="D204" t="s">
        <v>47</v>
      </c>
      <c r="E204">
        <v>878</v>
      </c>
      <c r="F204" t="s">
        <v>48</v>
      </c>
      <c r="G204">
        <v>10</v>
      </c>
      <c r="H204" t="s">
        <v>58</v>
      </c>
      <c r="I204" t="s">
        <v>59</v>
      </c>
      <c r="J204" t="s">
        <v>41</v>
      </c>
      <c r="K204" t="s">
        <v>50</v>
      </c>
      <c r="L204">
        <v>43</v>
      </c>
      <c r="M204" t="s">
        <v>38</v>
      </c>
      <c r="N204" t="s">
        <v>56</v>
      </c>
      <c r="O204" t="s">
        <v>51</v>
      </c>
      <c r="P204" t="s">
        <v>38</v>
      </c>
      <c r="Q204" t="s">
        <v>62</v>
      </c>
      <c r="R204">
        <v>3815</v>
      </c>
      <c r="S204">
        <v>5972</v>
      </c>
      <c r="T204">
        <v>1</v>
      </c>
      <c r="U204" t="s">
        <v>31</v>
      </c>
      <c r="V204">
        <v>17</v>
      </c>
      <c r="W204" t="s">
        <v>43</v>
      </c>
      <c r="X204" t="s">
        <v>41</v>
      </c>
      <c r="Y204">
        <v>1</v>
      </c>
      <c r="Z204">
        <v>5</v>
      </c>
      <c r="AA204">
        <v>4</v>
      </c>
      <c r="AB204" t="s">
        <v>73</v>
      </c>
      <c r="AC204">
        <v>5</v>
      </c>
      <c r="AD204" t="str" cm="1">
        <f t="array" ref="AD204">_xlfn.IFS(AC204&lt;=5,"0-5",AC204&lt;=10,"5-10",AC204&lt;=40,"10-40")</f>
        <v>0-5</v>
      </c>
      <c r="AE204">
        <v>3</v>
      </c>
      <c r="AF204">
        <v>2</v>
      </c>
      <c r="AG204">
        <v>0</v>
      </c>
      <c r="AH204">
        <v>203</v>
      </c>
    </row>
    <row r="205" spans="1:34" x14ac:dyDescent="0.3">
      <c r="A205">
        <v>40</v>
      </c>
      <c r="B205" t="str" cm="1">
        <f t="array" ref="B205">_xlfn.IFS(A205&lt;=25,"18-25",A205&lt;=35,"26-35",A205&lt;=45,"36-45",A205&lt;=55,"46-55",A205&gt;55,"55+")</f>
        <v>36-45</v>
      </c>
      <c r="C205">
        <v>0</v>
      </c>
      <c r="D205" t="s">
        <v>32</v>
      </c>
      <c r="E205">
        <v>905</v>
      </c>
      <c r="F205" t="s">
        <v>48</v>
      </c>
      <c r="G205">
        <v>19</v>
      </c>
      <c r="H205" t="s">
        <v>34</v>
      </c>
      <c r="I205" t="s">
        <v>59</v>
      </c>
      <c r="J205" t="s">
        <v>38</v>
      </c>
      <c r="K205" t="s">
        <v>50</v>
      </c>
      <c r="L205">
        <v>99</v>
      </c>
      <c r="M205" t="s">
        <v>38</v>
      </c>
      <c r="N205" t="s">
        <v>39</v>
      </c>
      <c r="O205" t="s">
        <v>57</v>
      </c>
      <c r="P205" t="s">
        <v>41</v>
      </c>
      <c r="Q205" t="s">
        <v>52</v>
      </c>
      <c r="R205">
        <v>2741</v>
      </c>
      <c r="S205">
        <v>16523</v>
      </c>
      <c r="T205">
        <v>8</v>
      </c>
      <c r="U205" t="s">
        <v>31</v>
      </c>
      <c r="V205">
        <v>15</v>
      </c>
      <c r="W205" t="s">
        <v>43</v>
      </c>
      <c r="X205" t="s">
        <v>38</v>
      </c>
      <c r="Y205">
        <v>1</v>
      </c>
      <c r="Z205">
        <v>15</v>
      </c>
      <c r="AA205">
        <v>2</v>
      </c>
      <c r="AB205" t="s">
        <v>73</v>
      </c>
      <c r="AC205">
        <v>7</v>
      </c>
      <c r="AD205" t="str" cm="1">
        <f t="array" ref="AD205">_xlfn.IFS(AC205&lt;=5,"0-5",AC205&lt;=10,"5-10",AC205&lt;=40,"10-40")</f>
        <v>5-10</v>
      </c>
      <c r="AE205">
        <v>2</v>
      </c>
      <c r="AF205">
        <v>3</v>
      </c>
      <c r="AG205">
        <v>7</v>
      </c>
      <c r="AH205">
        <v>204</v>
      </c>
    </row>
    <row r="206" spans="1:34" x14ac:dyDescent="0.3">
      <c r="A206">
        <v>38</v>
      </c>
      <c r="B206" t="str" cm="1">
        <f t="array" ref="B206">_xlfn.IFS(A206&lt;=25,"18-25",A206&lt;=35,"26-35",A206&lt;=45,"36-45",A206&lt;=55,"46-55",A206&gt;55,"55+")</f>
        <v>36-45</v>
      </c>
      <c r="C206">
        <v>1</v>
      </c>
      <c r="D206" t="s">
        <v>32</v>
      </c>
      <c r="E206">
        <v>1180</v>
      </c>
      <c r="F206" t="s">
        <v>48</v>
      </c>
      <c r="G206">
        <v>29</v>
      </c>
      <c r="H206" t="s">
        <v>49</v>
      </c>
      <c r="I206" t="s">
        <v>59</v>
      </c>
      <c r="J206" t="s">
        <v>36</v>
      </c>
      <c r="K206" t="s">
        <v>50</v>
      </c>
      <c r="L206">
        <v>70</v>
      </c>
      <c r="M206" t="s">
        <v>38</v>
      </c>
      <c r="N206" t="s">
        <v>39</v>
      </c>
      <c r="O206" t="s">
        <v>65</v>
      </c>
      <c r="P206" t="s">
        <v>44</v>
      </c>
      <c r="Q206" t="s">
        <v>52</v>
      </c>
      <c r="R206">
        <v>6673</v>
      </c>
      <c r="S206">
        <v>11354</v>
      </c>
      <c r="T206">
        <v>7</v>
      </c>
      <c r="U206" t="s">
        <v>31</v>
      </c>
      <c r="V206">
        <v>19</v>
      </c>
      <c r="W206" t="s">
        <v>43</v>
      </c>
      <c r="X206" t="s">
        <v>36</v>
      </c>
      <c r="Y206">
        <v>0</v>
      </c>
      <c r="Z206">
        <v>17</v>
      </c>
      <c r="AA206">
        <v>2</v>
      </c>
      <c r="AB206" t="s">
        <v>54</v>
      </c>
      <c r="AC206">
        <v>1</v>
      </c>
      <c r="AD206" t="str" cm="1">
        <f t="array" ref="AD206">_xlfn.IFS(AC206&lt;=5,"0-5",AC206&lt;=10,"5-10",AC206&lt;=40,"10-40")</f>
        <v>0-5</v>
      </c>
      <c r="AE206">
        <v>0</v>
      </c>
      <c r="AF206">
        <v>0</v>
      </c>
      <c r="AG206">
        <v>0</v>
      </c>
      <c r="AH206">
        <v>205</v>
      </c>
    </row>
    <row r="207" spans="1:34" x14ac:dyDescent="0.3">
      <c r="A207">
        <v>29</v>
      </c>
      <c r="B207" t="str" cm="1">
        <f t="array" ref="B207">_xlfn.IFS(A207&lt;=25,"18-25",A207&lt;=35,"26-35",A207&lt;=45,"36-45",A207&lt;=55,"46-55",A207&gt;55,"55+")</f>
        <v>26-35</v>
      </c>
      <c r="C207">
        <v>1</v>
      </c>
      <c r="D207" t="s">
        <v>32</v>
      </c>
      <c r="E207">
        <v>121</v>
      </c>
      <c r="F207" t="s">
        <v>33</v>
      </c>
      <c r="G207">
        <v>27</v>
      </c>
      <c r="H207" t="s">
        <v>61</v>
      </c>
      <c r="I207" t="s">
        <v>72</v>
      </c>
      <c r="J207" t="s">
        <v>36</v>
      </c>
      <c r="K207" t="s">
        <v>37</v>
      </c>
      <c r="L207">
        <v>35</v>
      </c>
      <c r="M207" t="s">
        <v>38</v>
      </c>
      <c r="N207" t="s">
        <v>63</v>
      </c>
      <c r="O207" t="s">
        <v>40</v>
      </c>
      <c r="P207" t="s">
        <v>41</v>
      </c>
      <c r="Q207" t="s">
        <v>52</v>
      </c>
      <c r="R207">
        <v>7639</v>
      </c>
      <c r="S207">
        <v>24525</v>
      </c>
      <c r="T207">
        <v>1</v>
      </c>
      <c r="U207" t="s">
        <v>46</v>
      </c>
      <c r="V207">
        <v>22</v>
      </c>
      <c r="W207" t="s">
        <v>53</v>
      </c>
      <c r="X207" t="s">
        <v>41</v>
      </c>
      <c r="Y207">
        <v>3</v>
      </c>
      <c r="Z207">
        <v>10</v>
      </c>
      <c r="AA207">
        <v>3</v>
      </c>
      <c r="AB207" t="s">
        <v>60</v>
      </c>
      <c r="AC207">
        <v>10</v>
      </c>
      <c r="AD207" t="str" cm="1">
        <f t="array" ref="AD207">_xlfn.IFS(AC207&lt;=5,"0-5",AC207&lt;=10,"5-10",AC207&lt;=40,"10-40")</f>
        <v>5-10</v>
      </c>
      <c r="AE207">
        <v>4</v>
      </c>
      <c r="AF207">
        <v>1</v>
      </c>
      <c r="AG207">
        <v>9</v>
      </c>
      <c r="AH207">
        <v>206</v>
      </c>
    </row>
    <row r="208" spans="1:34" x14ac:dyDescent="0.3">
      <c r="A208">
        <v>22</v>
      </c>
      <c r="B208" t="str" cm="1">
        <f t="array" ref="B208">_xlfn.IFS(A208&lt;=25,"18-25",A208&lt;=35,"26-35",A208&lt;=45,"36-45",A208&lt;=55,"46-55",A208&gt;55,"55+")</f>
        <v>18-25</v>
      </c>
      <c r="C208">
        <v>0</v>
      </c>
      <c r="D208" t="s">
        <v>32</v>
      </c>
      <c r="E208">
        <v>1136</v>
      </c>
      <c r="F208" t="s">
        <v>48</v>
      </c>
      <c r="G208">
        <v>5</v>
      </c>
      <c r="H208" t="s">
        <v>61</v>
      </c>
      <c r="I208" t="s">
        <v>35</v>
      </c>
      <c r="J208" t="s">
        <v>41</v>
      </c>
      <c r="K208" t="s">
        <v>50</v>
      </c>
      <c r="L208">
        <v>60</v>
      </c>
      <c r="M208" t="s">
        <v>41</v>
      </c>
      <c r="N208" t="s">
        <v>56</v>
      </c>
      <c r="O208" t="s">
        <v>51</v>
      </c>
      <c r="P208" t="s">
        <v>36</v>
      </c>
      <c r="Q208" t="s">
        <v>62</v>
      </c>
      <c r="R208">
        <v>2328</v>
      </c>
      <c r="S208">
        <v>12392</v>
      </c>
      <c r="T208">
        <v>1</v>
      </c>
      <c r="U208" t="s">
        <v>31</v>
      </c>
      <c r="V208">
        <v>16</v>
      </c>
      <c r="W208" t="s">
        <v>43</v>
      </c>
      <c r="X208" t="s">
        <v>44</v>
      </c>
      <c r="Y208">
        <v>1</v>
      </c>
      <c r="Z208">
        <v>4</v>
      </c>
      <c r="AA208">
        <v>2</v>
      </c>
      <c r="AB208" t="s">
        <v>60</v>
      </c>
      <c r="AC208">
        <v>4</v>
      </c>
      <c r="AD208" t="str" cm="1">
        <f t="array" ref="AD208">_xlfn.IFS(AC208&lt;=5,"0-5",AC208&lt;=10,"5-10",AC208&lt;=40,"10-40")</f>
        <v>0-5</v>
      </c>
      <c r="AE208">
        <v>2</v>
      </c>
      <c r="AF208">
        <v>2</v>
      </c>
      <c r="AG208">
        <v>2</v>
      </c>
      <c r="AH208">
        <v>207</v>
      </c>
    </row>
    <row r="209" spans="1:34" x14ac:dyDescent="0.3">
      <c r="A209">
        <v>36</v>
      </c>
      <c r="B209" t="str" cm="1">
        <f t="array" ref="B209">_xlfn.IFS(A209&lt;=25,"18-25",A209&lt;=35,"26-35",A209&lt;=45,"36-45",A209&lt;=55,"46-55",A209&gt;55,"55+")</f>
        <v>36-45</v>
      </c>
      <c r="C209">
        <v>0</v>
      </c>
      <c r="D209" t="s">
        <v>47</v>
      </c>
      <c r="E209">
        <v>635</v>
      </c>
      <c r="F209" t="s">
        <v>48</v>
      </c>
      <c r="G209">
        <v>18</v>
      </c>
      <c r="H209" t="s">
        <v>49</v>
      </c>
      <c r="I209" t="s">
        <v>59</v>
      </c>
      <c r="J209" t="s">
        <v>36</v>
      </c>
      <c r="K209" t="s">
        <v>37</v>
      </c>
      <c r="L209">
        <v>73</v>
      </c>
      <c r="M209" t="s">
        <v>38</v>
      </c>
      <c r="N209" t="s">
        <v>56</v>
      </c>
      <c r="O209" t="s">
        <v>57</v>
      </c>
      <c r="P209" t="s">
        <v>41</v>
      </c>
      <c r="Q209" t="s">
        <v>42</v>
      </c>
      <c r="R209">
        <v>2153</v>
      </c>
      <c r="S209">
        <v>7703</v>
      </c>
      <c r="T209">
        <v>1</v>
      </c>
      <c r="U209" t="s">
        <v>46</v>
      </c>
      <c r="V209">
        <v>13</v>
      </c>
      <c r="W209" t="s">
        <v>43</v>
      </c>
      <c r="X209" t="s">
        <v>44</v>
      </c>
      <c r="Y209">
        <v>0</v>
      </c>
      <c r="Z209">
        <v>8</v>
      </c>
      <c r="AA209">
        <v>2</v>
      </c>
      <c r="AB209" t="s">
        <v>54</v>
      </c>
      <c r="AC209">
        <v>8</v>
      </c>
      <c r="AD209" t="str" cm="1">
        <f t="array" ref="AD209">_xlfn.IFS(AC209&lt;=5,"0-5",AC209&lt;=10,"5-10",AC209&lt;=40,"10-40")</f>
        <v>5-10</v>
      </c>
      <c r="AE209">
        <v>1</v>
      </c>
      <c r="AF209">
        <v>1</v>
      </c>
      <c r="AG209">
        <v>7</v>
      </c>
      <c r="AH209">
        <v>208</v>
      </c>
    </row>
    <row r="210" spans="1:34" x14ac:dyDescent="0.3">
      <c r="A210">
        <v>40</v>
      </c>
      <c r="B210" t="str" cm="1">
        <f t="array" ref="B210">_xlfn.IFS(A210&lt;=25,"18-25",A210&lt;=35,"26-35",A210&lt;=45,"36-45",A210&lt;=55,"46-55",A210&gt;55,"55+")</f>
        <v>36-45</v>
      </c>
      <c r="C210">
        <v>0</v>
      </c>
      <c r="D210" t="s">
        <v>66</v>
      </c>
      <c r="E210">
        <v>1151</v>
      </c>
      <c r="F210" t="s">
        <v>48</v>
      </c>
      <c r="G210">
        <v>9</v>
      </c>
      <c r="H210" t="s">
        <v>75</v>
      </c>
      <c r="I210" t="s">
        <v>35</v>
      </c>
      <c r="J210" t="s">
        <v>41</v>
      </c>
      <c r="K210" t="s">
        <v>50</v>
      </c>
      <c r="L210">
        <v>63</v>
      </c>
      <c r="M210" t="s">
        <v>36</v>
      </c>
      <c r="N210" t="s">
        <v>39</v>
      </c>
      <c r="O210" t="s">
        <v>65</v>
      </c>
      <c r="P210" t="s">
        <v>41</v>
      </c>
      <c r="Q210" t="s">
        <v>52</v>
      </c>
      <c r="R210">
        <v>4876</v>
      </c>
      <c r="S210">
        <v>14242</v>
      </c>
      <c r="T210">
        <v>9</v>
      </c>
      <c r="U210" t="s">
        <v>46</v>
      </c>
      <c r="V210">
        <v>14</v>
      </c>
      <c r="W210" t="s">
        <v>43</v>
      </c>
      <c r="X210" t="s">
        <v>41</v>
      </c>
      <c r="Y210">
        <v>1</v>
      </c>
      <c r="Z210">
        <v>5</v>
      </c>
      <c r="AA210">
        <v>5</v>
      </c>
      <c r="AB210" t="s">
        <v>45</v>
      </c>
      <c r="AC210">
        <v>3</v>
      </c>
      <c r="AD210" t="str" cm="1">
        <f t="array" ref="AD210">_xlfn.IFS(AC210&lt;=5,"0-5",AC210&lt;=10,"5-10",AC210&lt;=40,"10-40")</f>
        <v>0-5</v>
      </c>
      <c r="AE210">
        <v>2</v>
      </c>
      <c r="AF210">
        <v>0</v>
      </c>
      <c r="AG210">
        <v>2</v>
      </c>
      <c r="AH210">
        <v>209</v>
      </c>
    </row>
    <row r="211" spans="1:34" x14ac:dyDescent="0.3">
      <c r="A211">
        <v>46</v>
      </c>
      <c r="B211" t="str" cm="1">
        <f t="array" ref="B211">_xlfn.IFS(A211&lt;=25,"18-25",A211&lt;=35,"26-35",A211&lt;=45,"36-45",A211&lt;=55,"46-55",A211&gt;55,"55+")</f>
        <v>46-55</v>
      </c>
      <c r="C211">
        <v>0</v>
      </c>
      <c r="D211" t="s">
        <v>32</v>
      </c>
      <c r="E211">
        <v>644</v>
      </c>
      <c r="F211" t="s">
        <v>48</v>
      </c>
      <c r="G211">
        <v>1</v>
      </c>
      <c r="H211" t="s">
        <v>58</v>
      </c>
      <c r="I211" t="s">
        <v>59</v>
      </c>
      <c r="J211" t="s">
        <v>41</v>
      </c>
      <c r="K211" t="s">
        <v>50</v>
      </c>
      <c r="L211">
        <v>97</v>
      </c>
      <c r="M211" t="s">
        <v>38</v>
      </c>
      <c r="N211" t="s">
        <v>63</v>
      </c>
      <c r="O211" t="s">
        <v>65</v>
      </c>
      <c r="P211" t="s">
        <v>44</v>
      </c>
      <c r="Q211" t="s">
        <v>62</v>
      </c>
      <c r="R211">
        <v>9396</v>
      </c>
      <c r="S211">
        <v>12368</v>
      </c>
      <c r="T211">
        <v>7</v>
      </c>
      <c r="U211" t="s">
        <v>46</v>
      </c>
      <c r="V211">
        <v>16</v>
      </c>
      <c r="W211" t="s">
        <v>43</v>
      </c>
      <c r="X211" t="s">
        <v>38</v>
      </c>
      <c r="Y211">
        <v>1</v>
      </c>
      <c r="Z211">
        <v>17</v>
      </c>
      <c r="AA211">
        <v>3</v>
      </c>
      <c r="AB211" t="s">
        <v>54</v>
      </c>
      <c r="AC211">
        <v>4</v>
      </c>
      <c r="AD211" t="str" cm="1">
        <f t="array" ref="AD211">_xlfn.IFS(AC211&lt;=5,"0-5",AC211&lt;=10,"5-10",AC211&lt;=40,"10-40")</f>
        <v>0-5</v>
      </c>
      <c r="AE211">
        <v>2</v>
      </c>
      <c r="AF211">
        <v>0</v>
      </c>
      <c r="AG211">
        <v>3</v>
      </c>
      <c r="AH211">
        <v>210</v>
      </c>
    </row>
    <row r="212" spans="1:34" x14ac:dyDescent="0.3">
      <c r="A212">
        <v>32</v>
      </c>
      <c r="B212" t="str" cm="1">
        <f t="array" ref="B212">_xlfn.IFS(A212&lt;=25,"18-25",A212&lt;=35,"26-35",A212&lt;=45,"36-45",A212&lt;=55,"46-55",A212&gt;55,"55+")</f>
        <v>26-35</v>
      </c>
      <c r="C212">
        <v>1</v>
      </c>
      <c r="D212" t="s">
        <v>32</v>
      </c>
      <c r="E212">
        <v>1045</v>
      </c>
      <c r="F212" t="s">
        <v>33</v>
      </c>
      <c r="G212">
        <v>4</v>
      </c>
      <c r="H212" t="s">
        <v>58</v>
      </c>
      <c r="I212" t="s">
        <v>59</v>
      </c>
      <c r="J212" t="s">
        <v>41</v>
      </c>
      <c r="K212" t="s">
        <v>50</v>
      </c>
      <c r="L212">
        <v>32</v>
      </c>
      <c r="M212" t="s">
        <v>44</v>
      </c>
      <c r="N212" t="s">
        <v>63</v>
      </c>
      <c r="O212" t="s">
        <v>40</v>
      </c>
      <c r="P212" t="s">
        <v>41</v>
      </c>
      <c r="Q212" t="s">
        <v>52</v>
      </c>
      <c r="R212">
        <v>10400</v>
      </c>
      <c r="S212">
        <v>25812</v>
      </c>
      <c r="T212">
        <v>1</v>
      </c>
      <c r="U212" t="s">
        <v>46</v>
      </c>
      <c r="V212">
        <v>11</v>
      </c>
      <c r="W212" t="s">
        <v>43</v>
      </c>
      <c r="X212" t="s">
        <v>38</v>
      </c>
      <c r="Y212">
        <v>0</v>
      </c>
      <c r="Z212">
        <v>14</v>
      </c>
      <c r="AA212">
        <v>2</v>
      </c>
      <c r="AB212" t="s">
        <v>60</v>
      </c>
      <c r="AC212">
        <v>14</v>
      </c>
      <c r="AD212" t="str" cm="1">
        <f t="array" ref="AD212">_xlfn.IFS(AC212&lt;=5,"0-5",AC212&lt;=10,"5-10",AC212&lt;=40,"10-40")</f>
        <v>10-40</v>
      </c>
      <c r="AE212">
        <v>8</v>
      </c>
      <c r="AF212">
        <v>9</v>
      </c>
      <c r="AG212">
        <v>8</v>
      </c>
      <c r="AH212">
        <v>211</v>
      </c>
    </row>
    <row r="213" spans="1:34" x14ac:dyDescent="0.3">
      <c r="A213">
        <v>30</v>
      </c>
      <c r="B213" t="str" cm="1">
        <f t="array" ref="B213">_xlfn.IFS(A213&lt;=25,"18-25",A213&lt;=35,"26-35",A213&lt;=45,"36-45",A213&lt;=55,"46-55",A213&gt;55,"55+")</f>
        <v>26-35</v>
      </c>
      <c r="C213">
        <v>0</v>
      </c>
      <c r="D213" t="s">
        <v>66</v>
      </c>
      <c r="E213">
        <v>829</v>
      </c>
      <c r="F213" t="s">
        <v>48</v>
      </c>
      <c r="G213">
        <v>1</v>
      </c>
      <c r="H213" t="s">
        <v>49</v>
      </c>
      <c r="I213" t="s">
        <v>35</v>
      </c>
      <c r="J213" t="s">
        <v>38</v>
      </c>
      <c r="K213" t="s">
        <v>50</v>
      </c>
      <c r="L213">
        <v>88</v>
      </c>
      <c r="M213" t="s">
        <v>36</v>
      </c>
      <c r="N213" t="s">
        <v>63</v>
      </c>
      <c r="O213" t="s">
        <v>64</v>
      </c>
      <c r="P213" t="s">
        <v>38</v>
      </c>
      <c r="Q213" t="s">
        <v>42</v>
      </c>
      <c r="R213">
        <v>8474</v>
      </c>
      <c r="S213">
        <v>20925</v>
      </c>
      <c r="T213">
        <v>1</v>
      </c>
      <c r="U213" t="s">
        <v>46</v>
      </c>
      <c r="V213">
        <v>22</v>
      </c>
      <c r="W213" t="s">
        <v>53</v>
      </c>
      <c r="X213" t="s">
        <v>38</v>
      </c>
      <c r="Y213">
        <v>0</v>
      </c>
      <c r="Z213">
        <v>12</v>
      </c>
      <c r="AA213">
        <v>2</v>
      </c>
      <c r="AB213" t="s">
        <v>54</v>
      </c>
      <c r="AC213">
        <v>11</v>
      </c>
      <c r="AD213" t="str" cm="1">
        <f t="array" ref="AD213">_xlfn.IFS(AC213&lt;=5,"0-5",AC213&lt;=10,"5-10",AC213&lt;=40,"10-40")</f>
        <v>10-40</v>
      </c>
      <c r="AE213">
        <v>8</v>
      </c>
      <c r="AF213">
        <v>5</v>
      </c>
      <c r="AG213">
        <v>8</v>
      </c>
      <c r="AH213">
        <v>212</v>
      </c>
    </row>
    <row r="214" spans="1:34" x14ac:dyDescent="0.3">
      <c r="A214">
        <v>27</v>
      </c>
      <c r="B214" t="str" cm="1">
        <f t="array" ref="B214">_xlfn.IFS(A214&lt;=25,"18-25",A214&lt;=35,"26-35",A214&lt;=45,"36-45",A214&lt;=55,"46-55",A214&gt;55,"55+")</f>
        <v>26-35</v>
      </c>
      <c r="C214">
        <v>0</v>
      </c>
      <c r="D214" t="s">
        <v>47</v>
      </c>
      <c r="E214">
        <v>1242</v>
      </c>
      <c r="F214" t="s">
        <v>33</v>
      </c>
      <c r="G214">
        <v>20</v>
      </c>
      <c r="H214" t="s">
        <v>61</v>
      </c>
      <c r="I214" t="s">
        <v>35</v>
      </c>
      <c r="J214" t="s">
        <v>41</v>
      </c>
      <c r="K214" t="s">
        <v>37</v>
      </c>
      <c r="L214">
        <v>90</v>
      </c>
      <c r="M214" t="s">
        <v>38</v>
      </c>
      <c r="N214" t="s">
        <v>39</v>
      </c>
      <c r="O214" t="s">
        <v>40</v>
      </c>
      <c r="P214" t="s">
        <v>38</v>
      </c>
      <c r="Q214" t="s">
        <v>42</v>
      </c>
      <c r="R214">
        <v>9981</v>
      </c>
      <c r="S214">
        <v>12916</v>
      </c>
      <c r="T214">
        <v>1</v>
      </c>
      <c r="U214" t="s">
        <v>46</v>
      </c>
      <c r="V214">
        <v>14</v>
      </c>
      <c r="W214" t="s">
        <v>43</v>
      </c>
      <c r="X214" t="s">
        <v>41</v>
      </c>
      <c r="Y214">
        <v>0</v>
      </c>
      <c r="Z214">
        <v>7</v>
      </c>
      <c r="AA214">
        <v>2</v>
      </c>
      <c r="AB214" t="s">
        <v>54</v>
      </c>
      <c r="AC214">
        <v>7</v>
      </c>
      <c r="AD214" t="str" cm="1">
        <f t="array" ref="AD214">_xlfn.IFS(AC214&lt;=5,"0-5",AC214&lt;=10,"5-10",AC214&lt;=40,"10-40")</f>
        <v>5-10</v>
      </c>
      <c r="AE214">
        <v>7</v>
      </c>
      <c r="AF214">
        <v>0</v>
      </c>
      <c r="AG214">
        <v>7</v>
      </c>
      <c r="AH214">
        <v>213</v>
      </c>
    </row>
    <row r="215" spans="1:34" x14ac:dyDescent="0.3">
      <c r="A215">
        <v>51</v>
      </c>
      <c r="B215" t="str" cm="1">
        <f t="array" ref="B215">_xlfn.IFS(A215&lt;=25,"18-25",A215&lt;=35,"26-35",A215&lt;=45,"36-45",A215&lt;=55,"46-55",A215&gt;55,"55+")</f>
        <v>46-55</v>
      </c>
      <c r="C215">
        <v>0</v>
      </c>
      <c r="D215" t="s">
        <v>32</v>
      </c>
      <c r="E215">
        <v>1469</v>
      </c>
      <c r="F215" t="s">
        <v>48</v>
      </c>
      <c r="G215">
        <v>8</v>
      </c>
      <c r="H215" t="s">
        <v>58</v>
      </c>
      <c r="I215" t="s">
        <v>35</v>
      </c>
      <c r="J215" t="s">
        <v>36</v>
      </c>
      <c r="K215" t="s">
        <v>50</v>
      </c>
      <c r="L215">
        <v>81</v>
      </c>
      <c r="M215" t="s">
        <v>36</v>
      </c>
      <c r="N215" t="s">
        <v>63</v>
      </c>
      <c r="O215" t="s">
        <v>70</v>
      </c>
      <c r="P215" t="s">
        <v>36</v>
      </c>
      <c r="Q215" t="s">
        <v>52</v>
      </c>
      <c r="R215">
        <v>12490</v>
      </c>
      <c r="S215">
        <v>15736</v>
      </c>
      <c r="T215">
        <v>5</v>
      </c>
      <c r="U215" t="s">
        <v>46</v>
      </c>
      <c r="V215">
        <v>16</v>
      </c>
      <c r="W215" t="s">
        <v>43</v>
      </c>
      <c r="X215" t="s">
        <v>41</v>
      </c>
      <c r="Y215">
        <v>2</v>
      </c>
      <c r="Z215">
        <v>16</v>
      </c>
      <c r="AA215">
        <v>5</v>
      </c>
      <c r="AB215" t="s">
        <v>45</v>
      </c>
      <c r="AC215">
        <v>10</v>
      </c>
      <c r="AD215" t="str" cm="1">
        <f t="array" ref="AD215">_xlfn.IFS(AC215&lt;=5,"0-5",AC215&lt;=10,"5-10",AC215&lt;=40,"10-40")</f>
        <v>5-10</v>
      </c>
      <c r="AE215">
        <v>9</v>
      </c>
      <c r="AF215">
        <v>4</v>
      </c>
      <c r="AG215">
        <v>7</v>
      </c>
      <c r="AH215">
        <v>214</v>
      </c>
    </row>
    <row r="216" spans="1:34" x14ac:dyDescent="0.3">
      <c r="A216">
        <v>30</v>
      </c>
      <c r="B216" t="str" cm="1">
        <f t="array" ref="B216">_xlfn.IFS(A216&lt;=25,"18-25",A216&lt;=35,"26-35",A216&lt;=45,"36-45",A216&lt;=55,"46-55",A216&gt;55,"55+")</f>
        <v>26-35</v>
      </c>
      <c r="C216">
        <v>1</v>
      </c>
      <c r="D216" t="s">
        <v>32</v>
      </c>
      <c r="E216">
        <v>1005</v>
      </c>
      <c r="F216" t="s">
        <v>48</v>
      </c>
      <c r="G216">
        <v>3</v>
      </c>
      <c r="H216" t="s">
        <v>61</v>
      </c>
      <c r="I216" t="s">
        <v>74</v>
      </c>
      <c r="J216" t="s">
        <v>41</v>
      </c>
      <c r="K216" t="s">
        <v>37</v>
      </c>
      <c r="L216">
        <v>88</v>
      </c>
      <c r="M216" t="s">
        <v>38</v>
      </c>
      <c r="N216" t="s">
        <v>56</v>
      </c>
      <c r="O216" t="s">
        <v>51</v>
      </c>
      <c r="P216" t="s">
        <v>44</v>
      </c>
      <c r="Q216" t="s">
        <v>42</v>
      </c>
      <c r="R216">
        <v>2657</v>
      </c>
      <c r="S216">
        <v>8556</v>
      </c>
      <c r="T216">
        <v>5</v>
      </c>
      <c r="U216" t="s">
        <v>31</v>
      </c>
      <c r="V216">
        <v>11</v>
      </c>
      <c r="W216" t="s">
        <v>43</v>
      </c>
      <c r="X216" t="s">
        <v>38</v>
      </c>
      <c r="Y216">
        <v>0</v>
      </c>
      <c r="Z216">
        <v>8</v>
      </c>
      <c r="AA216">
        <v>5</v>
      </c>
      <c r="AB216" t="s">
        <v>54</v>
      </c>
      <c r="AC216">
        <v>5</v>
      </c>
      <c r="AD216" t="str" cm="1">
        <f t="array" ref="AD216">_xlfn.IFS(AC216&lt;=5,"0-5",AC216&lt;=10,"5-10",AC216&lt;=40,"10-40")</f>
        <v>0-5</v>
      </c>
      <c r="AE216">
        <v>2</v>
      </c>
      <c r="AF216">
        <v>0</v>
      </c>
      <c r="AG216">
        <v>4</v>
      </c>
      <c r="AH216">
        <v>215</v>
      </c>
    </row>
    <row r="217" spans="1:34" x14ac:dyDescent="0.3">
      <c r="A217">
        <v>41</v>
      </c>
      <c r="B217" t="str" cm="1">
        <f t="array" ref="B217">_xlfn.IFS(A217&lt;=25,"18-25",A217&lt;=35,"26-35",A217&lt;=45,"36-45",A217&lt;=55,"46-55",A217&gt;55,"55+")</f>
        <v>36-45</v>
      </c>
      <c r="C217">
        <v>0</v>
      </c>
      <c r="D217" t="s">
        <v>32</v>
      </c>
      <c r="E217">
        <v>896</v>
      </c>
      <c r="F217" t="s">
        <v>33</v>
      </c>
      <c r="G217">
        <v>6</v>
      </c>
      <c r="H217" t="s">
        <v>61</v>
      </c>
      <c r="I217" t="s">
        <v>35</v>
      </c>
      <c r="J217" t="s">
        <v>41</v>
      </c>
      <c r="K217" t="s">
        <v>37</v>
      </c>
      <c r="L217">
        <v>75</v>
      </c>
      <c r="M217" t="s">
        <v>38</v>
      </c>
      <c r="N217" t="s">
        <v>63</v>
      </c>
      <c r="O217" t="s">
        <v>68</v>
      </c>
      <c r="P217" t="s">
        <v>41</v>
      </c>
      <c r="Q217" t="s">
        <v>42</v>
      </c>
      <c r="R217">
        <v>13591</v>
      </c>
      <c r="S217">
        <v>14674</v>
      </c>
      <c r="T217">
        <v>3</v>
      </c>
      <c r="U217" t="s">
        <v>31</v>
      </c>
      <c r="V217">
        <v>18</v>
      </c>
      <c r="W217" t="s">
        <v>43</v>
      </c>
      <c r="X217" t="s">
        <v>38</v>
      </c>
      <c r="Y217">
        <v>0</v>
      </c>
      <c r="Z217">
        <v>16</v>
      </c>
      <c r="AA217">
        <v>3</v>
      </c>
      <c r="AB217" t="s">
        <v>54</v>
      </c>
      <c r="AC217">
        <v>1</v>
      </c>
      <c r="AD217" t="str" cm="1">
        <f t="array" ref="AD217">_xlfn.IFS(AC217&lt;=5,"0-5",AC217&lt;=10,"5-10",AC217&lt;=40,"10-40")</f>
        <v>0-5</v>
      </c>
      <c r="AE217">
        <v>0</v>
      </c>
      <c r="AF217">
        <v>0</v>
      </c>
      <c r="AG217">
        <v>0</v>
      </c>
      <c r="AH217">
        <v>216</v>
      </c>
    </row>
    <row r="218" spans="1:34" x14ac:dyDescent="0.3">
      <c r="A218">
        <v>30</v>
      </c>
      <c r="B218" t="str" cm="1">
        <f t="array" ref="B218">_xlfn.IFS(A218&lt;=25,"18-25",A218&lt;=35,"26-35",A218&lt;=45,"36-45",A218&lt;=55,"46-55",A218&gt;55,"55+")</f>
        <v>26-35</v>
      </c>
      <c r="C218">
        <v>1</v>
      </c>
      <c r="D218" t="s">
        <v>47</v>
      </c>
      <c r="E218">
        <v>334</v>
      </c>
      <c r="F218" t="s">
        <v>33</v>
      </c>
      <c r="G218">
        <v>26</v>
      </c>
      <c r="H218" t="s">
        <v>58</v>
      </c>
      <c r="I218" t="s">
        <v>72</v>
      </c>
      <c r="J218" t="s">
        <v>38</v>
      </c>
      <c r="K218" t="s">
        <v>37</v>
      </c>
      <c r="L218">
        <v>52</v>
      </c>
      <c r="M218" t="s">
        <v>36</v>
      </c>
      <c r="N218" t="s">
        <v>39</v>
      </c>
      <c r="O218" t="s">
        <v>40</v>
      </c>
      <c r="P218" t="s">
        <v>44</v>
      </c>
      <c r="Q218" t="s">
        <v>42</v>
      </c>
      <c r="R218">
        <v>6696</v>
      </c>
      <c r="S218">
        <v>22967</v>
      </c>
      <c r="T218">
        <v>5</v>
      </c>
      <c r="U218" t="s">
        <v>46</v>
      </c>
      <c r="V218">
        <v>15</v>
      </c>
      <c r="W218" t="s">
        <v>43</v>
      </c>
      <c r="X218" t="s">
        <v>38</v>
      </c>
      <c r="Y218">
        <v>0</v>
      </c>
      <c r="Z218">
        <v>9</v>
      </c>
      <c r="AA218">
        <v>5</v>
      </c>
      <c r="AB218" t="s">
        <v>60</v>
      </c>
      <c r="AC218">
        <v>6</v>
      </c>
      <c r="AD218" t="str" cm="1">
        <f t="array" ref="AD218">_xlfn.IFS(AC218&lt;=5,"0-5",AC218&lt;=10,"5-10",AC218&lt;=40,"10-40")</f>
        <v>5-10</v>
      </c>
      <c r="AE218">
        <v>3</v>
      </c>
      <c r="AF218">
        <v>0</v>
      </c>
      <c r="AG218">
        <v>1</v>
      </c>
      <c r="AH218">
        <v>217</v>
      </c>
    </row>
    <row r="219" spans="1:34" x14ac:dyDescent="0.3">
      <c r="A219">
        <v>29</v>
      </c>
      <c r="B219" t="str" cm="1">
        <f t="array" ref="B219">_xlfn.IFS(A219&lt;=25,"18-25",A219&lt;=35,"26-35",A219&lt;=45,"36-45",A219&lt;=55,"46-55",A219&gt;55,"55+")</f>
        <v>26-35</v>
      </c>
      <c r="C219">
        <v>1</v>
      </c>
      <c r="D219" t="s">
        <v>32</v>
      </c>
      <c r="E219">
        <v>992</v>
      </c>
      <c r="F219" t="s">
        <v>48</v>
      </c>
      <c r="G219">
        <v>1</v>
      </c>
      <c r="H219" t="s">
        <v>61</v>
      </c>
      <c r="I219" t="s">
        <v>74</v>
      </c>
      <c r="J219" t="s">
        <v>38</v>
      </c>
      <c r="K219" t="s">
        <v>50</v>
      </c>
      <c r="L219">
        <v>85</v>
      </c>
      <c r="M219" t="s">
        <v>38</v>
      </c>
      <c r="N219" t="s">
        <v>56</v>
      </c>
      <c r="O219" t="s">
        <v>51</v>
      </c>
      <c r="P219" t="s">
        <v>38</v>
      </c>
      <c r="Q219" t="s">
        <v>42</v>
      </c>
      <c r="R219">
        <v>2058</v>
      </c>
      <c r="S219">
        <v>19757</v>
      </c>
      <c r="T219">
        <v>0</v>
      </c>
      <c r="U219" t="s">
        <v>46</v>
      </c>
      <c r="V219">
        <v>14</v>
      </c>
      <c r="W219" t="s">
        <v>43</v>
      </c>
      <c r="X219" t="s">
        <v>41</v>
      </c>
      <c r="Y219">
        <v>0</v>
      </c>
      <c r="Z219">
        <v>7</v>
      </c>
      <c r="AA219">
        <v>1</v>
      </c>
      <c r="AB219" t="s">
        <v>60</v>
      </c>
      <c r="AC219">
        <v>6</v>
      </c>
      <c r="AD219" t="str" cm="1">
        <f t="array" ref="AD219">_xlfn.IFS(AC219&lt;=5,"0-5",AC219&lt;=10,"5-10",AC219&lt;=40,"10-40")</f>
        <v>5-10</v>
      </c>
      <c r="AE219">
        <v>2</v>
      </c>
      <c r="AF219">
        <v>1</v>
      </c>
      <c r="AG219">
        <v>5</v>
      </c>
      <c r="AH219">
        <v>218</v>
      </c>
    </row>
    <row r="220" spans="1:34" x14ac:dyDescent="0.3">
      <c r="A220">
        <v>45</v>
      </c>
      <c r="B220" t="str" cm="1">
        <f t="array" ref="B220">_xlfn.IFS(A220&lt;=25,"18-25",A220&lt;=35,"26-35",A220&lt;=45,"36-45",A220&lt;=55,"46-55",A220&gt;55,"55+")</f>
        <v>36-45</v>
      </c>
      <c r="C220">
        <v>0</v>
      </c>
      <c r="D220" t="s">
        <v>66</v>
      </c>
      <c r="E220">
        <v>1052</v>
      </c>
      <c r="F220" t="s">
        <v>33</v>
      </c>
      <c r="G220">
        <v>6</v>
      </c>
      <c r="H220" t="s">
        <v>61</v>
      </c>
      <c r="I220" t="s">
        <v>59</v>
      </c>
      <c r="J220" t="s">
        <v>41</v>
      </c>
      <c r="K220" t="s">
        <v>37</v>
      </c>
      <c r="L220">
        <v>57</v>
      </c>
      <c r="M220" t="s">
        <v>36</v>
      </c>
      <c r="N220" t="s">
        <v>63</v>
      </c>
      <c r="O220" t="s">
        <v>40</v>
      </c>
      <c r="P220" t="s">
        <v>41</v>
      </c>
      <c r="Q220" t="s">
        <v>42</v>
      </c>
      <c r="R220">
        <v>8865</v>
      </c>
      <c r="S220">
        <v>16840</v>
      </c>
      <c r="T220">
        <v>6</v>
      </c>
      <c r="U220" t="s">
        <v>46</v>
      </c>
      <c r="V220">
        <v>12</v>
      </c>
      <c r="W220" t="s">
        <v>43</v>
      </c>
      <c r="X220" t="s">
        <v>41</v>
      </c>
      <c r="Y220">
        <v>0</v>
      </c>
      <c r="Z220">
        <v>23</v>
      </c>
      <c r="AA220">
        <v>2</v>
      </c>
      <c r="AB220" t="s">
        <v>54</v>
      </c>
      <c r="AC220">
        <v>19</v>
      </c>
      <c r="AD220" t="str" cm="1">
        <f t="array" ref="AD220">_xlfn.IFS(AC220&lt;=5,"0-5",AC220&lt;=10,"5-10",AC220&lt;=40,"10-40")</f>
        <v>10-40</v>
      </c>
      <c r="AE220">
        <v>7</v>
      </c>
      <c r="AF220">
        <v>12</v>
      </c>
      <c r="AG220">
        <v>8</v>
      </c>
      <c r="AH220">
        <v>219</v>
      </c>
    </row>
    <row r="221" spans="1:34" x14ac:dyDescent="0.3">
      <c r="A221">
        <v>54</v>
      </c>
      <c r="B221" t="str" cm="1">
        <f t="array" ref="B221">_xlfn.IFS(A221&lt;=25,"18-25",A221&lt;=35,"26-35",A221&lt;=45,"36-45",A221&lt;=55,"46-55",A221&gt;55,"55+")</f>
        <v>46-55</v>
      </c>
      <c r="C221">
        <v>0</v>
      </c>
      <c r="D221" t="s">
        <v>32</v>
      </c>
      <c r="E221">
        <v>1147</v>
      </c>
      <c r="F221" t="s">
        <v>33</v>
      </c>
      <c r="G221">
        <v>3</v>
      </c>
      <c r="H221" t="s">
        <v>61</v>
      </c>
      <c r="I221" t="s">
        <v>72</v>
      </c>
      <c r="J221" t="s">
        <v>41</v>
      </c>
      <c r="K221" t="s">
        <v>37</v>
      </c>
      <c r="L221">
        <v>52</v>
      </c>
      <c r="M221" t="s">
        <v>38</v>
      </c>
      <c r="N221" t="s">
        <v>39</v>
      </c>
      <c r="O221" t="s">
        <v>40</v>
      </c>
      <c r="P221" t="s">
        <v>44</v>
      </c>
      <c r="Q221" t="s">
        <v>52</v>
      </c>
      <c r="R221">
        <v>5940</v>
      </c>
      <c r="S221">
        <v>17011</v>
      </c>
      <c r="T221">
        <v>2</v>
      </c>
      <c r="U221" t="s">
        <v>46</v>
      </c>
      <c r="V221">
        <v>14</v>
      </c>
      <c r="W221" t="s">
        <v>43</v>
      </c>
      <c r="X221" t="s">
        <v>41</v>
      </c>
      <c r="Y221">
        <v>1</v>
      </c>
      <c r="Z221">
        <v>16</v>
      </c>
      <c r="AA221">
        <v>4</v>
      </c>
      <c r="AB221" t="s">
        <v>54</v>
      </c>
      <c r="AC221">
        <v>6</v>
      </c>
      <c r="AD221" t="str" cm="1">
        <f t="array" ref="AD221">_xlfn.IFS(AC221&lt;=5,"0-5",AC221&lt;=10,"5-10",AC221&lt;=40,"10-40")</f>
        <v>5-10</v>
      </c>
      <c r="AE221">
        <v>2</v>
      </c>
      <c r="AF221">
        <v>0</v>
      </c>
      <c r="AG221">
        <v>5</v>
      </c>
      <c r="AH221">
        <v>220</v>
      </c>
    </row>
    <row r="222" spans="1:34" x14ac:dyDescent="0.3">
      <c r="A222">
        <v>36</v>
      </c>
      <c r="B222" t="str" cm="1">
        <f t="array" ref="B222">_xlfn.IFS(A222&lt;=25,"18-25",A222&lt;=35,"26-35",A222&lt;=45,"36-45",A222&lt;=55,"46-55",A222&gt;55,"55+")</f>
        <v>36-45</v>
      </c>
      <c r="C222">
        <v>0</v>
      </c>
      <c r="D222" t="s">
        <v>32</v>
      </c>
      <c r="E222">
        <v>1396</v>
      </c>
      <c r="F222" t="s">
        <v>48</v>
      </c>
      <c r="G222">
        <v>5</v>
      </c>
      <c r="H222" t="s">
        <v>34</v>
      </c>
      <c r="I222" t="s">
        <v>35</v>
      </c>
      <c r="J222" t="s">
        <v>41</v>
      </c>
      <c r="K222" t="s">
        <v>50</v>
      </c>
      <c r="L222">
        <v>62</v>
      </c>
      <c r="M222" t="s">
        <v>38</v>
      </c>
      <c r="N222" t="s">
        <v>39</v>
      </c>
      <c r="O222" t="s">
        <v>57</v>
      </c>
      <c r="P222" t="s">
        <v>36</v>
      </c>
      <c r="Q222" t="s">
        <v>42</v>
      </c>
      <c r="R222">
        <v>5914</v>
      </c>
      <c r="S222">
        <v>9945</v>
      </c>
      <c r="T222">
        <v>8</v>
      </c>
      <c r="U222" t="s">
        <v>46</v>
      </c>
      <c r="V222">
        <v>16</v>
      </c>
      <c r="W222" t="s">
        <v>43</v>
      </c>
      <c r="X222" t="s">
        <v>41</v>
      </c>
      <c r="Y222">
        <v>0</v>
      </c>
      <c r="Z222">
        <v>16</v>
      </c>
      <c r="AA222">
        <v>3</v>
      </c>
      <c r="AB222" t="s">
        <v>73</v>
      </c>
      <c r="AC222">
        <v>13</v>
      </c>
      <c r="AD222" t="str" cm="1">
        <f t="array" ref="AD222">_xlfn.IFS(AC222&lt;=5,"0-5",AC222&lt;=10,"5-10",AC222&lt;=40,"10-40")</f>
        <v>10-40</v>
      </c>
      <c r="AE222">
        <v>11</v>
      </c>
      <c r="AF222">
        <v>3</v>
      </c>
      <c r="AG222">
        <v>7</v>
      </c>
      <c r="AH222">
        <v>221</v>
      </c>
    </row>
    <row r="223" spans="1:34" x14ac:dyDescent="0.3">
      <c r="A223">
        <v>33</v>
      </c>
      <c r="B223" t="str" cm="1">
        <f t="array" ref="B223">_xlfn.IFS(A223&lt;=25,"18-25",A223&lt;=35,"26-35",A223&lt;=45,"36-45",A223&lt;=55,"46-55",A223&gt;55,"55+")</f>
        <v>26-35</v>
      </c>
      <c r="C223">
        <v>0</v>
      </c>
      <c r="D223" t="s">
        <v>32</v>
      </c>
      <c r="E223">
        <v>147</v>
      </c>
      <c r="F223" t="s">
        <v>48</v>
      </c>
      <c r="G223">
        <v>4</v>
      </c>
      <c r="H223" t="s">
        <v>58</v>
      </c>
      <c r="I223" t="s">
        <v>59</v>
      </c>
      <c r="J223" t="s">
        <v>38</v>
      </c>
      <c r="K223" t="s">
        <v>37</v>
      </c>
      <c r="L223">
        <v>47</v>
      </c>
      <c r="M223" t="s">
        <v>36</v>
      </c>
      <c r="N223" t="s">
        <v>56</v>
      </c>
      <c r="O223" t="s">
        <v>51</v>
      </c>
      <c r="P223" t="s">
        <v>36</v>
      </c>
      <c r="Q223" t="s">
        <v>52</v>
      </c>
      <c r="R223">
        <v>2622</v>
      </c>
      <c r="S223">
        <v>13248</v>
      </c>
      <c r="T223">
        <v>6</v>
      </c>
      <c r="U223" t="s">
        <v>46</v>
      </c>
      <c r="V223">
        <v>21</v>
      </c>
      <c r="W223" t="s">
        <v>53</v>
      </c>
      <c r="X223" t="s">
        <v>41</v>
      </c>
      <c r="Y223">
        <v>0</v>
      </c>
      <c r="Z223">
        <v>7</v>
      </c>
      <c r="AA223">
        <v>3</v>
      </c>
      <c r="AB223" t="s">
        <v>54</v>
      </c>
      <c r="AC223">
        <v>3</v>
      </c>
      <c r="AD223" t="str" cm="1">
        <f t="array" ref="AD223">_xlfn.IFS(AC223&lt;=5,"0-5",AC223&lt;=10,"5-10",AC223&lt;=40,"10-40")</f>
        <v>0-5</v>
      </c>
      <c r="AE223">
        <v>2</v>
      </c>
      <c r="AF223">
        <v>1</v>
      </c>
      <c r="AG223">
        <v>1</v>
      </c>
      <c r="AH223">
        <v>222</v>
      </c>
    </row>
    <row r="224" spans="1:34" x14ac:dyDescent="0.3">
      <c r="A224">
        <v>37</v>
      </c>
      <c r="B224" t="str" cm="1">
        <f t="array" ref="B224">_xlfn.IFS(A224&lt;=25,"18-25",A224&lt;=35,"26-35",A224&lt;=45,"36-45",A224&lt;=55,"46-55",A224&gt;55,"55+")</f>
        <v>36-45</v>
      </c>
      <c r="C224">
        <v>0</v>
      </c>
      <c r="D224" t="s">
        <v>47</v>
      </c>
      <c r="E224">
        <v>663</v>
      </c>
      <c r="F224" t="s">
        <v>48</v>
      </c>
      <c r="G224">
        <v>11</v>
      </c>
      <c r="H224" t="s">
        <v>61</v>
      </c>
      <c r="I224" t="s">
        <v>55</v>
      </c>
      <c r="J224" t="s">
        <v>36</v>
      </c>
      <c r="K224" t="s">
        <v>50</v>
      </c>
      <c r="L224">
        <v>47</v>
      </c>
      <c r="M224" t="s">
        <v>38</v>
      </c>
      <c r="N224" t="s">
        <v>63</v>
      </c>
      <c r="O224" t="s">
        <v>70</v>
      </c>
      <c r="P224" t="s">
        <v>41</v>
      </c>
      <c r="Q224" t="s">
        <v>62</v>
      </c>
      <c r="R224">
        <v>12185</v>
      </c>
      <c r="S224">
        <v>10056</v>
      </c>
      <c r="T224">
        <v>1</v>
      </c>
      <c r="U224" t="s">
        <v>31</v>
      </c>
      <c r="V224">
        <v>14</v>
      </c>
      <c r="W224" t="s">
        <v>43</v>
      </c>
      <c r="X224" t="s">
        <v>38</v>
      </c>
      <c r="Y224">
        <v>3</v>
      </c>
      <c r="Z224">
        <v>10</v>
      </c>
      <c r="AA224">
        <v>1</v>
      </c>
      <c r="AB224" t="s">
        <v>54</v>
      </c>
      <c r="AC224">
        <v>10</v>
      </c>
      <c r="AD224" t="str" cm="1">
        <f t="array" ref="AD224">_xlfn.IFS(AC224&lt;=5,"0-5",AC224&lt;=10,"5-10",AC224&lt;=40,"10-40")</f>
        <v>5-10</v>
      </c>
      <c r="AE224">
        <v>8</v>
      </c>
      <c r="AF224">
        <v>0</v>
      </c>
      <c r="AG224">
        <v>7</v>
      </c>
      <c r="AH224">
        <v>223</v>
      </c>
    </row>
    <row r="225" spans="1:34" x14ac:dyDescent="0.3">
      <c r="A225">
        <v>38</v>
      </c>
      <c r="B225" t="str" cm="1">
        <f t="array" ref="B225">_xlfn.IFS(A225&lt;=25,"18-25",A225&lt;=35,"26-35",A225&lt;=45,"36-45",A225&lt;=55,"46-55",A225&gt;55,"55+")</f>
        <v>36-45</v>
      </c>
      <c r="C225">
        <v>0</v>
      </c>
      <c r="D225" t="s">
        <v>32</v>
      </c>
      <c r="E225">
        <v>119</v>
      </c>
      <c r="F225" t="s">
        <v>33</v>
      </c>
      <c r="G225">
        <v>3</v>
      </c>
      <c r="H225" t="s">
        <v>61</v>
      </c>
      <c r="I225" t="s">
        <v>35</v>
      </c>
      <c r="J225" t="s">
        <v>44</v>
      </c>
      <c r="K225" t="s">
        <v>50</v>
      </c>
      <c r="L225">
        <v>76</v>
      </c>
      <c r="M225" t="s">
        <v>38</v>
      </c>
      <c r="N225" t="s">
        <v>63</v>
      </c>
      <c r="O225" t="s">
        <v>40</v>
      </c>
      <c r="P225" t="s">
        <v>38</v>
      </c>
      <c r="Q225" t="s">
        <v>62</v>
      </c>
      <c r="R225">
        <v>10609</v>
      </c>
      <c r="S225">
        <v>9647</v>
      </c>
      <c r="T225">
        <v>0</v>
      </c>
      <c r="U225" t="s">
        <v>46</v>
      </c>
      <c r="V225">
        <v>12</v>
      </c>
      <c r="W225" t="s">
        <v>43</v>
      </c>
      <c r="X225" t="s">
        <v>38</v>
      </c>
      <c r="Y225">
        <v>2</v>
      </c>
      <c r="Z225">
        <v>17</v>
      </c>
      <c r="AA225">
        <v>6</v>
      </c>
      <c r="AB225" t="s">
        <v>60</v>
      </c>
      <c r="AC225">
        <v>16</v>
      </c>
      <c r="AD225" t="str" cm="1">
        <f t="array" ref="AD225">_xlfn.IFS(AC225&lt;=5,"0-5",AC225&lt;=10,"5-10",AC225&lt;=40,"10-40")</f>
        <v>10-40</v>
      </c>
      <c r="AE225">
        <v>10</v>
      </c>
      <c r="AF225">
        <v>5</v>
      </c>
      <c r="AG225">
        <v>13</v>
      </c>
      <c r="AH225">
        <v>224</v>
      </c>
    </row>
    <row r="226" spans="1:34" x14ac:dyDescent="0.3">
      <c r="A226">
        <v>31</v>
      </c>
      <c r="B226" t="str" cm="1">
        <f t="array" ref="B226">_xlfn.IFS(A226&lt;=25,"18-25",A226&lt;=35,"26-35",A226&lt;=45,"36-45",A226&lt;=55,"46-55",A226&gt;55,"55+")</f>
        <v>26-35</v>
      </c>
      <c r="C226">
        <v>0</v>
      </c>
      <c r="D226" t="s">
        <v>66</v>
      </c>
      <c r="E226">
        <v>979</v>
      </c>
      <c r="F226" t="s">
        <v>48</v>
      </c>
      <c r="G226">
        <v>1</v>
      </c>
      <c r="H226" t="s">
        <v>58</v>
      </c>
      <c r="I226" t="s">
        <v>59</v>
      </c>
      <c r="J226" t="s">
        <v>38</v>
      </c>
      <c r="K226" t="s">
        <v>50</v>
      </c>
      <c r="L226">
        <v>90</v>
      </c>
      <c r="M226" t="s">
        <v>44</v>
      </c>
      <c r="N226" t="s">
        <v>39</v>
      </c>
      <c r="O226" t="s">
        <v>64</v>
      </c>
      <c r="P226" t="s">
        <v>38</v>
      </c>
      <c r="Q226" t="s">
        <v>52</v>
      </c>
      <c r="R226">
        <v>4345</v>
      </c>
      <c r="S226">
        <v>4381</v>
      </c>
      <c r="T226">
        <v>0</v>
      </c>
      <c r="U226" t="s">
        <v>46</v>
      </c>
      <c r="V226">
        <v>12</v>
      </c>
      <c r="W226" t="s">
        <v>43</v>
      </c>
      <c r="X226" t="s">
        <v>41</v>
      </c>
      <c r="Y226">
        <v>1</v>
      </c>
      <c r="Z226">
        <v>6</v>
      </c>
      <c r="AA226">
        <v>2</v>
      </c>
      <c r="AB226" t="s">
        <v>54</v>
      </c>
      <c r="AC226">
        <v>5</v>
      </c>
      <c r="AD226" t="str" cm="1">
        <f t="array" ref="AD226">_xlfn.IFS(AC226&lt;=5,"0-5",AC226&lt;=10,"5-10",AC226&lt;=40,"10-40")</f>
        <v>0-5</v>
      </c>
      <c r="AE226">
        <v>4</v>
      </c>
      <c r="AF226">
        <v>1</v>
      </c>
      <c r="AG226">
        <v>4</v>
      </c>
      <c r="AH226">
        <v>225</v>
      </c>
    </row>
    <row r="227" spans="1:34" x14ac:dyDescent="0.3">
      <c r="A227">
        <v>59</v>
      </c>
      <c r="B227" t="str" cm="1">
        <f t="array" ref="B227">_xlfn.IFS(A227&lt;=25,"18-25",A227&lt;=35,"26-35",A227&lt;=45,"36-45",A227&lt;=55,"46-55",A227&gt;55,"55+")</f>
        <v>55+</v>
      </c>
      <c r="C227">
        <v>0</v>
      </c>
      <c r="D227" t="s">
        <v>32</v>
      </c>
      <c r="E227">
        <v>142</v>
      </c>
      <c r="F227" t="s">
        <v>48</v>
      </c>
      <c r="G227">
        <v>3</v>
      </c>
      <c r="H227" t="s">
        <v>61</v>
      </c>
      <c r="I227" t="s">
        <v>35</v>
      </c>
      <c r="J227" t="s">
        <v>38</v>
      </c>
      <c r="K227" t="s">
        <v>50</v>
      </c>
      <c r="L227">
        <v>70</v>
      </c>
      <c r="M227" t="s">
        <v>36</v>
      </c>
      <c r="N227" t="s">
        <v>56</v>
      </c>
      <c r="O227" t="s">
        <v>51</v>
      </c>
      <c r="P227" t="s">
        <v>41</v>
      </c>
      <c r="Q227" t="s">
        <v>52</v>
      </c>
      <c r="R227">
        <v>2177</v>
      </c>
      <c r="S227">
        <v>8456</v>
      </c>
      <c r="T227">
        <v>3</v>
      </c>
      <c r="U227" t="s">
        <v>46</v>
      </c>
      <c r="V227">
        <v>17</v>
      </c>
      <c r="W227" t="s">
        <v>43</v>
      </c>
      <c r="X227" t="s">
        <v>44</v>
      </c>
      <c r="Y227">
        <v>1</v>
      </c>
      <c r="Z227">
        <v>7</v>
      </c>
      <c r="AA227">
        <v>6</v>
      </c>
      <c r="AB227" t="s">
        <v>54</v>
      </c>
      <c r="AC227">
        <v>1</v>
      </c>
      <c r="AD227" t="str" cm="1">
        <f t="array" ref="AD227">_xlfn.IFS(AC227&lt;=5,"0-5",AC227&lt;=10,"5-10",AC227&lt;=40,"10-40")</f>
        <v>0-5</v>
      </c>
      <c r="AE227">
        <v>0</v>
      </c>
      <c r="AF227">
        <v>0</v>
      </c>
      <c r="AG227">
        <v>0</v>
      </c>
      <c r="AH227">
        <v>226</v>
      </c>
    </row>
    <row r="228" spans="1:34" x14ac:dyDescent="0.3">
      <c r="A228">
        <v>37</v>
      </c>
      <c r="B228" t="str" cm="1">
        <f t="array" ref="B228">_xlfn.IFS(A228&lt;=25,"18-25",A228&lt;=35,"26-35",A228&lt;=45,"36-45",A228&lt;=55,"46-55",A228&gt;55,"55+")</f>
        <v>36-45</v>
      </c>
      <c r="C228">
        <v>0</v>
      </c>
      <c r="D228" t="s">
        <v>47</v>
      </c>
      <c r="E228">
        <v>319</v>
      </c>
      <c r="F228" t="s">
        <v>33</v>
      </c>
      <c r="G228">
        <v>4</v>
      </c>
      <c r="H228" t="s">
        <v>58</v>
      </c>
      <c r="I228" t="s">
        <v>72</v>
      </c>
      <c r="J228" t="s">
        <v>44</v>
      </c>
      <c r="K228" t="s">
        <v>50</v>
      </c>
      <c r="L228">
        <v>41</v>
      </c>
      <c r="M228" t="s">
        <v>38</v>
      </c>
      <c r="N228" t="s">
        <v>56</v>
      </c>
      <c r="O228" t="s">
        <v>69</v>
      </c>
      <c r="P228" t="s">
        <v>41</v>
      </c>
      <c r="Q228" t="s">
        <v>62</v>
      </c>
      <c r="R228">
        <v>2793</v>
      </c>
      <c r="S228">
        <v>2539</v>
      </c>
      <c r="T228">
        <v>4</v>
      </c>
      <c r="U228" t="s">
        <v>46</v>
      </c>
      <c r="V228">
        <v>17</v>
      </c>
      <c r="W228" t="s">
        <v>43</v>
      </c>
      <c r="X228" t="s">
        <v>38</v>
      </c>
      <c r="Y228">
        <v>1</v>
      </c>
      <c r="Z228">
        <v>13</v>
      </c>
      <c r="AA228">
        <v>2</v>
      </c>
      <c r="AB228" t="s">
        <v>54</v>
      </c>
      <c r="AC228">
        <v>9</v>
      </c>
      <c r="AD228" t="str" cm="1">
        <f t="array" ref="AD228">_xlfn.IFS(AC228&lt;=5,"0-5",AC228&lt;=10,"5-10",AC228&lt;=40,"10-40")</f>
        <v>5-10</v>
      </c>
      <c r="AE228">
        <v>8</v>
      </c>
      <c r="AF228">
        <v>5</v>
      </c>
      <c r="AG228">
        <v>8</v>
      </c>
      <c r="AH228">
        <v>227</v>
      </c>
    </row>
    <row r="229" spans="1:34" x14ac:dyDescent="0.3">
      <c r="A229">
        <v>29</v>
      </c>
      <c r="B229" t="str" cm="1">
        <f t="array" ref="B229">_xlfn.IFS(A229&lt;=25,"18-25",A229&lt;=35,"26-35",A229&lt;=45,"36-45",A229&lt;=55,"46-55",A229&gt;55,"55+")</f>
        <v>26-35</v>
      </c>
      <c r="C229">
        <v>0</v>
      </c>
      <c r="D229" t="s">
        <v>47</v>
      </c>
      <c r="E229">
        <v>1413</v>
      </c>
      <c r="F229" t="s">
        <v>33</v>
      </c>
      <c r="G229">
        <v>1</v>
      </c>
      <c r="H229" t="s">
        <v>49</v>
      </c>
      <c r="I229" t="s">
        <v>59</v>
      </c>
      <c r="J229" t="s">
        <v>36</v>
      </c>
      <c r="K229" t="s">
        <v>37</v>
      </c>
      <c r="L229">
        <v>42</v>
      </c>
      <c r="M229" t="s">
        <v>38</v>
      </c>
      <c r="N229" t="s">
        <v>63</v>
      </c>
      <c r="O229" t="s">
        <v>40</v>
      </c>
      <c r="P229" t="s">
        <v>41</v>
      </c>
      <c r="Q229" t="s">
        <v>52</v>
      </c>
      <c r="R229">
        <v>7918</v>
      </c>
      <c r="S229">
        <v>6599</v>
      </c>
      <c r="T229">
        <v>1</v>
      </c>
      <c r="U229" t="s">
        <v>46</v>
      </c>
      <c r="V229">
        <v>14</v>
      </c>
      <c r="W229" t="s">
        <v>43</v>
      </c>
      <c r="X229" t="s">
        <v>41</v>
      </c>
      <c r="Y229">
        <v>1</v>
      </c>
      <c r="Z229">
        <v>11</v>
      </c>
      <c r="AA229">
        <v>5</v>
      </c>
      <c r="AB229" t="s">
        <v>54</v>
      </c>
      <c r="AC229">
        <v>11</v>
      </c>
      <c r="AD229" t="str" cm="1">
        <f t="array" ref="AD229">_xlfn.IFS(AC229&lt;=5,"0-5",AC229&lt;=10,"5-10",AC229&lt;=40,"10-40")</f>
        <v>10-40</v>
      </c>
      <c r="AE229">
        <v>10</v>
      </c>
      <c r="AF229">
        <v>4</v>
      </c>
      <c r="AG229">
        <v>1</v>
      </c>
      <c r="AH229">
        <v>228</v>
      </c>
    </row>
    <row r="230" spans="1:34" x14ac:dyDescent="0.3">
      <c r="A230">
        <v>35</v>
      </c>
      <c r="B230" t="str" cm="1">
        <f t="array" ref="B230">_xlfn.IFS(A230&lt;=25,"18-25",A230&lt;=35,"26-35",A230&lt;=45,"36-45",A230&lt;=55,"46-55",A230&gt;55,"55+")</f>
        <v>26-35</v>
      </c>
      <c r="C230">
        <v>0</v>
      </c>
      <c r="D230" t="s">
        <v>47</v>
      </c>
      <c r="E230">
        <v>944</v>
      </c>
      <c r="F230" t="s">
        <v>33</v>
      </c>
      <c r="G230">
        <v>1</v>
      </c>
      <c r="H230" t="s">
        <v>61</v>
      </c>
      <c r="I230" t="s">
        <v>72</v>
      </c>
      <c r="J230" t="s">
        <v>38</v>
      </c>
      <c r="K230" t="s">
        <v>37</v>
      </c>
      <c r="L230">
        <v>92</v>
      </c>
      <c r="M230" t="s">
        <v>38</v>
      </c>
      <c r="N230" t="s">
        <v>63</v>
      </c>
      <c r="O230" t="s">
        <v>40</v>
      </c>
      <c r="P230" t="s">
        <v>38</v>
      </c>
      <c r="Q230" t="s">
        <v>42</v>
      </c>
      <c r="R230">
        <v>8789</v>
      </c>
      <c r="S230">
        <v>9096</v>
      </c>
      <c r="T230">
        <v>1</v>
      </c>
      <c r="U230" t="s">
        <v>46</v>
      </c>
      <c r="V230">
        <v>14</v>
      </c>
      <c r="W230" t="s">
        <v>43</v>
      </c>
      <c r="X230" t="s">
        <v>44</v>
      </c>
      <c r="Y230">
        <v>0</v>
      </c>
      <c r="Z230">
        <v>10</v>
      </c>
      <c r="AA230">
        <v>3</v>
      </c>
      <c r="AB230" t="s">
        <v>73</v>
      </c>
      <c r="AC230">
        <v>10</v>
      </c>
      <c r="AD230" t="str" cm="1">
        <f t="array" ref="AD230">_xlfn.IFS(AC230&lt;=5,"0-5",AC230&lt;=10,"5-10",AC230&lt;=40,"10-40")</f>
        <v>5-10</v>
      </c>
      <c r="AE230">
        <v>7</v>
      </c>
      <c r="AF230">
        <v>0</v>
      </c>
      <c r="AG230">
        <v>8</v>
      </c>
      <c r="AH230">
        <v>229</v>
      </c>
    </row>
    <row r="231" spans="1:34" x14ac:dyDescent="0.3">
      <c r="A231">
        <v>29</v>
      </c>
      <c r="B231" t="str" cm="1">
        <f t="array" ref="B231">_xlfn.IFS(A231&lt;=25,"18-25",A231&lt;=35,"26-35",A231&lt;=45,"36-45",A231&lt;=55,"46-55",A231&gt;55,"55+")</f>
        <v>26-35</v>
      </c>
      <c r="C231">
        <v>1</v>
      </c>
      <c r="D231" t="s">
        <v>32</v>
      </c>
      <c r="E231">
        <v>896</v>
      </c>
      <c r="F231" t="s">
        <v>48</v>
      </c>
      <c r="G231">
        <v>18</v>
      </c>
      <c r="H231" t="s">
        <v>49</v>
      </c>
      <c r="I231" t="s">
        <v>59</v>
      </c>
      <c r="J231" t="s">
        <v>38</v>
      </c>
      <c r="K231" t="s">
        <v>50</v>
      </c>
      <c r="L231">
        <v>86</v>
      </c>
      <c r="M231" t="s">
        <v>36</v>
      </c>
      <c r="N231" t="s">
        <v>56</v>
      </c>
      <c r="O231" t="s">
        <v>51</v>
      </c>
      <c r="P231" t="s">
        <v>41</v>
      </c>
      <c r="Q231" t="s">
        <v>42</v>
      </c>
      <c r="R231">
        <v>2389</v>
      </c>
      <c r="S231">
        <v>14961</v>
      </c>
      <c r="T231">
        <v>1</v>
      </c>
      <c r="U231" t="s">
        <v>31</v>
      </c>
      <c r="V231">
        <v>13</v>
      </c>
      <c r="W231" t="s">
        <v>43</v>
      </c>
      <c r="X231" t="s">
        <v>38</v>
      </c>
      <c r="Y231">
        <v>0</v>
      </c>
      <c r="Z231">
        <v>4</v>
      </c>
      <c r="AA231">
        <v>3</v>
      </c>
      <c r="AB231" t="s">
        <v>60</v>
      </c>
      <c r="AC231">
        <v>4</v>
      </c>
      <c r="AD231" t="str" cm="1">
        <f t="array" ref="AD231">_xlfn.IFS(AC231&lt;=5,"0-5",AC231&lt;=10,"5-10",AC231&lt;=40,"10-40")</f>
        <v>0-5</v>
      </c>
      <c r="AE231">
        <v>3</v>
      </c>
      <c r="AF231">
        <v>0</v>
      </c>
      <c r="AG231">
        <v>1</v>
      </c>
      <c r="AH231">
        <v>230</v>
      </c>
    </row>
    <row r="232" spans="1:34" x14ac:dyDescent="0.3">
      <c r="A232">
        <v>52</v>
      </c>
      <c r="B232" t="str" cm="1">
        <f t="array" ref="B232">_xlfn.IFS(A232&lt;=25,"18-25",A232&lt;=35,"26-35",A232&lt;=45,"36-45",A232&lt;=55,"46-55",A232&gt;55,"55+")</f>
        <v>46-55</v>
      </c>
      <c r="C232">
        <v>0</v>
      </c>
      <c r="D232" t="s">
        <v>32</v>
      </c>
      <c r="E232">
        <v>1323</v>
      </c>
      <c r="F232" t="s">
        <v>48</v>
      </c>
      <c r="G232">
        <v>2</v>
      </c>
      <c r="H232" t="s">
        <v>61</v>
      </c>
      <c r="I232" t="s">
        <v>35</v>
      </c>
      <c r="J232" t="s">
        <v>38</v>
      </c>
      <c r="K232" t="s">
        <v>37</v>
      </c>
      <c r="L232">
        <v>89</v>
      </c>
      <c r="M232" t="s">
        <v>36</v>
      </c>
      <c r="N232" t="s">
        <v>56</v>
      </c>
      <c r="O232" t="s">
        <v>57</v>
      </c>
      <c r="P232" t="s">
        <v>41</v>
      </c>
      <c r="Q232" t="s">
        <v>42</v>
      </c>
      <c r="R232">
        <v>3212</v>
      </c>
      <c r="S232">
        <v>3300</v>
      </c>
      <c r="T232">
        <v>7</v>
      </c>
      <c r="U232" t="s">
        <v>46</v>
      </c>
      <c r="V232">
        <v>15</v>
      </c>
      <c r="W232" t="s">
        <v>43</v>
      </c>
      <c r="X232" t="s">
        <v>36</v>
      </c>
      <c r="Y232">
        <v>0</v>
      </c>
      <c r="Z232">
        <v>6</v>
      </c>
      <c r="AA232">
        <v>3</v>
      </c>
      <c r="AB232" t="s">
        <v>60</v>
      </c>
      <c r="AC232">
        <v>2</v>
      </c>
      <c r="AD232" t="str" cm="1">
        <f t="array" ref="AD232">_xlfn.IFS(AC232&lt;=5,"0-5",AC232&lt;=10,"5-10",AC232&lt;=40,"10-40")</f>
        <v>0-5</v>
      </c>
      <c r="AE232">
        <v>2</v>
      </c>
      <c r="AF232">
        <v>2</v>
      </c>
      <c r="AG232">
        <v>2</v>
      </c>
      <c r="AH232">
        <v>231</v>
      </c>
    </row>
    <row r="233" spans="1:34" x14ac:dyDescent="0.3">
      <c r="A233">
        <v>42</v>
      </c>
      <c r="B233" t="str" cm="1">
        <f t="array" ref="B233">_xlfn.IFS(A233&lt;=25,"18-25",A233&lt;=35,"26-35",A233&lt;=45,"36-45",A233&lt;=55,"46-55",A233&gt;55,"55+")</f>
        <v>36-45</v>
      </c>
      <c r="C233">
        <v>0</v>
      </c>
      <c r="D233" t="s">
        <v>32</v>
      </c>
      <c r="E233">
        <v>532</v>
      </c>
      <c r="F233" t="s">
        <v>48</v>
      </c>
      <c r="G233">
        <v>4</v>
      </c>
      <c r="H233" t="s">
        <v>34</v>
      </c>
      <c r="I233" t="s">
        <v>74</v>
      </c>
      <c r="J233" t="s">
        <v>38</v>
      </c>
      <c r="K233" t="s">
        <v>50</v>
      </c>
      <c r="L233">
        <v>58</v>
      </c>
      <c r="M233" t="s">
        <v>38</v>
      </c>
      <c r="N233" t="s">
        <v>71</v>
      </c>
      <c r="O233" t="s">
        <v>68</v>
      </c>
      <c r="P233" t="s">
        <v>41</v>
      </c>
      <c r="Q233" t="s">
        <v>52</v>
      </c>
      <c r="R233">
        <v>19232</v>
      </c>
      <c r="S233">
        <v>4933</v>
      </c>
      <c r="T233">
        <v>1</v>
      </c>
      <c r="U233" t="s">
        <v>46</v>
      </c>
      <c r="V233">
        <v>11</v>
      </c>
      <c r="W233" t="s">
        <v>43</v>
      </c>
      <c r="X233" t="s">
        <v>41</v>
      </c>
      <c r="Y233">
        <v>0</v>
      </c>
      <c r="Z233">
        <v>22</v>
      </c>
      <c r="AA233">
        <v>3</v>
      </c>
      <c r="AB233" t="s">
        <v>54</v>
      </c>
      <c r="AC233">
        <v>22</v>
      </c>
      <c r="AD233" t="str" cm="1">
        <f t="array" ref="AD233">_xlfn.IFS(AC233&lt;=5,"0-5",AC233&lt;=10,"5-10",AC233&lt;=40,"10-40")</f>
        <v>10-40</v>
      </c>
      <c r="AE233">
        <v>17</v>
      </c>
      <c r="AF233">
        <v>11</v>
      </c>
      <c r="AG233">
        <v>15</v>
      </c>
      <c r="AH233">
        <v>232</v>
      </c>
    </row>
    <row r="234" spans="1:34" x14ac:dyDescent="0.3">
      <c r="A234">
        <v>59</v>
      </c>
      <c r="B234" t="str" cm="1">
        <f t="array" ref="B234">_xlfn.IFS(A234&lt;=25,"18-25",A234&lt;=35,"26-35",A234&lt;=45,"36-45",A234&lt;=55,"46-55",A234&gt;55,"55+")</f>
        <v>55+</v>
      </c>
      <c r="C234">
        <v>0</v>
      </c>
      <c r="D234" t="s">
        <v>32</v>
      </c>
      <c r="E234">
        <v>818</v>
      </c>
      <c r="F234" t="s">
        <v>76</v>
      </c>
      <c r="G234">
        <v>6</v>
      </c>
      <c r="H234" t="s">
        <v>34</v>
      </c>
      <c r="I234" t="s">
        <v>59</v>
      </c>
      <c r="J234" t="s">
        <v>36</v>
      </c>
      <c r="K234" t="s">
        <v>50</v>
      </c>
      <c r="L234">
        <v>52</v>
      </c>
      <c r="M234" t="s">
        <v>38</v>
      </c>
      <c r="N234" t="s">
        <v>56</v>
      </c>
      <c r="O234" t="s">
        <v>76</v>
      </c>
      <c r="P234" t="s">
        <v>38</v>
      </c>
      <c r="Q234" t="s">
        <v>52</v>
      </c>
      <c r="R234">
        <v>2267</v>
      </c>
      <c r="S234">
        <v>25657</v>
      </c>
      <c r="T234">
        <v>8</v>
      </c>
      <c r="U234" t="s">
        <v>46</v>
      </c>
      <c r="V234">
        <v>17</v>
      </c>
      <c r="W234" t="s">
        <v>43</v>
      </c>
      <c r="X234" t="s">
        <v>41</v>
      </c>
      <c r="Y234">
        <v>0</v>
      </c>
      <c r="Z234">
        <v>7</v>
      </c>
      <c r="AA234">
        <v>2</v>
      </c>
      <c r="AB234" t="s">
        <v>60</v>
      </c>
      <c r="AC234">
        <v>2</v>
      </c>
      <c r="AD234" t="str" cm="1">
        <f t="array" ref="AD234">_xlfn.IFS(AC234&lt;=5,"0-5",AC234&lt;=10,"5-10",AC234&lt;=40,"10-40")</f>
        <v>0-5</v>
      </c>
      <c r="AE234">
        <v>2</v>
      </c>
      <c r="AF234">
        <v>2</v>
      </c>
      <c r="AG234">
        <v>2</v>
      </c>
      <c r="AH234">
        <v>233</v>
      </c>
    </row>
    <row r="235" spans="1:34" x14ac:dyDescent="0.3">
      <c r="A235">
        <v>50</v>
      </c>
      <c r="B235" t="str" cm="1">
        <f t="array" ref="B235">_xlfn.IFS(A235&lt;=25,"18-25",A235&lt;=35,"26-35",A235&lt;=45,"36-45",A235&lt;=55,"46-55",A235&gt;55,"55+")</f>
        <v>46-55</v>
      </c>
      <c r="C235">
        <v>0</v>
      </c>
      <c r="D235" t="s">
        <v>32</v>
      </c>
      <c r="E235">
        <v>854</v>
      </c>
      <c r="F235" t="s">
        <v>33</v>
      </c>
      <c r="G235">
        <v>1</v>
      </c>
      <c r="H235" t="s">
        <v>58</v>
      </c>
      <c r="I235" t="s">
        <v>59</v>
      </c>
      <c r="J235" t="s">
        <v>41</v>
      </c>
      <c r="K235" t="s">
        <v>37</v>
      </c>
      <c r="L235">
        <v>68</v>
      </c>
      <c r="M235" t="s">
        <v>38</v>
      </c>
      <c r="N235" t="s">
        <v>71</v>
      </c>
      <c r="O235" t="s">
        <v>68</v>
      </c>
      <c r="P235" t="s">
        <v>41</v>
      </c>
      <c r="Q235" t="s">
        <v>62</v>
      </c>
      <c r="R235">
        <v>19517</v>
      </c>
      <c r="S235">
        <v>24118</v>
      </c>
      <c r="T235">
        <v>3</v>
      </c>
      <c r="U235" t="s">
        <v>46</v>
      </c>
      <c r="V235">
        <v>11</v>
      </c>
      <c r="W235" t="s">
        <v>43</v>
      </c>
      <c r="X235" t="s">
        <v>38</v>
      </c>
      <c r="Y235">
        <v>1</v>
      </c>
      <c r="Z235">
        <v>32</v>
      </c>
      <c r="AA235">
        <v>3</v>
      </c>
      <c r="AB235" t="s">
        <v>60</v>
      </c>
      <c r="AC235">
        <v>7</v>
      </c>
      <c r="AD235" t="str" cm="1">
        <f t="array" ref="AD235">_xlfn.IFS(AC235&lt;=5,"0-5",AC235&lt;=10,"5-10",AC235&lt;=40,"10-40")</f>
        <v>5-10</v>
      </c>
      <c r="AE235">
        <v>0</v>
      </c>
      <c r="AF235">
        <v>0</v>
      </c>
      <c r="AG235">
        <v>6</v>
      </c>
      <c r="AH235">
        <v>234</v>
      </c>
    </row>
    <row r="236" spans="1:34" x14ac:dyDescent="0.3">
      <c r="A236">
        <v>33</v>
      </c>
      <c r="B236" t="str" cm="1">
        <f t="array" ref="B236">_xlfn.IFS(A236&lt;=25,"18-25",A236&lt;=35,"26-35",A236&lt;=45,"36-45",A236&lt;=55,"46-55",A236&gt;55,"55+")</f>
        <v>26-35</v>
      </c>
      <c r="C236">
        <v>1</v>
      </c>
      <c r="D236" t="s">
        <v>32</v>
      </c>
      <c r="E236">
        <v>813</v>
      </c>
      <c r="F236" t="s">
        <v>48</v>
      </c>
      <c r="G236">
        <v>14</v>
      </c>
      <c r="H236" t="s">
        <v>61</v>
      </c>
      <c r="I236" t="s">
        <v>59</v>
      </c>
      <c r="J236" t="s">
        <v>38</v>
      </c>
      <c r="K236" t="s">
        <v>50</v>
      </c>
      <c r="L236">
        <v>58</v>
      </c>
      <c r="M236" t="s">
        <v>38</v>
      </c>
      <c r="N236" t="s">
        <v>56</v>
      </c>
      <c r="O236" t="s">
        <v>57</v>
      </c>
      <c r="P236" t="s">
        <v>41</v>
      </c>
      <c r="Q236" t="s">
        <v>52</v>
      </c>
      <c r="R236">
        <v>2436</v>
      </c>
      <c r="S236">
        <v>22149</v>
      </c>
      <c r="T236">
        <v>5</v>
      </c>
      <c r="U236" t="s">
        <v>31</v>
      </c>
      <c r="V236">
        <v>13</v>
      </c>
      <c r="W236" t="s">
        <v>43</v>
      </c>
      <c r="X236" t="s">
        <v>38</v>
      </c>
      <c r="Y236">
        <v>1</v>
      </c>
      <c r="Z236">
        <v>8</v>
      </c>
      <c r="AA236">
        <v>2</v>
      </c>
      <c r="AB236" t="s">
        <v>45</v>
      </c>
      <c r="AC236">
        <v>5</v>
      </c>
      <c r="AD236" t="str" cm="1">
        <f t="array" ref="AD236">_xlfn.IFS(AC236&lt;=5,"0-5",AC236&lt;=10,"5-10",AC236&lt;=40,"10-40")</f>
        <v>0-5</v>
      </c>
      <c r="AE236">
        <v>4</v>
      </c>
      <c r="AF236">
        <v>0</v>
      </c>
      <c r="AG236">
        <v>4</v>
      </c>
      <c r="AH236">
        <v>235</v>
      </c>
    </row>
    <row r="237" spans="1:34" x14ac:dyDescent="0.3">
      <c r="A237">
        <v>43</v>
      </c>
      <c r="B237" t="str" cm="1">
        <f t="array" ref="B237">_xlfn.IFS(A237&lt;=25,"18-25",A237&lt;=35,"26-35",A237&lt;=45,"36-45",A237&lt;=55,"46-55",A237&gt;55,"55+")</f>
        <v>36-45</v>
      </c>
      <c r="C237">
        <v>0</v>
      </c>
      <c r="D237" t="s">
        <v>32</v>
      </c>
      <c r="E237">
        <v>1034</v>
      </c>
      <c r="F237" t="s">
        <v>33</v>
      </c>
      <c r="G237">
        <v>16</v>
      </c>
      <c r="H237" t="s">
        <v>61</v>
      </c>
      <c r="I237" t="s">
        <v>72</v>
      </c>
      <c r="J237" t="s">
        <v>41</v>
      </c>
      <c r="K237" t="s">
        <v>37</v>
      </c>
      <c r="L237">
        <v>80</v>
      </c>
      <c r="M237" t="s">
        <v>38</v>
      </c>
      <c r="N237" t="s">
        <v>67</v>
      </c>
      <c r="O237" t="s">
        <v>68</v>
      </c>
      <c r="P237" t="s">
        <v>41</v>
      </c>
      <c r="Q237" t="s">
        <v>52</v>
      </c>
      <c r="R237">
        <v>16064</v>
      </c>
      <c r="S237">
        <v>7744</v>
      </c>
      <c r="T237">
        <v>5</v>
      </c>
      <c r="U237" t="s">
        <v>31</v>
      </c>
      <c r="V237">
        <v>22</v>
      </c>
      <c r="W237" t="s">
        <v>53</v>
      </c>
      <c r="X237" t="s">
        <v>38</v>
      </c>
      <c r="Y237">
        <v>1</v>
      </c>
      <c r="Z237">
        <v>22</v>
      </c>
      <c r="AA237">
        <v>3</v>
      </c>
      <c r="AB237" t="s">
        <v>54</v>
      </c>
      <c r="AC237">
        <v>17</v>
      </c>
      <c r="AD237" t="str" cm="1">
        <f t="array" ref="AD237">_xlfn.IFS(AC237&lt;=5,"0-5",AC237&lt;=10,"5-10",AC237&lt;=40,"10-40")</f>
        <v>10-40</v>
      </c>
      <c r="AE237">
        <v>13</v>
      </c>
      <c r="AF237">
        <v>1</v>
      </c>
      <c r="AG237">
        <v>9</v>
      </c>
      <c r="AH237">
        <v>236</v>
      </c>
    </row>
    <row r="238" spans="1:34" x14ac:dyDescent="0.3">
      <c r="A238">
        <v>33</v>
      </c>
      <c r="B238" t="str" cm="1">
        <f t="array" ref="B238">_xlfn.IFS(A238&lt;=25,"18-25",A238&lt;=35,"26-35",A238&lt;=45,"36-45",A238&lt;=55,"46-55",A238&gt;55,"55+")</f>
        <v>26-35</v>
      </c>
      <c r="C238">
        <v>1</v>
      </c>
      <c r="D238" t="s">
        <v>32</v>
      </c>
      <c r="E238">
        <v>465</v>
      </c>
      <c r="F238" t="s">
        <v>48</v>
      </c>
      <c r="G238">
        <v>2</v>
      </c>
      <c r="H238" t="s">
        <v>34</v>
      </c>
      <c r="I238" t="s">
        <v>35</v>
      </c>
      <c r="J238" t="s">
        <v>44</v>
      </c>
      <c r="K238" t="s">
        <v>37</v>
      </c>
      <c r="L238">
        <v>39</v>
      </c>
      <c r="M238" t="s">
        <v>38</v>
      </c>
      <c r="N238" t="s">
        <v>56</v>
      </c>
      <c r="O238" t="s">
        <v>57</v>
      </c>
      <c r="P238" t="s">
        <v>44</v>
      </c>
      <c r="Q238" t="s">
        <v>52</v>
      </c>
      <c r="R238">
        <v>2707</v>
      </c>
      <c r="S238">
        <v>21509</v>
      </c>
      <c r="T238">
        <v>7</v>
      </c>
      <c r="U238" t="s">
        <v>46</v>
      </c>
      <c r="V238">
        <v>20</v>
      </c>
      <c r="W238" t="s">
        <v>53</v>
      </c>
      <c r="X238" t="s">
        <v>44</v>
      </c>
      <c r="Y238">
        <v>0</v>
      </c>
      <c r="Z238">
        <v>13</v>
      </c>
      <c r="AA238">
        <v>3</v>
      </c>
      <c r="AB238" t="s">
        <v>73</v>
      </c>
      <c r="AC238">
        <v>9</v>
      </c>
      <c r="AD238" t="str" cm="1">
        <f t="array" ref="AD238">_xlfn.IFS(AC238&lt;=5,"0-5",AC238&lt;=10,"5-10",AC238&lt;=40,"10-40")</f>
        <v>5-10</v>
      </c>
      <c r="AE238">
        <v>7</v>
      </c>
      <c r="AF238">
        <v>1</v>
      </c>
      <c r="AG238">
        <v>7</v>
      </c>
      <c r="AH238">
        <v>237</v>
      </c>
    </row>
    <row r="239" spans="1:34" x14ac:dyDescent="0.3">
      <c r="A239">
        <v>52</v>
      </c>
      <c r="B239" t="str" cm="1">
        <f t="array" ref="B239">_xlfn.IFS(A239&lt;=25,"18-25",A239&lt;=35,"26-35",A239&lt;=45,"36-45",A239&lt;=55,"46-55",A239&gt;55,"55+")</f>
        <v>46-55</v>
      </c>
      <c r="C239">
        <v>0</v>
      </c>
      <c r="D239" t="s">
        <v>66</v>
      </c>
      <c r="E239">
        <v>771</v>
      </c>
      <c r="F239" t="s">
        <v>33</v>
      </c>
      <c r="G239">
        <v>2</v>
      </c>
      <c r="H239" t="s">
        <v>58</v>
      </c>
      <c r="I239" t="s">
        <v>35</v>
      </c>
      <c r="J239" t="s">
        <v>44</v>
      </c>
      <c r="K239" t="s">
        <v>50</v>
      </c>
      <c r="L239">
        <v>79</v>
      </c>
      <c r="M239" t="s">
        <v>36</v>
      </c>
      <c r="N239" t="s">
        <v>71</v>
      </c>
      <c r="O239" t="s">
        <v>68</v>
      </c>
      <c r="P239" t="s">
        <v>38</v>
      </c>
      <c r="Q239" t="s">
        <v>42</v>
      </c>
      <c r="R239">
        <v>19068</v>
      </c>
      <c r="S239">
        <v>21030</v>
      </c>
      <c r="T239">
        <v>1</v>
      </c>
      <c r="U239" t="s">
        <v>31</v>
      </c>
      <c r="V239">
        <v>18</v>
      </c>
      <c r="W239" t="s">
        <v>43</v>
      </c>
      <c r="X239" t="s">
        <v>41</v>
      </c>
      <c r="Y239">
        <v>0</v>
      </c>
      <c r="Z239">
        <v>33</v>
      </c>
      <c r="AA239">
        <v>2</v>
      </c>
      <c r="AB239" t="s">
        <v>73</v>
      </c>
      <c r="AC239">
        <v>33</v>
      </c>
      <c r="AD239" t="str" cm="1">
        <f t="array" ref="AD239">_xlfn.IFS(AC239&lt;=5,"0-5",AC239&lt;=10,"5-10",AC239&lt;=40,"10-40")</f>
        <v>10-40</v>
      </c>
      <c r="AE239">
        <v>7</v>
      </c>
      <c r="AF239">
        <v>15</v>
      </c>
      <c r="AG239">
        <v>12</v>
      </c>
      <c r="AH239">
        <v>238</v>
      </c>
    </row>
    <row r="240" spans="1:34" x14ac:dyDescent="0.3">
      <c r="A240">
        <v>32</v>
      </c>
      <c r="B240" t="str" cm="1">
        <f t="array" ref="B240">_xlfn.IFS(A240&lt;=25,"18-25",A240&lt;=35,"26-35",A240&lt;=45,"36-45",A240&lt;=55,"46-55",A240&gt;55,"55+")</f>
        <v>26-35</v>
      </c>
      <c r="C240">
        <v>0</v>
      </c>
      <c r="D240" t="s">
        <v>32</v>
      </c>
      <c r="E240">
        <v>1401</v>
      </c>
      <c r="F240" t="s">
        <v>33</v>
      </c>
      <c r="G240">
        <v>4</v>
      </c>
      <c r="H240" t="s">
        <v>34</v>
      </c>
      <c r="I240" t="s">
        <v>35</v>
      </c>
      <c r="J240" t="s">
        <v>38</v>
      </c>
      <c r="K240" t="s">
        <v>37</v>
      </c>
      <c r="L240">
        <v>56</v>
      </c>
      <c r="M240" t="s">
        <v>38</v>
      </c>
      <c r="N240" t="s">
        <v>56</v>
      </c>
      <c r="O240" t="s">
        <v>69</v>
      </c>
      <c r="P240" t="s">
        <v>36</v>
      </c>
      <c r="Q240" t="s">
        <v>52</v>
      </c>
      <c r="R240">
        <v>3931</v>
      </c>
      <c r="S240">
        <v>20990</v>
      </c>
      <c r="T240">
        <v>2</v>
      </c>
      <c r="U240" t="s">
        <v>46</v>
      </c>
      <c r="V240">
        <v>11</v>
      </c>
      <c r="W240" t="s">
        <v>43</v>
      </c>
      <c r="X240" t="s">
        <v>44</v>
      </c>
      <c r="Y240">
        <v>1</v>
      </c>
      <c r="Z240">
        <v>6</v>
      </c>
      <c r="AA240">
        <v>5</v>
      </c>
      <c r="AB240" t="s">
        <v>54</v>
      </c>
      <c r="AC240">
        <v>4</v>
      </c>
      <c r="AD240" t="str" cm="1">
        <f t="array" ref="AD240">_xlfn.IFS(AC240&lt;=5,"0-5",AC240&lt;=10,"5-10",AC240&lt;=40,"10-40")</f>
        <v>0-5</v>
      </c>
      <c r="AE240">
        <v>3</v>
      </c>
      <c r="AF240">
        <v>1</v>
      </c>
      <c r="AG240">
        <v>2</v>
      </c>
      <c r="AH240">
        <v>239</v>
      </c>
    </row>
    <row r="241" spans="1:34" x14ac:dyDescent="0.3">
      <c r="A241">
        <v>32</v>
      </c>
      <c r="B241" t="str" cm="1">
        <f t="array" ref="B241">_xlfn.IFS(A241&lt;=25,"18-25",A241&lt;=35,"26-35",A241&lt;=45,"36-45",A241&lt;=55,"46-55",A241&gt;55,"55+")</f>
        <v>26-35</v>
      </c>
      <c r="C241">
        <v>1</v>
      </c>
      <c r="D241" t="s">
        <v>32</v>
      </c>
      <c r="E241">
        <v>515</v>
      </c>
      <c r="F241" t="s">
        <v>48</v>
      </c>
      <c r="G241">
        <v>1</v>
      </c>
      <c r="H241" t="s">
        <v>61</v>
      </c>
      <c r="I241" t="s">
        <v>35</v>
      </c>
      <c r="J241" t="s">
        <v>41</v>
      </c>
      <c r="K241" t="s">
        <v>50</v>
      </c>
      <c r="L241">
        <v>62</v>
      </c>
      <c r="M241" t="s">
        <v>36</v>
      </c>
      <c r="N241" t="s">
        <v>56</v>
      </c>
      <c r="O241" t="s">
        <v>57</v>
      </c>
      <c r="P241" t="s">
        <v>38</v>
      </c>
      <c r="Q241" t="s">
        <v>42</v>
      </c>
      <c r="R241">
        <v>3730</v>
      </c>
      <c r="S241">
        <v>9571</v>
      </c>
      <c r="T241">
        <v>0</v>
      </c>
      <c r="U241" t="s">
        <v>31</v>
      </c>
      <c r="V241">
        <v>14</v>
      </c>
      <c r="W241" t="s">
        <v>43</v>
      </c>
      <c r="X241" t="s">
        <v>41</v>
      </c>
      <c r="Y241">
        <v>0</v>
      </c>
      <c r="Z241">
        <v>4</v>
      </c>
      <c r="AA241">
        <v>2</v>
      </c>
      <c r="AB241" t="s">
        <v>45</v>
      </c>
      <c r="AC241">
        <v>3</v>
      </c>
      <c r="AD241" t="str" cm="1">
        <f t="array" ref="AD241">_xlfn.IFS(AC241&lt;=5,"0-5",AC241&lt;=10,"5-10",AC241&lt;=40,"10-40")</f>
        <v>0-5</v>
      </c>
      <c r="AE241">
        <v>2</v>
      </c>
      <c r="AF241">
        <v>1</v>
      </c>
      <c r="AG241">
        <v>2</v>
      </c>
      <c r="AH241">
        <v>240</v>
      </c>
    </row>
    <row r="242" spans="1:34" x14ac:dyDescent="0.3">
      <c r="A242">
        <v>39</v>
      </c>
      <c r="B242" t="str" cm="1">
        <f t="array" ref="B242">_xlfn.IFS(A242&lt;=25,"18-25",A242&lt;=35,"26-35",A242&lt;=45,"36-45",A242&lt;=55,"46-55",A242&gt;55,"55+")</f>
        <v>36-45</v>
      </c>
      <c r="C242">
        <v>0</v>
      </c>
      <c r="D242" t="s">
        <v>32</v>
      </c>
      <c r="E242">
        <v>1431</v>
      </c>
      <c r="F242" t="s">
        <v>48</v>
      </c>
      <c r="G242">
        <v>1</v>
      </c>
      <c r="H242" t="s">
        <v>58</v>
      </c>
      <c r="I242" t="s">
        <v>59</v>
      </c>
      <c r="J242" t="s">
        <v>38</v>
      </c>
      <c r="K242" t="s">
        <v>37</v>
      </c>
      <c r="L242">
        <v>96</v>
      </c>
      <c r="M242" t="s">
        <v>38</v>
      </c>
      <c r="N242" t="s">
        <v>56</v>
      </c>
      <c r="O242" t="s">
        <v>57</v>
      </c>
      <c r="P242" t="s">
        <v>38</v>
      </c>
      <c r="Q242" t="s">
        <v>62</v>
      </c>
      <c r="R242">
        <v>2232</v>
      </c>
      <c r="S242">
        <v>15417</v>
      </c>
      <c r="T242">
        <v>7</v>
      </c>
      <c r="U242" t="s">
        <v>46</v>
      </c>
      <c r="V242">
        <v>14</v>
      </c>
      <c r="W242" t="s">
        <v>43</v>
      </c>
      <c r="X242" t="s">
        <v>38</v>
      </c>
      <c r="Y242">
        <v>3</v>
      </c>
      <c r="Z242">
        <v>7</v>
      </c>
      <c r="AA242">
        <v>1</v>
      </c>
      <c r="AB242" t="s">
        <v>54</v>
      </c>
      <c r="AC242">
        <v>3</v>
      </c>
      <c r="AD242" t="str" cm="1">
        <f t="array" ref="AD242">_xlfn.IFS(AC242&lt;=5,"0-5",AC242&lt;=10,"5-10",AC242&lt;=40,"10-40")</f>
        <v>0-5</v>
      </c>
      <c r="AE242">
        <v>2</v>
      </c>
      <c r="AF242">
        <v>1</v>
      </c>
      <c r="AG242">
        <v>2</v>
      </c>
      <c r="AH242">
        <v>241</v>
      </c>
    </row>
    <row r="243" spans="1:34" x14ac:dyDescent="0.3">
      <c r="A243">
        <v>32</v>
      </c>
      <c r="B243" t="str" cm="1">
        <f t="array" ref="B243">_xlfn.IFS(A243&lt;=25,"18-25",A243&lt;=35,"26-35",A243&lt;=45,"36-45",A243&lt;=55,"46-55",A243&gt;55,"55+")</f>
        <v>26-35</v>
      </c>
      <c r="C243">
        <v>0</v>
      </c>
      <c r="D243" t="s">
        <v>66</v>
      </c>
      <c r="E243">
        <v>976</v>
      </c>
      <c r="F243" t="s">
        <v>33</v>
      </c>
      <c r="G243">
        <v>26</v>
      </c>
      <c r="H243" t="s">
        <v>58</v>
      </c>
      <c r="I243" t="s">
        <v>72</v>
      </c>
      <c r="J243" t="s">
        <v>38</v>
      </c>
      <c r="K243" t="s">
        <v>50</v>
      </c>
      <c r="L243">
        <v>100</v>
      </c>
      <c r="M243" t="s">
        <v>38</v>
      </c>
      <c r="N243" t="s">
        <v>39</v>
      </c>
      <c r="O243" t="s">
        <v>40</v>
      </c>
      <c r="P243" t="s">
        <v>41</v>
      </c>
      <c r="Q243" t="s">
        <v>52</v>
      </c>
      <c r="R243">
        <v>4465</v>
      </c>
      <c r="S243">
        <v>12069</v>
      </c>
      <c r="T243">
        <v>0</v>
      </c>
      <c r="U243" t="s">
        <v>46</v>
      </c>
      <c r="V243">
        <v>18</v>
      </c>
      <c r="W243" t="s">
        <v>43</v>
      </c>
      <c r="X243" t="s">
        <v>44</v>
      </c>
      <c r="Y243">
        <v>0</v>
      </c>
      <c r="Z243">
        <v>4</v>
      </c>
      <c r="AA243">
        <v>2</v>
      </c>
      <c r="AB243" t="s">
        <v>54</v>
      </c>
      <c r="AC243">
        <v>3</v>
      </c>
      <c r="AD243" t="str" cm="1">
        <f t="array" ref="AD243">_xlfn.IFS(AC243&lt;=5,"0-5",AC243&lt;=10,"5-10",AC243&lt;=40,"10-40")</f>
        <v>0-5</v>
      </c>
      <c r="AE243">
        <v>2</v>
      </c>
      <c r="AF243">
        <v>2</v>
      </c>
      <c r="AG243">
        <v>2</v>
      </c>
      <c r="AH243">
        <v>242</v>
      </c>
    </row>
    <row r="244" spans="1:34" x14ac:dyDescent="0.3">
      <c r="A244">
        <v>41</v>
      </c>
      <c r="B244" t="str" cm="1">
        <f t="array" ref="B244">_xlfn.IFS(A244&lt;=25,"18-25",A244&lt;=35,"26-35",A244&lt;=45,"36-45",A244&lt;=55,"46-55",A244&gt;55,"55+")</f>
        <v>36-45</v>
      </c>
      <c r="C244">
        <v>0</v>
      </c>
      <c r="D244" t="s">
        <v>32</v>
      </c>
      <c r="E244">
        <v>1411</v>
      </c>
      <c r="F244" t="s">
        <v>48</v>
      </c>
      <c r="G244">
        <v>19</v>
      </c>
      <c r="H244" t="s">
        <v>34</v>
      </c>
      <c r="I244" t="s">
        <v>35</v>
      </c>
      <c r="J244" t="s">
        <v>38</v>
      </c>
      <c r="K244" t="s">
        <v>50</v>
      </c>
      <c r="L244">
        <v>36</v>
      </c>
      <c r="M244" t="s">
        <v>38</v>
      </c>
      <c r="N244" t="s">
        <v>39</v>
      </c>
      <c r="O244" t="s">
        <v>51</v>
      </c>
      <c r="P244" t="s">
        <v>44</v>
      </c>
      <c r="Q244" t="s">
        <v>62</v>
      </c>
      <c r="R244">
        <v>3072</v>
      </c>
      <c r="S244">
        <v>19877</v>
      </c>
      <c r="T244">
        <v>2</v>
      </c>
      <c r="U244" t="s">
        <v>46</v>
      </c>
      <c r="V244">
        <v>16</v>
      </c>
      <c r="W244" t="s">
        <v>43</v>
      </c>
      <c r="X244" t="s">
        <v>44</v>
      </c>
      <c r="Y244">
        <v>2</v>
      </c>
      <c r="Z244">
        <v>17</v>
      </c>
      <c r="AA244">
        <v>2</v>
      </c>
      <c r="AB244" t="s">
        <v>60</v>
      </c>
      <c r="AC244">
        <v>1</v>
      </c>
      <c r="AD244" t="str" cm="1">
        <f t="array" ref="AD244">_xlfn.IFS(AC244&lt;=5,"0-5",AC244&lt;=10,"5-10",AC244&lt;=40,"10-40")</f>
        <v>0-5</v>
      </c>
      <c r="AE244">
        <v>0</v>
      </c>
      <c r="AF244">
        <v>0</v>
      </c>
      <c r="AG244">
        <v>0</v>
      </c>
      <c r="AH244">
        <v>243</v>
      </c>
    </row>
    <row r="245" spans="1:34" x14ac:dyDescent="0.3">
      <c r="A245">
        <v>40</v>
      </c>
      <c r="B245" t="str" cm="1">
        <f t="array" ref="B245">_xlfn.IFS(A245&lt;=25,"18-25",A245&lt;=35,"26-35",A245&lt;=45,"36-45",A245&lt;=55,"46-55",A245&gt;55,"55+")</f>
        <v>36-45</v>
      </c>
      <c r="C245">
        <v>0</v>
      </c>
      <c r="D245" t="s">
        <v>32</v>
      </c>
      <c r="E245">
        <v>1300</v>
      </c>
      <c r="F245" t="s">
        <v>48</v>
      </c>
      <c r="G245">
        <v>24</v>
      </c>
      <c r="H245" t="s">
        <v>34</v>
      </c>
      <c r="I245" t="s">
        <v>74</v>
      </c>
      <c r="J245" t="s">
        <v>44</v>
      </c>
      <c r="K245" t="s">
        <v>50</v>
      </c>
      <c r="L245">
        <v>62</v>
      </c>
      <c r="M245" t="s">
        <v>38</v>
      </c>
      <c r="N245" t="s">
        <v>39</v>
      </c>
      <c r="O245" t="s">
        <v>51</v>
      </c>
      <c r="P245" t="s">
        <v>41</v>
      </c>
      <c r="Q245" t="s">
        <v>62</v>
      </c>
      <c r="R245">
        <v>3319</v>
      </c>
      <c r="S245">
        <v>24447</v>
      </c>
      <c r="T245">
        <v>1</v>
      </c>
      <c r="U245" t="s">
        <v>46</v>
      </c>
      <c r="V245">
        <v>17</v>
      </c>
      <c r="W245" t="s">
        <v>43</v>
      </c>
      <c r="X245" t="s">
        <v>44</v>
      </c>
      <c r="Y245">
        <v>2</v>
      </c>
      <c r="Z245">
        <v>9</v>
      </c>
      <c r="AA245">
        <v>3</v>
      </c>
      <c r="AB245" t="s">
        <v>54</v>
      </c>
      <c r="AC245">
        <v>9</v>
      </c>
      <c r="AD245" t="str" cm="1">
        <f t="array" ref="AD245">_xlfn.IFS(AC245&lt;=5,"0-5",AC245&lt;=10,"5-10",AC245&lt;=40,"10-40")</f>
        <v>5-10</v>
      </c>
      <c r="AE245">
        <v>8</v>
      </c>
      <c r="AF245">
        <v>4</v>
      </c>
      <c r="AG245">
        <v>7</v>
      </c>
      <c r="AH245">
        <v>244</v>
      </c>
    </row>
    <row r="246" spans="1:34" x14ac:dyDescent="0.3">
      <c r="A246">
        <v>45</v>
      </c>
      <c r="B246" t="str" cm="1">
        <f t="array" ref="B246">_xlfn.IFS(A246&lt;=25,"18-25",A246&lt;=35,"26-35",A246&lt;=45,"36-45",A246&lt;=55,"46-55",A246&gt;55,"55+")</f>
        <v>36-45</v>
      </c>
      <c r="C246">
        <v>0</v>
      </c>
      <c r="D246" t="s">
        <v>32</v>
      </c>
      <c r="E246">
        <v>252</v>
      </c>
      <c r="F246" t="s">
        <v>48</v>
      </c>
      <c r="G246">
        <v>1</v>
      </c>
      <c r="H246" t="s">
        <v>61</v>
      </c>
      <c r="I246" t="s">
        <v>55</v>
      </c>
      <c r="J246" t="s">
        <v>38</v>
      </c>
      <c r="K246" t="s">
        <v>50</v>
      </c>
      <c r="L246">
        <v>70</v>
      </c>
      <c r="M246" t="s">
        <v>41</v>
      </c>
      <c r="N246" t="s">
        <v>71</v>
      </c>
      <c r="O246" t="s">
        <v>68</v>
      </c>
      <c r="P246" t="s">
        <v>41</v>
      </c>
      <c r="Q246" t="s">
        <v>52</v>
      </c>
      <c r="R246">
        <v>19202</v>
      </c>
      <c r="S246">
        <v>15970</v>
      </c>
      <c r="T246">
        <v>0</v>
      </c>
      <c r="U246" t="s">
        <v>46</v>
      </c>
      <c r="V246">
        <v>11</v>
      </c>
      <c r="W246" t="s">
        <v>43</v>
      </c>
      <c r="X246" t="s">
        <v>38</v>
      </c>
      <c r="Y246">
        <v>1</v>
      </c>
      <c r="Z246">
        <v>25</v>
      </c>
      <c r="AA246">
        <v>2</v>
      </c>
      <c r="AB246" t="s">
        <v>54</v>
      </c>
      <c r="AC246">
        <v>24</v>
      </c>
      <c r="AD246" t="str" cm="1">
        <f t="array" ref="AD246">_xlfn.IFS(AC246&lt;=5,"0-5",AC246&lt;=10,"5-10",AC246&lt;=40,"10-40")</f>
        <v>10-40</v>
      </c>
      <c r="AE246">
        <v>0</v>
      </c>
      <c r="AF246">
        <v>1</v>
      </c>
      <c r="AG246">
        <v>7</v>
      </c>
      <c r="AH246">
        <v>245</v>
      </c>
    </row>
    <row r="247" spans="1:34" x14ac:dyDescent="0.3">
      <c r="A247">
        <v>31</v>
      </c>
      <c r="B247" t="str" cm="1">
        <f t="array" ref="B247">_xlfn.IFS(A247&lt;=25,"18-25",A247&lt;=35,"26-35",A247&lt;=45,"36-45",A247&lt;=55,"46-55",A247&gt;55,"55+")</f>
        <v>26-35</v>
      </c>
      <c r="C247">
        <v>0</v>
      </c>
      <c r="D247" t="s">
        <v>47</v>
      </c>
      <c r="E247">
        <v>1327</v>
      </c>
      <c r="F247" t="s">
        <v>48</v>
      </c>
      <c r="G247">
        <v>3</v>
      </c>
      <c r="H247" t="s">
        <v>58</v>
      </c>
      <c r="I247" t="s">
        <v>59</v>
      </c>
      <c r="J247" t="s">
        <v>36</v>
      </c>
      <c r="K247" t="s">
        <v>50</v>
      </c>
      <c r="L247">
        <v>73</v>
      </c>
      <c r="M247" t="s">
        <v>38</v>
      </c>
      <c r="N247" t="s">
        <v>63</v>
      </c>
      <c r="O247" t="s">
        <v>70</v>
      </c>
      <c r="P247" t="s">
        <v>38</v>
      </c>
      <c r="Q247" t="s">
        <v>62</v>
      </c>
      <c r="R247">
        <v>13675</v>
      </c>
      <c r="S247">
        <v>13523</v>
      </c>
      <c r="T247">
        <v>9</v>
      </c>
      <c r="U247" t="s">
        <v>46</v>
      </c>
      <c r="V247">
        <v>12</v>
      </c>
      <c r="W247" t="s">
        <v>43</v>
      </c>
      <c r="X247" t="s">
        <v>44</v>
      </c>
      <c r="Y247">
        <v>1</v>
      </c>
      <c r="Z247">
        <v>9</v>
      </c>
      <c r="AA247">
        <v>3</v>
      </c>
      <c r="AB247" t="s">
        <v>54</v>
      </c>
      <c r="AC247">
        <v>2</v>
      </c>
      <c r="AD247" t="str" cm="1">
        <f t="array" ref="AD247">_xlfn.IFS(AC247&lt;=5,"0-5",AC247&lt;=10,"5-10",AC247&lt;=40,"10-40")</f>
        <v>0-5</v>
      </c>
      <c r="AE247">
        <v>2</v>
      </c>
      <c r="AF247">
        <v>2</v>
      </c>
      <c r="AG247">
        <v>2</v>
      </c>
      <c r="AH247">
        <v>246</v>
      </c>
    </row>
    <row r="248" spans="1:34" x14ac:dyDescent="0.3">
      <c r="A248">
        <v>33</v>
      </c>
      <c r="B248" t="str" cm="1">
        <f t="array" ref="B248">_xlfn.IFS(A248&lt;=25,"18-25",A248&lt;=35,"26-35",A248&lt;=45,"36-45",A248&lt;=55,"46-55",A248&gt;55,"55+")</f>
        <v>26-35</v>
      </c>
      <c r="C248">
        <v>0</v>
      </c>
      <c r="D248" t="s">
        <v>32</v>
      </c>
      <c r="E248">
        <v>832</v>
      </c>
      <c r="F248" t="s">
        <v>48</v>
      </c>
      <c r="G248">
        <v>5</v>
      </c>
      <c r="H248" t="s">
        <v>58</v>
      </c>
      <c r="I248" t="s">
        <v>35</v>
      </c>
      <c r="J248" t="s">
        <v>38</v>
      </c>
      <c r="K248" t="s">
        <v>37</v>
      </c>
      <c r="L248">
        <v>63</v>
      </c>
      <c r="M248" t="s">
        <v>36</v>
      </c>
      <c r="N248" t="s">
        <v>56</v>
      </c>
      <c r="O248" t="s">
        <v>51</v>
      </c>
      <c r="P248" t="s">
        <v>41</v>
      </c>
      <c r="Q248" t="s">
        <v>52</v>
      </c>
      <c r="R248">
        <v>2911</v>
      </c>
      <c r="S248">
        <v>14776</v>
      </c>
      <c r="T248">
        <v>1</v>
      </c>
      <c r="U248" t="s">
        <v>46</v>
      </c>
      <c r="V248">
        <v>13</v>
      </c>
      <c r="W248" t="s">
        <v>43</v>
      </c>
      <c r="X248" t="s">
        <v>38</v>
      </c>
      <c r="Y248">
        <v>1</v>
      </c>
      <c r="Z248">
        <v>2</v>
      </c>
      <c r="AA248">
        <v>2</v>
      </c>
      <c r="AB248" t="s">
        <v>60</v>
      </c>
      <c r="AC248">
        <v>2</v>
      </c>
      <c r="AD248" t="str" cm="1">
        <f t="array" ref="AD248">_xlfn.IFS(AC248&lt;=5,"0-5",AC248&lt;=10,"5-10",AC248&lt;=40,"10-40")</f>
        <v>0-5</v>
      </c>
      <c r="AE248">
        <v>2</v>
      </c>
      <c r="AF248">
        <v>0</v>
      </c>
      <c r="AG248">
        <v>2</v>
      </c>
      <c r="AH248">
        <v>247</v>
      </c>
    </row>
    <row r="249" spans="1:34" x14ac:dyDescent="0.3">
      <c r="A249">
        <v>34</v>
      </c>
      <c r="B249" t="str" cm="1">
        <f t="array" ref="B249">_xlfn.IFS(A249&lt;=25,"18-25",A249&lt;=35,"26-35",A249&lt;=45,"36-45",A249&lt;=55,"46-55",A249&gt;55,"55+")</f>
        <v>26-35</v>
      </c>
      <c r="C249">
        <v>0</v>
      </c>
      <c r="D249" t="s">
        <v>32</v>
      </c>
      <c r="E249">
        <v>470</v>
      </c>
      <c r="F249" t="s">
        <v>48</v>
      </c>
      <c r="G249">
        <v>2</v>
      </c>
      <c r="H249" t="s">
        <v>58</v>
      </c>
      <c r="I249" t="s">
        <v>35</v>
      </c>
      <c r="J249" t="s">
        <v>41</v>
      </c>
      <c r="K249" t="s">
        <v>50</v>
      </c>
      <c r="L249">
        <v>84</v>
      </c>
      <c r="M249" t="s">
        <v>36</v>
      </c>
      <c r="N249" t="s">
        <v>39</v>
      </c>
      <c r="O249" t="s">
        <v>64</v>
      </c>
      <c r="P249" t="s">
        <v>44</v>
      </c>
      <c r="Q249" t="s">
        <v>52</v>
      </c>
      <c r="R249">
        <v>5957</v>
      </c>
      <c r="S249">
        <v>23687</v>
      </c>
      <c r="T249">
        <v>6</v>
      </c>
      <c r="U249" t="s">
        <v>46</v>
      </c>
      <c r="V249">
        <v>13</v>
      </c>
      <c r="W249" t="s">
        <v>43</v>
      </c>
      <c r="X249" t="s">
        <v>36</v>
      </c>
      <c r="Y249">
        <v>1</v>
      </c>
      <c r="Z249">
        <v>13</v>
      </c>
      <c r="AA249">
        <v>3</v>
      </c>
      <c r="AB249" t="s">
        <v>54</v>
      </c>
      <c r="AC249">
        <v>11</v>
      </c>
      <c r="AD249" t="str" cm="1">
        <f t="array" ref="AD249">_xlfn.IFS(AC249&lt;=5,"0-5",AC249&lt;=10,"5-10",AC249&lt;=40,"10-40")</f>
        <v>10-40</v>
      </c>
      <c r="AE249">
        <v>9</v>
      </c>
      <c r="AF249">
        <v>5</v>
      </c>
      <c r="AG249">
        <v>9</v>
      </c>
      <c r="AH249">
        <v>248</v>
      </c>
    </row>
    <row r="250" spans="1:34" x14ac:dyDescent="0.3">
      <c r="A250">
        <v>37</v>
      </c>
      <c r="B250" t="str" cm="1">
        <f t="array" ref="B250">_xlfn.IFS(A250&lt;=25,"18-25",A250&lt;=35,"26-35",A250&lt;=45,"36-45",A250&lt;=55,"46-55",A250&gt;55,"55+")</f>
        <v>36-45</v>
      </c>
      <c r="C250">
        <v>0</v>
      </c>
      <c r="D250" t="s">
        <v>32</v>
      </c>
      <c r="E250">
        <v>1017</v>
      </c>
      <c r="F250" t="s">
        <v>48</v>
      </c>
      <c r="G250">
        <v>1</v>
      </c>
      <c r="H250" t="s">
        <v>34</v>
      </c>
      <c r="I250" t="s">
        <v>59</v>
      </c>
      <c r="J250" t="s">
        <v>38</v>
      </c>
      <c r="K250" t="s">
        <v>37</v>
      </c>
      <c r="L250">
        <v>83</v>
      </c>
      <c r="M250" t="s">
        <v>36</v>
      </c>
      <c r="N250" t="s">
        <v>56</v>
      </c>
      <c r="O250" t="s">
        <v>51</v>
      </c>
      <c r="P250" t="s">
        <v>44</v>
      </c>
      <c r="Q250" t="s">
        <v>52</v>
      </c>
      <c r="R250">
        <v>3920</v>
      </c>
      <c r="S250">
        <v>18697</v>
      </c>
      <c r="T250">
        <v>2</v>
      </c>
      <c r="U250" t="s">
        <v>46</v>
      </c>
      <c r="V250">
        <v>14</v>
      </c>
      <c r="W250" t="s">
        <v>43</v>
      </c>
      <c r="X250" t="s">
        <v>44</v>
      </c>
      <c r="Y250">
        <v>1</v>
      </c>
      <c r="Z250">
        <v>17</v>
      </c>
      <c r="AA250">
        <v>2</v>
      </c>
      <c r="AB250" t="s">
        <v>60</v>
      </c>
      <c r="AC250">
        <v>3</v>
      </c>
      <c r="AD250" t="str" cm="1">
        <f t="array" ref="AD250">_xlfn.IFS(AC250&lt;=5,"0-5",AC250&lt;=10,"5-10",AC250&lt;=40,"10-40")</f>
        <v>0-5</v>
      </c>
      <c r="AE250">
        <v>1</v>
      </c>
      <c r="AF250">
        <v>0</v>
      </c>
      <c r="AG250">
        <v>2</v>
      </c>
      <c r="AH250">
        <v>249</v>
      </c>
    </row>
    <row r="251" spans="1:34" x14ac:dyDescent="0.3">
      <c r="A251">
        <v>45</v>
      </c>
      <c r="B251" t="str" cm="1">
        <f t="array" ref="B251">_xlfn.IFS(A251&lt;=25,"18-25",A251&lt;=35,"26-35",A251&lt;=45,"36-45",A251&lt;=55,"46-55",A251&gt;55,"55+")</f>
        <v>36-45</v>
      </c>
      <c r="C251">
        <v>0</v>
      </c>
      <c r="D251" t="s">
        <v>47</v>
      </c>
      <c r="E251">
        <v>1199</v>
      </c>
      <c r="F251" t="s">
        <v>48</v>
      </c>
      <c r="G251">
        <v>7</v>
      </c>
      <c r="H251" t="s">
        <v>58</v>
      </c>
      <c r="I251" t="s">
        <v>35</v>
      </c>
      <c r="J251" t="s">
        <v>44</v>
      </c>
      <c r="K251" t="s">
        <v>50</v>
      </c>
      <c r="L251">
        <v>77</v>
      </c>
      <c r="M251" t="s">
        <v>41</v>
      </c>
      <c r="N251" t="s">
        <v>39</v>
      </c>
      <c r="O251" t="s">
        <v>64</v>
      </c>
      <c r="P251" t="s">
        <v>38</v>
      </c>
      <c r="Q251" t="s">
        <v>52</v>
      </c>
      <c r="R251">
        <v>6434</v>
      </c>
      <c r="S251">
        <v>5118</v>
      </c>
      <c r="T251">
        <v>4</v>
      </c>
      <c r="U251" t="s">
        <v>46</v>
      </c>
      <c r="V251">
        <v>17</v>
      </c>
      <c r="W251" t="s">
        <v>43</v>
      </c>
      <c r="X251" t="s">
        <v>41</v>
      </c>
      <c r="Y251">
        <v>1</v>
      </c>
      <c r="Z251">
        <v>9</v>
      </c>
      <c r="AA251">
        <v>1</v>
      </c>
      <c r="AB251" t="s">
        <v>54</v>
      </c>
      <c r="AC251">
        <v>3</v>
      </c>
      <c r="AD251" t="str" cm="1">
        <f t="array" ref="AD251">_xlfn.IFS(AC251&lt;=5,"0-5",AC251&lt;=10,"5-10",AC251&lt;=40,"10-40")</f>
        <v>0-5</v>
      </c>
      <c r="AE251">
        <v>2</v>
      </c>
      <c r="AF251">
        <v>0</v>
      </c>
      <c r="AG251">
        <v>2</v>
      </c>
      <c r="AH251">
        <v>250</v>
      </c>
    </row>
    <row r="252" spans="1:34" x14ac:dyDescent="0.3">
      <c r="A252">
        <v>37</v>
      </c>
      <c r="B252" t="str" cm="1">
        <f t="array" ref="B252">_xlfn.IFS(A252&lt;=25,"18-25",A252&lt;=35,"26-35",A252&lt;=45,"36-45",A252&lt;=55,"46-55",A252&gt;55,"55+")</f>
        <v>36-45</v>
      </c>
      <c r="C252">
        <v>1</v>
      </c>
      <c r="D252" t="s">
        <v>47</v>
      </c>
      <c r="E252">
        <v>504</v>
      </c>
      <c r="F252" t="s">
        <v>48</v>
      </c>
      <c r="G252">
        <v>10</v>
      </c>
      <c r="H252" t="s">
        <v>61</v>
      </c>
      <c r="I252" t="s">
        <v>59</v>
      </c>
      <c r="J252" t="s">
        <v>44</v>
      </c>
      <c r="K252" t="s">
        <v>50</v>
      </c>
      <c r="L252">
        <v>61</v>
      </c>
      <c r="M252" t="s">
        <v>38</v>
      </c>
      <c r="N252" t="s">
        <v>63</v>
      </c>
      <c r="O252" t="s">
        <v>64</v>
      </c>
      <c r="P252" t="s">
        <v>38</v>
      </c>
      <c r="Q252" t="s">
        <v>62</v>
      </c>
      <c r="R252">
        <v>10048</v>
      </c>
      <c r="S252">
        <v>22573</v>
      </c>
      <c r="T252">
        <v>6</v>
      </c>
      <c r="U252" t="s">
        <v>46</v>
      </c>
      <c r="V252">
        <v>11</v>
      </c>
      <c r="W252" t="s">
        <v>43</v>
      </c>
      <c r="X252" t="s">
        <v>36</v>
      </c>
      <c r="Y252">
        <v>2</v>
      </c>
      <c r="Z252">
        <v>17</v>
      </c>
      <c r="AA252">
        <v>5</v>
      </c>
      <c r="AB252" t="s">
        <v>54</v>
      </c>
      <c r="AC252">
        <v>1</v>
      </c>
      <c r="AD252" t="str" cm="1">
        <f t="array" ref="AD252">_xlfn.IFS(AC252&lt;=5,"0-5",AC252&lt;=10,"5-10",AC252&lt;=40,"10-40")</f>
        <v>0-5</v>
      </c>
      <c r="AE252">
        <v>0</v>
      </c>
      <c r="AF252">
        <v>0</v>
      </c>
      <c r="AG252">
        <v>0</v>
      </c>
      <c r="AH252">
        <v>251</v>
      </c>
    </row>
    <row r="253" spans="1:34" x14ac:dyDescent="0.3">
      <c r="A253">
        <v>39</v>
      </c>
      <c r="B253" t="str" cm="1">
        <f t="array" ref="B253">_xlfn.IFS(A253&lt;=25,"18-25",A253&lt;=35,"26-35",A253&lt;=45,"36-45",A253&lt;=55,"46-55",A253&gt;55,"55+")</f>
        <v>36-45</v>
      </c>
      <c r="C253">
        <v>0</v>
      </c>
      <c r="D253" t="s">
        <v>47</v>
      </c>
      <c r="E253">
        <v>505</v>
      </c>
      <c r="F253" t="s">
        <v>48</v>
      </c>
      <c r="G253">
        <v>2</v>
      </c>
      <c r="H253" t="s">
        <v>58</v>
      </c>
      <c r="I253" t="s">
        <v>74</v>
      </c>
      <c r="J253" t="s">
        <v>38</v>
      </c>
      <c r="K253" t="s">
        <v>37</v>
      </c>
      <c r="L253">
        <v>64</v>
      </c>
      <c r="M253" t="s">
        <v>38</v>
      </c>
      <c r="N253" t="s">
        <v>63</v>
      </c>
      <c r="O253" t="s">
        <v>65</v>
      </c>
      <c r="P253" t="s">
        <v>38</v>
      </c>
      <c r="Q253" t="s">
        <v>42</v>
      </c>
      <c r="R253">
        <v>10938</v>
      </c>
      <c r="S253">
        <v>6420</v>
      </c>
      <c r="T253">
        <v>0</v>
      </c>
      <c r="U253" t="s">
        <v>46</v>
      </c>
      <c r="V253">
        <v>25</v>
      </c>
      <c r="W253" t="s">
        <v>53</v>
      </c>
      <c r="X253" t="s">
        <v>41</v>
      </c>
      <c r="Y253">
        <v>0</v>
      </c>
      <c r="Z253">
        <v>20</v>
      </c>
      <c r="AA253">
        <v>1</v>
      </c>
      <c r="AB253" t="s">
        <v>54</v>
      </c>
      <c r="AC253">
        <v>19</v>
      </c>
      <c r="AD253" t="str" cm="1">
        <f t="array" ref="AD253">_xlfn.IFS(AC253&lt;=5,"0-5",AC253&lt;=10,"5-10",AC253&lt;=40,"10-40")</f>
        <v>10-40</v>
      </c>
      <c r="AE253">
        <v>6</v>
      </c>
      <c r="AF253">
        <v>11</v>
      </c>
      <c r="AG253">
        <v>8</v>
      </c>
      <c r="AH253">
        <v>252</v>
      </c>
    </row>
    <row r="254" spans="1:34" x14ac:dyDescent="0.3">
      <c r="A254">
        <v>29</v>
      </c>
      <c r="B254" t="str" cm="1">
        <f t="array" ref="B254">_xlfn.IFS(A254&lt;=25,"18-25",A254&lt;=35,"26-35",A254&lt;=45,"36-45",A254&lt;=55,"46-55",A254&gt;55,"55+")</f>
        <v>26-35</v>
      </c>
      <c r="C254">
        <v>0</v>
      </c>
      <c r="D254" t="s">
        <v>32</v>
      </c>
      <c r="E254">
        <v>665</v>
      </c>
      <c r="F254" t="s">
        <v>48</v>
      </c>
      <c r="G254">
        <v>15</v>
      </c>
      <c r="H254" t="s">
        <v>61</v>
      </c>
      <c r="I254" t="s">
        <v>35</v>
      </c>
      <c r="J254" t="s">
        <v>38</v>
      </c>
      <c r="K254" t="s">
        <v>50</v>
      </c>
      <c r="L254">
        <v>60</v>
      </c>
      <c r="M254" t="s">
        <v>38</v>
      </c>
      <c r="N254" t="s">
        <v>56</v>
      </c>
      <c r="O254" t="s">
        <v>51</v>
      </c>
      <c r="P254" t="s">
        <v>41</v>
      </c>
      <c r="Q254" t="s">
        <v>42</v>
      </c>
      <c r="R254">
        <v>2340</v>
      </c>
      <c r="S254">
        <v>22673</v>
      </c>
      <c r="T254">
        <v>1</v>
      </c>
      <c r="U254" t="s">
        <v>46</v>
      </c>
      <c r="V254">
        <v>19</v>
      </c>
      <c r="W254" t="s">
        <v>43</v>
      </c>
      <c r="X254" t="s">
        <v>44</v>
      </c>
      <c r="Y254">
        <v>0</v>
      </c>
      <c r="Z254">
        <v>6</v>
      </c>
      <c r="AA254">
        <v>1</v>
      </c>
      <c r="AB254" t="s">
        <v>54</v>
      </c>
      <c r="AC254">
        <v>6</v>
      </c>
      <c r="AD254" t="str" cm="1">
        <f t="array" ref="AD254">_xlfn.IFS(AC254&lt;=5,"0-5",AC254&lt;=10,"5-10",AC254&lt;=40,"10-40")</f>
        <v>5-10</v>
      </c>
      <c r="AE254">
        <v>5</v>
      </c>
      <c r="AF254">
        <v>1</v>
      </c>
      <c r="AG254">
        <v>5</v>
      </c>
      <c r="AH254">
        <v>253</v>
      </c>
    </row>
    <row r="255" spans="1:34" x14ac:dyDescent="0.3">
      <c r="A255">
        <v>42</v>
      </c>
      <c r="B255" t="str" cm="1">
        <f t="array" ref="B255">_xlfn.IFS(A255&lt;=25,"18-25",A255&lt;=35,"26-35",A255&lt;=45,"36-45",A255&lt;=55,"46-55",A255&gt;55,"55+")</f>
        <v>36-45</v>
      </c>
      <c r="C255">
        <v>0</v>
      </c>
      <c r="D255" t="s">
        <v>32</v>
      </c>
      <c r="E255">
        <v>916</v>
      </c>
      <c r="F255" t="s">
        <v>48</v>
      </c>
      <c r="G255">
        <v>17</v>
      </c>
      <c r="H255" t="s">
        <v>34</v>
      </c>
      <c r="I255" t="s">
        <v>35</v>
      </c>
      <c r="J255" t="s">
        <v>41</v>
      </c>
      <c r="K255" t="s">
        <v>37</v>
      </c>
      <c r="L255">
        <v>82</v>
      </c>
      <c r="M255" t="s">
        <v>41</v>
      </c>
      <c r="N255" t="s">
        <v>39</v>
      </c>
      <c r="O255" t="s">
        <v>51</v>
      </c>
      <c r="P255" t="s">
        <v>44</v>
      </c>
      <c r="Q255" t="s">
        <v>42</v>
      </c>
      <c r="R255">
        <v>6545</v>
      </c>
      <c r="S255">
        <v>23016</v>
      </c>
      <c r="T255">
        <v>3</v>
      </c>
      <c r="U255" t="s">
        <v>31</v>
      </c>
      <c r="V255">
        <v>13</v>
      </c>
      <c r="W255" t="s">
        <v>43</v>
      </c>
      <c r="X255" t="s">
        <v>38</v>
      </c>
      <c r="Y255">
        <v>0</v>
      </c>
      <c r="Z255">
        <v>10</v>
      </c>
      <c r="AA255">
        <v>1</v>
      </c>
      <c r="AB255" t="s">
        <v>54</v>
      </c>
      <c r="AC255">
        <v>3</v>
      </c>
      <c r="AD255" t="str" cm="1">
        <f t="array" ref="AD255">_xlfn.IFS(AC255&lt;=5,"0-5",AC255&lt;=10,"5-10",AC255&lt;=40,"10-40")</f>
        <v>0-5</v>
      </c>
      <c r="AE255">
        <v>2</v>
      </c>
      <c r="AF255">
        <v>0</v>
      </c>
      <c r="AG255">
        <v>2</v>
      </c>
      <c r="AH255">
        <v>254</v>
      </c>
    </row>
    <row r="256" spans="1:34" x14ac:dyDescent="0.3">
      <c r="A256">
        <v>29</v>
      </c>
      <c r="B256" t="str" cm="1">
        <f t="array" ref="B256">_xlfn.IFS(A256&lt;=25,"18-25",A256&lt;=35,"26-35",A256&lt;=45,"36-45",A256&lt;=55,"46-55",A256&gt;55,"55+")</f>
        <v>26-35</v>
      </c>
      <c r="C256">
        <v>0</v>
      </c>
      <c r="D256" t="s">
        <v>32</v>
      </c>
      <c r="E256">
        <v>1247</v>
      </c>
      <c r="F256" t="s">
        <v>33</v>
      </c>
      <c r="G256">
        <v>20</v>
      </c>
      <c r="H256" t="s">
        <v>34</v>
      </c>
      <c r="I256" t="s">
        <v>72</v>
      </c>
      <c r="J256" t="s">
        <v>41</v>
      </c>
      <c r="K256" t="s">
        <v>50</v>
      </c>
      <c r="L256">
        <v>45</v>
      </c>
      <c r="M256" t="s">
        <v>38</v>
      </c>
      <c r="N256" t="s">
        <v>39</v>
      </c>
      <c r="O256" t="s">
        <v>40</v>
      </c>
      <c r="P256" t="s">
        <v>41</v>
      </c>
      <c r="Q256" t="s">
        <v>62</v>
      </c>
      <c r="R256">
        <v>6931</v>
      </c>
      <c r="S256">
        <v>10732</v>
      </c>
      <c r="T256">
        <v>2</v>
      </c>
      <c r="U256" t="s">
        <v>46</v>
      </c>
      <c r="V256">
        <v>14</v>
      </c>
      <c r="W256" t="s">
        <v>43</v>
      </c>
      <c r="X256" t="s">
        <v>41</v>
      </c>
      <c r="Y256">
        <v>1</v>
      </c>
      <c r="Z256">
        <v>10</v>
      </c>
      <c r="AA256">
        <v>2</v>
      </c>
      <c r="AB256" t="s">
        <v>54</v>
      </c>
      <c r="AC256">
        <v>3</v>
      </c>
      <c r="AD256" t="str" cm="1">
        <f t="array" ref="AD256">_xlfn.IFS(AC256&lt;=5,"0-5",AC256&lt;=10,"5-10",AC256&lt;=40,"10-40")</f>
        <v>0-5</v>
      </c>
      <c r="AE256">
        <v>2</v>
      </c>
      <c r="AF256">
        <v>0</v>
      </c>
      <c r="AG256">
        <v>2</v>
      </c>
      <c r="AH256">
        <v>255</v>
      </c>
    </row>
    <row r="257" spans="1:34" x14ac:dyDescent="0.3">
      <c r="A257">
        <v>25</v>
      </c>
      <c r="B257" t="str" cm="1">
        <f t="array" ref="B257">_xlfn.IFS(A257&lt;=25,"18-25",A257&lt;=35,"26-35",A257&lt;=45,"36-45",A257&lt;=55,"46-55",A257&gt;55,"55+")</f>
        <v>18-25</v>
      </c>
      <c r="C257">
        <v>0</v>
      </c>
      <c r="D257" t="s">
        <v>32</v>
      </c>
      <c r="E257">
        <v>685</v>
      </c>
      <c r="F257" t="s">
        <v>48</v>
      </c>
      <c r="G257">
        <v>1</v>
      </c>
      <c r="H257" t="s">
        <v>61</v>
      </c>
      <c r="I257" t="s">
        <v>35</v>
      </c>
      <c r="J257" t="s">
        <v>44</v>
      </c>
      <c r="K257" t="s">
        <v>37</v>
      </c>
      <c r="L257">
        <v>62</v>
      </c>
      <c r="M257" t="s">
        <v>38</v>
      </c>
      <c r="N257" t="s">
        <v>39</v>
      </c>
      <c r="O257" t="s">
        <v>64</v>
      </c>
      <c r="P257" t="s">
        <v>38</v>
      </c>
      <c r="Q257" t="s">
        <v>52</v>
      </c>
      <c r="R257">
        <v>4898</v>
      </c>
      <c r="S257">
        <v>7505</v>
      </c>
      <c r="T257">
        <v>0</v>
      </c>
      <c r="U257" t="s">
        <v>46</v>
      </c>
      <c r="V257">
        <v>12</v>
      </c>
      <c r="W257" t="s">
        <v>43</v>
      </c>
      <c r="X257" t="s">
        <v>41</v>
      </c>
      <c r="Y257">
        <v>2</v>
      </c>
      <c r="Z257">
        <v>5</v>
      </c>
      <c r="AA257">
        <v>3</v>
      </c>
      <c r="AB257" t="s">
        <v>54</v>
      </c>
      <c r="AC257">
        <v>4</v>
      </c>
      <c r="AD257" t="str" cm="1">
        <f t="array" ref="AD257">_xlfn.IFS(AC257&lt;=5,"0-5",AC257&lt;=10,"5-10",AC257&lt;=40,"10-40")</f>
        <v>0-5</v>
      </c>
      <c r="AE257">
        <v>2</v>
      </c>
      <c r="AF257">
        <v>1</v>
      </c>
      <c r="AG257">
        <v>2</v>
      </c>
      <c r="AH257">
        <v>256</v>
      </c>
    </row>
    <row r="258" spans="1:34" x14ac:dyDescent="0.3">
      <c r="A258">
        <v>42</v>
      </c>
      <c r="B258" t="str" cm="1">
        <f t="array" ref="B258">_xlfn.IFS(A258&lt;=25,"18-25",A258&lt;=35,"26-35",A258&lt;=45,"36-45",A258&lt;=55,"46-55",A258&gt;55,"55+")</f>
        <v>36-45</v>
      </c>
      <c r="C258">
        <v>0</v>
      </c>
      <c r="D258" t="s">
        <v>32</v>
      </c>
      <c r="E258">
        <v>269</v>
      </c>
      <c r="F258" t="s">
        <v>48</v>
      </c>
      <c r="G258">
        <v>2</v>
      </c>
      <c r="H258" t="s">
        <v>61</v>
      </c>
      <c r="I258" t="s">
        <v>59</v>
      </c>
      <c r="J258" t="s">
        <v>41</v>
      </c>
      <c r="K258" t="s">
        <v>37</v>
      </c>
      <c r="L258">
        <v>56</v>
      </c>
      <c r="M258" t="s">
        <v>36</v>
      </c>
      <c r="N258" t="s">
        <v>56</v>
      </c>
      <c r="O258" t="s">
        <v>57</v>
      </c>
      <c r="P258" t="s">
        <v>44</v>
      </c>
      <c r="Q258" t="s">
        <v>62</v>
      </c>
      <c r="R258">
        <v>2593</v>
      </c>
      <c r="S258">
        <v>8007</v>
      </c>
      <c r="T258">
        <v>0</v>
      </c>
      <c r="U258" t="s">
        <v>31</v>
      </c>
      <c r="V258">
        <v>11</v>
      </c>
      <c r="W258" t="s">
        <v>43</v>
      </c>
      <c r="X258" t="s">
        <v>38</v>
      </c>
      <c r="Y258">
        <v>1</v>
      </c>
      <c r="Z258">
        <v>10</v>
      </c>
      <c r="AA258">
        <v>4</v>
      </c>
      <c r="AB258" t="s">
        <v>54</v>
      </c>
      <c r="AC258">
        <v>9</v>
      </c>
      <c r="AD258" t="str" cm="1">
        <f t="array" ref="AD258">_xlfn.IFS(AC258&lt;=5,"0-5",AC258&lt;=10,"5-10",AC258&lt;=40,"10-40")</f>
        <v>5-10</v>
      </c>
      <c r="AE258">
        <v>6</v>
      </c>
      <c r="AF258">
        <v>7</v>
      </c>
      <c r="AG258">
        <v>8</v>
      </c>
      <c r="AH258">
        <v>257</v>
      </c>
    </row>
    <row r="259" spans="1:34" x14ac:dyDescent="0.3">
      <c r="A259">
        <v>40</v>
      </c>
      <c r="B259" t="str" cm="1">
        <f t="array" ref="B259">_xlfn.IFS(A259&lt;=25,"18-25",A259&lt;=35,"26-35",A259&lt;=45,"36-45",A259&lt;=55,"46-55",A259&gt;55,"55+")</f>
        <v>36-45</v>
      </c>
      <c r="C259">
        <v>0</v>
      </c>
      <c r="D259" t="s">
        <v>32</v>
      </c>
      <c r="E259">
        <v>1416</v>
      </c>
      <c r="F259" t="s">
        <v>48</v>
      </c>
      <c r="G259">
        <v>2</v>
      </c>
      <c r="H259" t="s">
        <v>34</v>
      </c>
      <c r="I259" t="s">
        <v>59</v>
      </c>
      <c r="J259" t="s">
        <v>44</v>
      </c>
      <c r="K259" t="s">
        <v>50</v>
      </c>
      <c r="L259">
        <v>49</v>
      </c>
      <c r="M259" t="s">
        <v>38</v>
      </c>
      <c r="N259" t="s">
        <v>71</v>
      </c>
      <c r="O259" t="s">
        <v>70</v>
      </c>
      <c r="P259" t="s">
        <v>38</v>
      </c>
      <c r="Q259" t="s">
        <v>62</v>
      </c>
      <c r="R259">
        <v>19436</v>
      </c>
      <c r="S259">
        <v>5949</v>
      </c>
      <c r="T259">
        <v>0</v>
      </c>
      <c r="U259" t="s">
        <v>46</v>
      </c>
      <c r="V259">
        <v>19</v>
      </c>
      <c r="W259" t="s">
        <v>43</v>
      </c>
      <c r="X259" t="s">
        <v>41</v>
      </c>
      <c r="Y259">
        <v>1</v>
      </c>
      <c r="Z259">
        <v>22</v>
      </c>
      <c r="AA259">
        <v>5</v>
      </c>
      <c r="AB259" t="s">
        <v>54</v>
      </c>
      <c r="AC259">
        <v>21</v>
      </c>
      <c r="AD259" t="str" cm="1">
        <f t="array" ref="AD259">_xlfn.IFS(AC259&lt;=5,"0-5",AC259&lt;=10,"5-10",AC259&lt;=40,"10-40")</f>
        <v>10-40</v>
      </c>
      <c r="AE259">
        <v>7</v>
      </c>
      <c r="AF259">
        <v>3</v>
      </c>
      <c r="AG259">
        <v>9</v>
      </c>
      <c r="AH259">
        <v>258</v>
      </c>
    </row>
    <row r="260" spans="1:34" x14ac:dyDescent="0.3">
      <c r="A260">
        <v>51</v>
      </c>
      <c r="B260" t="str" cm="1">
        <f t="array" ref="B260">_xlfn.IFS(A260&lt;=25,"18-25",A260&lt;=35,"26-35",A260&lt;=45,"36-45",A260&lt;=55,"46-55",A260&gt;55,"55+")</f>
        <v>46-55</v>
      </c>
      <c r="C260">
        <v>0</v>
      </c>
      <c r="D260" t="s">
        <v>32</v>
      </c>
      <c r="E260">
        <v>833</v>
      </c>
      <c r="F260" t="s">
        <v>48</v>
      </c>
      <c r="G260">
        <v>1</v>
      </c>
      <c r="H260" t="s">
        <v>61</v>
      </c>
      <c r="I260" t="s">
        <v>35</v>
      </c>
      <c r="J260" t="s">
        <v>38</v>
      </c>
      <c r="K260" t="s">
        <v>50</v>
      </c>
      <c r="L260">
        <v>96</v>
      </c>
      <c r="M260" t="s">
        <v>38</v>
      </c>
      <c r="N260" t="s">
        <v>56</v>
      </c>
      <c r="O260" t="s">
        <v>51</v>
      </c>
      <c r="P260" t="s">
        <v>41</v>
      </c>
      <c r="Q260" t="s">
        <v>52</v>
      </c>
      <c r="R260">
        <v>2723</v>
      </c>
      <c r="S260">
        <v>23231</v>
      </c>
      <c r="T260">
        <v>1</v>
      </c>
      <c r="U260" t="s">
        <v>46</v>
      </c>
      <c r="V260">
        <v>11</v>
      </c>
      <c r="W260" t="s">
        <v>43</v>
      </c>
      <c r="X260" t="s">
        <v>36</v>
      </c>
      <c r="Y260">
        <v>0</v>
      </c>
      <c r="Z260">
        <v>1</v>
      </c>
      <c r="AA260">
        <v>0</v>
      </c>
      <c r="AB260" t="s">
        <v>60</v>
      </c>
      <c r="AC260">
        <v>1</v>
      </c>
      <c r="AD260" t="str" cm="1">
        <f t="array" ref="AD260">_xlfn.IFS(AC260&lt;=5,"0-5",AC260&lt;=10,"5-10",AC260&lt;=40,"10-40")</f>
        <v>0-5</v>
      </c>
      <c r="AE260">
        <v>0</v>
      </c>
      <c r="AF260">
        <v>0</v>
      </c>
      <c r="AG260">
        <v>0</v>
      </c>
      <c r="AH260">
        <v>259</v>
      </c>
    </row>
    <row r="261" spans="1:34" x14ac:dyDescent="0.3">
      <c r="A261">
        <v>31</v>
      </c>
      <c r="B261" t="str" cm="1">
        <f t="array" ref="B261">_xlfn.IFS(A261&lt;=25,"18-25",A261&lt;=35,"26-35",A261&lt;=45,"36-45",A261&lt;=55,"46-55",A261&gt;55,"55+")</f>
        <v>26-35</v>
      </c>
      <c r="C261">
        <v>1</v>
      </c>
      <c r="D261" t="s">
        <v>47</v>
      </c>
      <c r="E261">
        <v>307</v>
      </c>
      <c r="F261" t="s">
        <v>48</v>
      </c>
      <c r="G261">
        <v>29</v>
      </c>
      <c r="H261" t="s">
        <v>34</v>
      </c>
      <c r="I261" t="s">
        <v>59</v>
      </c>
      <c r="J261" t="s">
        <v>38</v>
      </c>
      <c r="K261" t="s">
        <v>50</v>
      </c>
      <c r="L261">
        <v>71</v>
      </c>
      <c r="M261" t="s">
        <v>36</v>
      </c>
      <c r="N261" t="s">
        <v>56</v>
      </c>
      <c r="O261" t="s">
        <v>57</v>
      </c>
      <c r="P261" t="s">
        <v>36</v>
      </c>
      <c r="Q261" t="s">
        <v>42</v>
      </c>
      <c r="R261">
        <v>3479</v>
      </c>
      <c r="S261">
        <v>11652</v>
      </c>
      <c r="T261">
        <v>0</v>
      </c>
      <c r="U261" t="s">
        <v>46</v>
      </c>
      <c r="V261">
        <v>11</v>
      </c>
      <c r="W261" t="s">
        <v>43</v>
      </c>
      <c r="X261" t="s">
        <v>36</v>
      </c>
      <c r="Y261">
        <v>0</v>
      </c>
      <c r="Z261">
        <v>6</v>
      </c>
      <c r="AA261">
        <v>2</v>
      </c>
      <c r="AB261" t="s">
        <v>73</v>
      </c>
      <c r="AC261">
        <v>5</v>
      </c>
      <c r="AD261" t="str" cm="1">
        <f t="array" ref="AD261">_xlfn.IFS(AC261&lt;=5,"0-5",AC261&lt;=10,"5-10",AC261&lt;=40,"10-40")</f>
        <v>0-5</v>
      </c>
      <c r="AE261">
        <v>4</v>
      </c>
      <c r="AF261">
        <v>1</v>
      </c>
      <c r="AG261">
        <v>4</v>
      </c>
      <c r="AH261">
        <v>260</v>
      </c>
    </row>
    <row r="262" spans="1:34" x14ac:dyDescent="0.3">
      <c r="A262">
        <v>32</v>
      </c>
      <c r="B262" t="str" cm="1">
        <f t="array" ref="B262">_xlfn.IFS(A262&lt;=25,"18-25",A262&lt;=35,"26-35",A262&lt;=45,"36-45",A262&lt;=55,"46-55",A262&gt;55,"55+")</f>
        <v>26-35</v>
      </c>
      <c r="C262">
        <v>0</v>
      </c>
      <c r="D262" t="s">
        <v>47</v>
      </c>
      <c r="E262">
        <v>1311</v>
      </c>
      <c r="F262" t="s">
        <v>48</v>
      </c>
      <c r="G262">
        <v>7</v>
      </c>
      <c r="H262" t="s">
        <v>61</v>
      </c>
      <c r="I262" t="s">
        <v>35</v>
      </c>
      <c r="J262" t="s">
        <v>36</v>
      </c>
      <c r="K262" t="s">
        <v>50</v>
      </c>
      <c r="L262">
        <v>100</v>
      </c>
      <c r="M262" t="s">
        <v>41</v>
      </c>
      <c r="N262" t="s">
        <v>56</v>
      </c>
      <c r="O262" t="s">
        <v>57</v>
      </c>
      <c r="P262" t="s">
        <v>36</v>
      </c>
      <c r="Q262" t="s">
        <v>52</v>
      </c>
      <c r="R262">
        <v>2794</v>
      </c>
      <c r="S262">
        <v>26062</v>
      </c>
      <c r="T262">
        <v>1</v>
      </c>
      <c r="U262" t="s">
        <v>46</v>
      </c>
      <c r="V262">
        <v>20</v>
      </c>
      <c r="W262" t="s">
        <v>53</v>
      </c>
      <c r="X262" t="s">
        <v>38</v>
      </c>
      <c r="Y262">
        <v>0</v>
      </c>
      <c r="Z262">
        <v>5</v>
      </c>
      <c r="AA262">
        <v>3</v>
      </c>
      <c r="AB262" t="s">
        <v>45</v>
      </c>
      <c r="AC262">
        <v>5</v>
      </c>
      <c r="AD262" t="str" cm="1">
        <f t="array" ref="AD262">_xlfn.IFS(AC262&lt;=5,"0-5",AC262&lt;=10,"5-10",AC262&lt;=40,"10-40")</f>
        <v>0-5</v>
      </c>
      <c r="AE262">
        <v>1</v>
      </c>
      <c r="AF262">
        <v>0</v>
      </c>
      <c r="AG262">
        <v>3</v>
      </c>
      <c r="AH262">
        <v>261</v>
      </c>
    </row>
    <row r="263" spans="1:34" x14ac:dyDescent="0.3">
      <c r="A263">
        <v>38</v>
      </c>
      <c r="B263" t="str" cm="1">
        <f t="array" ref="B263">_xlfn.IFS(A263&lt;=25,"18-25",A263&lt;=35,"26-35",A263&lt;=45,"36-45",A263&lt;=55,"46-55",A263&gt;55,"55+")</f>
        <v>36-45</v>
      </c>
      <c r="C263">
        <v>0</v>
      </c>
      <c r="D263" t="s">
        <v>66</v>
      </c>
      <c r="E263">
        <v>1327</v>
      </c>
      <c r="F263" t="s">
        <v>33</v>
      </c>
      <c r="G263">
        <v>2</v>
      </c>
      <c r="H263" t="s">
        <v>34</v>
      </c>
      <c r="I263" t="s">
        <v>35</v>
      </c>
      <c r="J263" t="s">
        <v>41</v>
      </c>
      <c r="K263" t="s">
        <v>50</v>
      </c>
      <c r="L263">
        <v>39</v>
      </c>
      <c r="M263" t="s">
        <v>36</v>
      </c>
      <c r="N263" t="s">
        <v>39</v>
      </c>
      <c r="O263" t="s">
        <v>40</v>
      </c>
      <c r="P263" t="s">
        <v>41</v>
      </c>
      <c r="Q263" t="s">
        <v>52</v>
      </c>
      <c r="R263">
        <v>5249</v>
      </c>
      <c r="S263">
        <v>19682</v>
      </c>
      <c r="T263">
        <v>3</v>
      </c>
      <c r="U263" t="s">
        <v>46</v>
      </c>
      <c r="V263">
        <v>18</v>
      </c>
      <c r="W263" t="s">
        <v>43</v>
      </c>
      <c r="X263" t="s">
        <v>41</v>
      </c>
      <c r="Y263">
        <v>1</v>
      </c>
      <c r="Z263">
        <v>13</v>
      </c>
      <c r="AA263">
        <v>0</v>
      </c>
      <c r="AB263" t="s">
        <v>54</v>
      </c>
      <c r="AC263">
        <v>8</v>
      </c>
      <c r="AD263" t="str" cm="1">
        <f t="array" ref="AD263">_xlfn.IFS(AC263&lt;=5,"0-5",AC263&lt;=10,"5-10",AC263&lt;=40,"10-40")</f>
        <v>5-10</v>
      </c>
      <c r="AE263">
        <v>7</v>
      </c>
      <c r="AF263">
        <v>7</v>
      </c>
      <c r="AG263">
        <v>5</v>
      </c>
      <c r="AH263">
        <v>262</v>
      </c>
    </row>
    <row r="264" spans="1:34" x14ac:dyDescent="0.3">
      <c r="A264">
        <v>32</v>
      </c>
      <c r="B264" t="str" cm="1">
        <f t="array" ref="B264">_xlfn.IFS(A264&lt;=25,"18-25",A264&lt;=35,"26-35",A264&lt;=45,"36-45",A264&lt;=55,"46-55",A264&gt;55,"55+")</f>
        <v>26-35</v>
      </c>
      <c r="C264">
        <v>0</v>
      </c>
      <c r="D264" t="s">
        <v>32</v>
      </c>
      <c r="E264">
        <v>128</v>
      </c>
      <c r="F264" t="s">
        <v>48</v>
      </c>
      <c r="G264">
        <v>2</v>
      </c>
      <c r="H264" t="s">
        <v>49</v>
      </c>
      <c r="I264" t="s">
        <v>74</v>
      </c>
      <c r="J264" t="s">
        <v>41</v>
      </c>
      <c r="K264" t="s">
        <v>50</v>
      </c>
      <c r="L264">
        <v>84</v>
      </c>
      <c r="M264" t="s">
        <v>36</v>
      </c>
      <c r="N264" t="s">
        <v>39</v>
      </c>
      <c r="O264" t="s">
        <v>57</v>
      </c>
      <c r="P264" t="s">
        <v>44</v>
      </c>
      <c r="Q264" t="s">
        <v>42</v>
      </c>
      <c r="R264">
        <v>2176</v>
      </c>
      <c r="S264">
        <v>19737</v>
      </c>
      <c r="T264">
        <v>4</v>
      </c>
      <c r="U264" t="s">
        <v>46</v>
      </c>
      <c r="V264">
        <v>13</v>
      </c>
      <c r="W264" t="s">
        <v>43</v>
      </c>
      <c r="X264" t="s">
        <v>41</v>
      </c>
      <c r="Y264">
        <v>0</v>
      </c>
      <c r="Z264">
        <v>9</v>
      </c>
      <c r="AA264">
        <v>5</v>
      </c>
      <c r="AB264" t="s">
        <v>54</v>
      </c>
      <c r="AC264">
        <v>6</v>
      </c>
      <c r="AD264" t="str" cm="1">
        <f t="array" ref="AD264">_xlfn.IFS(AC264&lt;=5,"0-5",AC264&lt;=10,"5-10",AC264&lt;=40,"10-40")</f>
        <v>5-10</v>
      </c>
      <c r="AE264">
        <v>2</v>
      </c>
      <c r="AF264">
        <v>0</v>
      </c>
      <c r="AG264">
        <v>4</v>
      </c>
      <c r="AH264">
        <v>263</v>
      </c>
    </row>
    <row r="265" spans="1:34" x14ac:dyDescent="0.3">
      <c r="A265">
        <v>46</v>
      </c>
      <c r="B265" t="str" cm="1">
        <f t="array" ref="B265">_xlfn.IFS(A265&lt;=25,"18-25",A265&lt;=35,"26-35",A265&lt;=45,"36-45",A265&lt;=55,"46-55",A265&gt;55,"55+")</f>
        <v>46-55</v>
      </c>
      <c r="C265">
        <v>0</v>
      </c>
      <c r="D265" t="s">
        <v>32</v>
      </c>
      <c r="E265">
        <v>488</v>
      </c>
      <c r="F265" t="s">
        <v>33</v>
      </c>
      <c r="G265">
        <v>2</v>
      </c>
      <c r="H265" t="s">
        <v>61</v>
      </c>
      <c r="I265" t="s">
        <v>74</v>
      </c>
      <c r="J265" t="s">
        <v>38</v>
      </c>
      <c r="K265" t="s">
        <v>37</v>
      </c>
      <c r="L265">
        <v>75</v>
      </c>
      <c r="M265" t="s">
        <v>44</v>
      </c>
      <c r="N265" t="s">
        <v>67</v>
      </c>
      <c r="O265" t="s">
        <v>68</v>
      </c>
      <c r="P265" t="s">
        <v>36</v>
      </c>
      <c r="Q265" t="s">
        <v>52</v>
      </c>
      <c r="R265">
        <v>16872</v>
      </c>
      <c r="S265">
        <v>14977</v>
      </c>
      <c r="T265">
        <v>3</v>
      </c>
      <c r="U265" t="s">
        <v>31</v>
      </c>
      <c r="V265">
        <v>12</v>
      </c>
      <c r="W265" t="s">
        <v>43</v>
      </c>
      <c r="X265" t="s">
        <v>36</v>
      </c>
      <c r="Y265">
        <v>1</v>
      </c>
      <c r="Z265">
        <v>28</v>
      </c>
      <c r="AA265">
        <v>2</v>
      </c>
      <c r="AB265" t="s">
        <v>60</v>
      </c>
      <c r="AC265">
        <v>7</v>
      </c>
      <c r="AD265" t="str" cm="1">
        <f t="array" ref="AD265">_xlfn.IFS(AC265&lt;=5,"0-5",AC265&lt;=10,"5-10",AC265&lt;=40,"10-40")</f>
        <v>5-10</v>
      </c>
      <c r="AE265">
        <v>7</v>
      </c>
      <c r="AF265">
        <v>7</v>
      </c>
      <c r="AG265">
        <v>7</v>
      </c>
      <c r="AH265">
        <v>264</v>
      </c>
    </row>
    <row r="266" spans="1:34" x14ac:dyDescent="0.3">
      <c r="A266">
        <v>28</v>
      </c>
      <c r="B266" t="str" cm="1">
        <f t="array" ref="B266">_xlfn.IFS(A266&lt;=25,"18-25",A266&lt;=35,"26-35",A266&lt;=45,"36-45",A266&lt;=55,"46-55",A266&gt;55,"55+")</f>
        <v>26-35</v>
      </c>
      <c r="C266">
        <v>1</v>
      </c>
      <c r="D266" t="s">
        <v>32</v>
      </c>
      <c r="E266">
        <v>529</v>
      </c>
      <c r="F266" t="s">
        <v>48</v>
      </c>
      <c r="G266">
        <v>2</v>
      </c>
      <c r="H266" t="s">
        <v>58</v>
      </c>
      <c r="I266" t="s">
        <v>35</v>
      </c>
      <c r="J266" t="s">
        <v>44</v>
      </c>
      <c r="K266" t="s">
        <v>50</v>
      </c>
      <c r="L266">
        <v>79</v>
      </c>
      <c r="M266" t="s">
        <v>38</v>
      </c>
      <c r="N266" t="s">
        <v>56</v>
      </c>
      <c r="O266" t="s">
        <v>57</v>
      </c>
      <c r="P266" t="s">
        <v>38</v>
      </c>
      <c r="Q266" t="s">
        <v>42</v>
      </c>
      <c r="R266">
        <v>3485</v>
      </c>
      <c r="S266">
        <v>14935</v>
      </c>
      <c r="T266">
        <v>2</v>
      </c>
      <c r="U266" t="s">
        <v>46</v>
      </c>
      <c r="V266">
        <v>11</v>
      </c>
      <c r="W266" t="s">
        <v>43</v>
      </c>
      <c r="X266" t="s">
        <v>38</v>
      </c>
      <c r="Y266">
        <v>0</v>
      </c>
      <c r="Z266">
        <v>5</v>
      </c>
      <c r="AA266">
        <v>5</v>
      </c>
      <c r="AB266" t="s">
        <v>45</v>
      </c>
      <c r="AC266">
        <v>0</v>
      </c>
      <c r="AD266" t="str" cm="1">
        <f t="array" ref="AD266">_xlfn.IFS(AC266&lt;=5,"0-5",AC266&lt;=10,"5-10",AC266&lt;=40,"10-40")</f>
        <v>0-5</v>
      </c>
      <c r="AE266">
        <v>0</v>
      </c>
      <c r="AF266">
        <v>0</v>
      </c>
      <c r="AG266">
        <v>0</v>
      </c>
      <c r="AH266">
        <v>265</v>
      </c>
    </row>
    <row r="267" spans="1:34" x14ac:dyDescent="0.3">
      <c r="A267">
        <v>29</v>
      </c>
      <c r="B267" t="str" cm="1">
        <f t="array" ref="B267">_xlfn.IFS(A267&lt;=25,"18-25",A267&lt;=35,"26-35",A267&lt;=45,"36-45",A267&lt;=55,"46-55",A267&gt;55,"55+")</f>
        <v>26-35</v>
      </c>
      <c r="C267">
        <v>0</v>
      </c>
      <c r="D267" t="s">
        <v>32</v>
      </c>
      <c r="E267">
        <v>1210</v>
      </c>
      <c r="F267" t="s">
        <v>33</v>
      </c>
      <c r="G267">
        <v>2</v>
      </c>
      <c r="H267" t="s">
        <v>61</v>
      </c>
      <c r="I267" t="s">
        <v>59</v>
      </c>
      <c r="J267" t="s">
        <v>44</v>
      </c>
      <c r="K267" t="s">
        <v>50</v>
      </c>
      <c r="L267">
        <v>78</v>
      </c>
      <c r="M267" t="s">
        <v>36</v>
      </c>
      <c r="N267" t="s">
        <v>39</v>
      </c>
      <c r="O267" t="s">
        <v>40</v>
      </c>
      <c r="P267" t="s">
        <v>36</v>
      </c>
      <c r="Q267" t="s">
        <v>52</v>
      </c>
      <c r="R267">
        <v>6644</v>
      </c>
      <c r="S267">
        <v>3687</v>
      </c>
      <c r="T267">
        <v>2</v>
      </c>
      <c r="U267" t="s">
        <v>46</v>
      </c>
      <c r="V267">
        <v>19</v>
      </c>
      <c r="W267" t="s">
        <v>43</v>
      </c>
      <c r="X267" t="s">
        <v>36</v>
      </c>
      <c r="Y267">
        <v>2</v>
      </c>
      <c r="Z267">
        <v>10</v>
      </c>
      <c r="AA267">
        <v>2</v>
      </c>
      <c r="AB267" t="s">
        <v>54</v>
      </c>
      <c r="AC267">
        <v>0</v>
      </c>
      <c r="AD267" t="str" cm="1">
        <f t="array" ref="AD267">_xlfn.IFS(AC267&lt;=5,"0-5",AC267&lt;=10,"5-10",AC267&lt;=40,"10-40")</f>
        <v>0-5</v>
      </c>
      <c r="AE267">
        <v>0</v>
      </c>
      <c r="AF267">
        <v>0</v>
      </c>
      <c r="AG267">
        <v>0</v>
      </c>
      <c r="AH267">
        <v>266</v>
      </c>
    </row>
    <row r="268" spans="1:34" x14ac:dyDescent="0.3">
      <c r="A268">
        <v>31</v>
      </c>
      <c r="B268" t="str" cm="1">
        <f t="array" ref="B268">_xlfn.IFS(A268&lt;=25,"18-25",A268&lt;=35,"26-35",A268&lt;=45,"36-45",A268&lt;=55,"46-55",A268&gt;55,"55+")</f>
        <v>26-35</v>
      </c>
      <c r="C268">
        <v>0</v>
      </c>
      <c r="D268" t="s">
        <v>32</v>
      </c>
      <c r="E268">
        <v>1463</v>
      </c>
      <c r="F268" t="s">
        <v>48</v>
      </c>
      <c r="G268">
        <v>23</v>
      </c>
      <c r="H268" t="s">
        <v>61</v>
      </c>
      <c r="I268" t="s">
        <v>59</v>
      </c>
      <c r="J268" t="s">
        <v>36</v>
      </c>
      <c r="K268" t="s">
        <v>50</v>
      </c>
      <c r="L268">
        <v>64</v>
      </c>
      <c r="M268" t="s">
        <v>36</v>
      </c>
      <c r="N268" t="s">
        <v>39</v>
      </c>
      <c r="O268" t="s">
        <v>65</v>
      </c>
      <c r="P268" t="s">
        <v>41</v>
      </c>
      <c r="Q268" t="s">
        <v>52</v>
      </c>
      <c r="R268">
        <v>5582</v>
      </c>
      <c r="S268">
        <v>14408</v>
      </c>
      <c r="T268">
        <v>0</v>
      </c>
      <c r="U268" t="s">
        <v>46</v>
      </c>
      <c r="V268">
        <v>21</v>
      </c>
      <c r="W268" t="s">
        <v>53</v>
      </c>
      <c r="X268" t="s">
        <v>36</v>
      </c>
      <c r="Y268">
        <v>1</v>
      </c>
      <c r="Z268">
        <v>10</v>
      </c>
      <c r="AA268">
        <v>2</v>
      </c>
      <c r="AB268" t="s">
        <v>54</v>
      </c>
      <c r="AC268">
        <v>9</v>
      </c>
      <c r="AD268" t="str" cm="1">
        <f t="array" ref="AD268">_xlfn.IFS(AC268&lt;=5,"0-5",AC268&lt;=10,"5-10",AC268&lt;=40,"10-40")</f>
        <v>5-10</v>
      </c>
      <c r="AE268">
        <v>0</v>
      </c>
      <c r="AF268">
        <v>7</v>
      </c>
      <c r="AG268">
        <v>8</v>
      </c>
      <c r="AH268">
        <v>267</v>
      </c>
    </row>
    <row r="269" spans="1:34" x14ac:dyDescent="0.3">
      <c r="A269">
        <v>25</v>
      </c>
      <c r="B269" t="str" cm="1">
        <f t="array" ref="B269">_xlfn.IFS(A269&lt;=25,"18-25",A269&lt;=35,"26-35",A269&lt;=45,"36-45",A269&lt;=55,"46-55",A269&gt;55,"55+")</f>
        <v>18-25</v>
      </c>
      <c r="C269">
        <v>0</v>
      </c>
      <c r="D269" t="s">
        <v>66</v>
      </c>
      <c r="E269">
        <v>675</v>
      </c>
      <c r="F269" t="s">
        <v>48</v>
      </c>
      <c r="G269">
        <v>5</v>
      </c>
      <c r="H269" t="s">
        <v>34</v>
      </c>
      <c r="I269" t="s">
        <v>35</v>
      </c>
      <c r="J269" t="s">
        <v>36</v>
      </c>
      <c r="K269" t="s">
        <v>50</v>
      </c>
      <c r="L269">
        <v>85</v>
      </c>
      <c r="M269" t="s">
        <v>41</v>
      </c>
      <c r="N269" t="s">
        <v>39</v>
      </c>
      <c r="O269" t="s">
        <v>65</v>
      </c>
      <c r="P269" t="s">
        <v>44</v>
      </c>
      <c r="Q269" t="s">
        <v>62</v>
      </c>
      <c r="R269">
        <v>4000</v>
      </c>
      <c r="S269">
        <v>18384</v>
      </c>
      <c r="T269">
        <v>1</v>
      </c>
      <c r="U269" t="s">
        <v>46</v>
      </c>
      <c r="V269">
        <v>12</v>
      </c>
      <c r="W269" t="s">
        <v>43</v>
      </c>
      <c r="X269" t="s">
        <v>41</v>
      </c>
      <c r="Y269">
        <v>2</v>
      </c>
      <c r="Z269">
        <v>6</v>
      </c>
      <c r="AA269">
        <v>2</v>
      </c>
      <c r="AB269" t="s">
        <v>54</v>
      </c>
      <c r="AC269">
        <v>6</v>
      </c>
      <c r="AD269" t="str" cm="1">
        <f t="array" ref="AD269">_xlfn.IFS(AC269&lt;=5,"0-5",AC269&lt;=10,"5-10",AC269&lt;=40,"10-40")</f>
        <v>5-10</v>
      </c>
      <c r="AE269">
        <v>3</v>
      </c>
      <c r="AF269">
        <v>1</v>
      </c>
      <c r="AG269">
        <v>5</v>
      </c>
      <c r="AH269">
        <v>268</v>
      </c>
    </row>
    <row r="270" spans="1:34" x14ac:dyDescent="0.3">
      <c r="A270">
        <v>45</v>
      </c>
      <c r="B270" t="str" cm="1">
        <f t="array" ref="B270">_xlfn.IFS(A270&lt;=25,"18-25",A270&lt;=35,"26-35",A270&lt;=45,"36-45",A270&lt;=55,"46-55",A270&gt;55,"55+")</f>
        <v>36-45</v>
      </c>
      <c r="C270">
        <v>0</v>
      </c>
      <c r="D270" t="s">
        <v>32</v>
      </c>
      <c r="E270">
        <v>1385</v>
      </c>
      <c r="F270" t="s">
        <v>48</v>
      </c>
      <c r="G270">
        <v>20</v>
      </c>
      <c r="H270" t="s">
        <v>34</v>
      </c>
      <c r="I270" t="s">
        <v>59</v>
      </c>
      <c r="J270" t="s">
        <v>38</v>
      </c>
      <c r="K270" t="s">
        <v>50</v>
      </c>
      <c r="L270">
        <v>79</v>
      </c>
      <c r="M270" t="s">
        <v>38</v>
      </c>
      <c r="N270" t="s">
        <v>67</v>
      </c>
      <c r="O270" t="s">
        <v>65</v>
      </c>
      <c r="P270" t="s">
        <v>41</v>
      </c>
      <c r="Q270" t="s">
        <v>52</v>
      </c>
      <c r="R270">
        <v>13496</v>
      </c>
      <c r="S270">
        <v>7501</v>
      </c>
      <c r="T270">
        <v>0</v>
      </c>
      <c r="U270" t="s">
        <v>31</v>
      </c>
      <c r="V270">
        <v>14</v>
      </c>
      <c r="W270" t="s">
        <v>43</v>
      </c>
      <c r="X270" t="s">
        <v>36</v>
      </c>
      <c r="Y270">
        <v>0</v>
      </c>
      <c r="Z270">
        <v>21</v>
      </c>
      <c r="AA270">
        <v>2</v>
      </c>
      <c r="AB270" t="s">
        <v>54</v>
      </c>
      <c r="AC270">
        <v>20</v>
      </c>
      <c r="AD270" t="str" cm="1">
        <f t="array" ref="AD270">_xlfn.IFS(AC270&lt;=5,"0-5",AC270&lt;=10,"5-10",AC270&lt;=40,"10-40")</f>
        <v>10-40</v>
      </c>
      <c r="AE270">
        <v>7</v>
      </c>
      <c r="AF270">
        <v>4</v>
      </c>
      <c r="AG270">
        <v>10</v>
      </c>
      <c r="AH270">
        <v>269</v>
      </c>
    </row>
    <row r="271" spans="1:34" x14ac:dyDescent="0.3">
      <c r="A271">
        <v>36</v>
      </c>
      <c r="B271" t="str" cm="1">
        <f t="array" ref="B271">_xlfn.IFS(A271&lt;=25,"18-25",A271&lt;=35,"26-35",A271&lt;=45,"36-45",A271&lt;=55,"46-55",A271&gt;55,"55+")</f>
        <v>36-45</v>
      </c>
      <c r="C271">
        <v>0</v>
      </c>
      <c r="D271" t="s">
        <v>32</v>
      </c>
      <c r="E271">
        <v>1403</v>
      </c>
      <c r="F271" t="s">
        <v>48</v>
      </c>
      <c r="G271">
        <v>6</v>
      </c>
      <c r="H271" t="s">
        <v>61</v>
      </c>
      <c r="I271" t="s">
        <v>35</v>
      </c>
      <c r="J271" t="s">
        <v>41</v>
      </c>
      <c r="K271" t="s">
        <v>50</v>
      </c>
      <c r="L271">
        <v>47</v>
      </c>
      <c r="M271" t="s">
        <v>38</v>
      </c>
      <c r="N271" t="s">
        <v>56</v>
      </c>
      <c r="O271" t="s">
        <v>57</v>
      </c>
      <c r="P271" t="s">
        <v>41</v>
      </c>
      <c r="Q271" t="s">
        <v>52</v>
      </c>
      <c r="R271">
        <v>3210</v>
      </c>
      <c r="S271">
        <v>20251</v>
      </c>
      <c r="T271">
        <v>0</v>
      </c>
      <c r="U271" t="s">
        <v>46</v>
      </c>
      <c r="V271">
        <v>11</v>
      </c>
      <c r="W271" t="s">
        <v>43</v>
      </c>
      <c r="X271" t="s">
        <v>38</v>
      </c>
      <c r="Y271">
        <v>1</v>
      </c>
      <c r="Z271">
        <v>16</v>
      </c>
      <c r="AA271">
        <v>4</v>
      </c>
      <c r="AB271" t="s">
        <v>54</v>
      </c>
      <c r="AC271">
        <v>15</v>
      </c>
      <c r="AD271" t="str" cm="1">
        <f t="array" ref="AD271">_xlfn.IFS(AC271&lt;=5,"0-5",AC271&lt;=10,"5-10",AC271&lt;=40,"10-40")</f>
        <v>10-40</v>
      </c>
      <c r="AE271">
        <v>13</v>
      </c>
      <c r="AF271">
        <v>10</v>
      </c>
      <c r="AG271">
        <v>11</v>
      </c>
      <c r="AH271">
        <v>270</v>
      </c>
    </row>
    <row r="272" spans="1:34" x14ac:dyDescent="0.3">
      <c r="A272">
        <v>55</v>
      </c>
      <c r="B272" t="str" cm="1">
        <f t="array" ref="B272">_xlfn.IFS(A272&lt;=25,"18-25",A272&lt;=35,"26-35",A272&lt;=45,"36-45",A272&lt;=55,"46-55",A272&gt;55,"55+")</f>
        <v>46-55</v>
      </c>
      <c r="C272">
        <v>0</v>
      </c>
      <c r="D272" t="s">
        <v>32</v>
      </c>
      <c r="E272">
        <v>452</v>
      </c>
      <c r="F272" t="s">
        <v>48</v>
      </c>
      <c r="G272">
        <v>1</v>
      </c>
      <c r="H272" t="s">
        <v>61</v>
      </c>
      <c r="I272" t="s">
        <v>59</v>
      </c>
      <c r="J272" t="s">
        <v>41</v>
      </c>
      <c r="K272" t="s">
        <v>50</v>
      </c>
      <c r="L272">
        <v>81</v>
      </c>
      <c r="M272" t="s">
        <v>38</v>
      </c>
      <c r="N272" t="s">
        <v>71</v>
      </c>
      <c r="O272" t="s">
        <v>68</v>
      </c>
      <c r="P272" t="s">
        <v>44</v>
      </c>
      <c r="Q272" t="s">
        <v>42</v>
      </c>
      <c r="R272">
        <v>19045</v>
      </c>
      <c r="S272">
        <v>18938</v>
      </c>
      <c r="T272">
        <v>0</v>
      </c>
      <c r="U272" t="s">
        <v>31</v>
      </c>
      <c r="V272">
        <v>14</v>
      </c>
      <c r="W272" t="s">
        <v>43</v>
      </c>
      <c r="X272" t="s">
        <v>38</v>
      </c>
      <c r="Y272">
        <v>0</v>
      </c>
      <c r="Z272">
        <v>37</v>
      </c>
      <c r="AA272">
        <v>2</v>
      </c>
      <c r="AB272" t="s">
        <v>54</v>
      </c>
      <c r="AC272">
        <v>36</v>
      </c>
      <c r="AD272" t="str" cm="1">
        <f t="array" ref="AD272">_xlfn.IFS(AC272&lt;=5,"0-5",AC272&lt;=10,"5-10",AC272&lt;=40,"10-40")</f>
        <v>10-40</v>
      </c>
      <c r="AE272">
        <v>10</v>
      </c>
      <c r="AF272">
        <v>4</v>
      </c>
      <c r="AG272">
        <v>13</v>
      </c>
      <c r="AH272">
        <v>271</v>
      </c>
    </row>
    <row r="273" spans="1:34" x14ac:dyDescent="0.3">
      <c r="A273">
        <v>47</v>
      </c>
      <c r="B273" t="str" cm="1">
        <f t="array" ref="B273">_xlfn.IFS(A273&lt;=25,"18-25",A273&lt;=35,"26-35",A273&lt;=45,"36-45",A273&lt;=55,"46-55",A273&gt;55,"55+")</f>
        <v>46-55</v>
      </c>
      <c r="C273">
        <v>1</v>
      </c>
      <c r="D273" t="s">
        <v>66</v>
      </c>
      <c r="E273">
        <v>666</v>
      </c>
      <c r="F273" t="s">
        <v>48</v>
      </c>
      <c r="G273">
        <v>29</v>
      </c>
      <c r="H273" t="s">
        <v>58</v>
      </c>
      <c r="I273" t="s">
        <v>35</v>
      </c>
      <c r="J273" t="s">
        <v>44</v>
      </c>
      <c r="K273" t="s">
        <v>50</v>
      </c>
      <c r="L273">
        <v>88</v>
      </c>
      <c r="M273" t="s">
        <v>38</v>
      </c>
      <c r="N273" t="s">
        <v>63</v>
      </c>
      <c r="O273" t="s">
        <v>68</v>
      </c>
      <c r="P273" t="s">
        <v>36</v>
      </c>
      <c r="Q273" t="s">
        <v>52</v>
      </c>
      <c r="R273">
        <v>11849</v>
      </c>
      <c r="S273">
        <v>10268</v>
      </c>
      <c r="T273">
        <v>1</v>
      </c>
      <c r="U273" t="s">
        <v>31</v>
      </c>
      <c r="V273">
        <v>12</v>
      </c>
      <c r="W273" t="s">
        <v>43</v>
      </c>
      <c r="X273" t="s">
        <v>41</v>
      </c>
      <c r="Y273">
        <v>1</v>
      </c>
      <c r="Z273">
        <v>10</v>
      </c>
      <c r="AA273">
        <v>2</v>
      </c>
      <c r="AB273" t="s">
        <v>60</v>
      </c>
      <c r="AC273">
        <v>10</v>
      </c>
      <c r="AD273" t="str" cm="1">
        <f t="array" ref="AD273">_xlfn.IFS(AC273&lt;=5,"0-5",AC273&lt;=10,"5-10",AC273&lt;=40,"10-40")</f>
        <v>5-10</v>
      </c>
      <c r="AE273">
        <v>7</v>
      </c>
      <c r="AF273">
        <v>9</v>
      </c>
      <c r="AG273">
        <v>9</v>
      </c>
      <c r="AH273">
        <v>272</v>
      </c>
    </row>
    <row r="274" spans="1:34" x14ac:dyDescent="0.3">
      <c r="A274">
        <v>28</v>
      </c>
      <c r="B274" t="str" cm="1">
        <f t="array" ref="B274">_xlfn.IFS(A274&lt;=25,"18-25",A274&lt;=35,"26-35",A274&lt;=45,"36-45",A274&lt;=55,"46-55",A274&gt;55,"55+")</f>
        <v>26-35</v>
      </c>
      <c r="C274">
        <v>0</v>
      </c>
      <c r="D274" t="s">
        <v>32</v>
      </c>
      <c r="E274">
        <v>1158</v>
      </c>
      <c r="F274" t="s">
        <v>48</v>
      </c>
      <c r="G274">
        <v>9</v>
      </c>
      <c r="H274" t="s">
        <v>61</v>
      </c>
      <c r="I274" t="s">
        <v>59</v>
      </c>
      <c r="J274" t="s">
        <v>41</v>
      </c>
      <c r="K274" t="s">
        <v>50</v>
      </c>
      <c r="L274">
        <v>94</v>
      </c>
      <c r="M274" t="s">
        <v>38</v>
      </c>
      <c r="N274" t="s">
        <v>56</v>
      </c>
      <c r="O274" t="s">
        <v>51</v>
      </c>
      <c r="P274" t="s">
        <v>41</v>
      </c>
      <c r="Q274" t="s">
        <v>52</v>
      </c>
      <c r="R274">
        <v>2070</v>
      </c>
      <c r="S274">
        <v>2613</v>
      </c>
      <c r="T274">
        <v>1</v>
      </c>
      <c r="U274" t="s">
        <v>46</v>
      </c>
      <c r="V274">
        <v>23</v>
      </c>
      <c r="W274" t="s">
        <v>53</v>
      </c>
      <c r="X274" t="s">
        <v>41</v>
      </c>
      <c r="Y274">
        <v>1</v>
      </c>
      <c r="Z274">
        <v>5</v>
      </c>
      <c r="AA274">
        <v>3</v>
      </c>
      <c r="AB274" t="s">
        <v>60</v>
      </c>
      <c r="AC274">
        <v>5</v>
      </c>
      <c r="AD274" t="str" cm="1">
        <f t="array" ref="AD274">_xlfn.IFS(AC274&lt;=5,"0-5",AC274&lt;=10,"5-10",AC274&lt;=40,"10-40")</f>
        <v>0-5</v>
      </c>
      <c r="AE274">
        <v>2</v>
      </c>
      <c r="AF274">
        <v>0</v>
      </c>
      <c r="AG274">
        <v>4</v>
      </c>
      <c r="AH274">
        <v>273</v>
      </c>
    </row>
    <row r="275" spans="1:34" x14ac:dyDescent="0.3">
      <c r="A275">
        <v>37</v>
      </c>
      <c r="B275" t="str" cm="1">
        <f t="array" ref="B275">_xlfn.IFS(A275&lt;=25,"18-25",A275&lt;=35,"26-35",A275&lt;=45,"36-45",A275&lt;=55,"46-55",A275&gt;55,"55+")</f>
        <v>36-45</v>
      </c>
      <c r="C275">
        <v>0</v>
      </c>
      <c r="D275" t="s">
        <v>32</v>
      </c>
      <c r="E275">
        <v>228</v>
      </c>
      <c r="F275" t="s">
        <v>33</v>
      </c>
      <c r="G275">
        <v>6</v>
      </c>
      <c r="H275" t="s">
        <v>58</v>
      </c>
      <c r="I275" t="s">
        <v>59</v>
      </c>
      <c r="J275" t="s">
        <v>38</v>
      </c>
      <c r="K275" t="s">
        <v>50</v>
      </c>
      <c r="L275">
        <v>98</v>
      </c>
      <c r="M275" t="s">
        <v>38</v>
      </c>
      <c r="N275" t="s">
        <v>39</v>
      </c>
      <c r="O275" t="s">
        <v>40</v>
      </c>
      <c r="P275" t="s">
        <v>41</v>
      </c>
      <c r="Q275" t="s">
        <v>52</v>
      </c>
      <c r="R275">
        <v>6502</v>
      </c>
      <c r="S275">
        <v>22825</v>
      </c>
      <c r="T275">
        <v>4</v>
      </c>
      <c r="U275" t="s">
        <v>46</v>
      </c>
      <c r="V275">
        <v>14</v>
      </c>
      <c r="W275" t="s">
        <v>43</v>
      </c>
      <c r="X275" t="s">
        <v>36</v>
      </c>
      <c r="Y275">
        <v>1</v>
      </c>
      <c r="Z275">
        <v>7</v>
      </c>
      <c r="AA275">
        <v>5</v>
      </c>
      <c r="AB275" t="s">
        <v>73</v>
      </c>
      <c r="AC275">
        <v>5</v>
      </c>
      <c r="AD275" t="str" cm="1">
        <f t="array" ref="AD275">_xlfn.IFS(AC275&lt;=5,"0-5",AC275&lt;=10,"5-10",AC275&lt;=40,"10-40")</f>
        <v>0-5</v>
      </c>
      <c r="AE275">
        <v>4</v>
      </c>
      <c r="AF275">
        <v>0</v>
      </c>
      <c r="AG275">
        <v>1</v>
      </c>
      <c r="AH275">
        <v>274</v>
      </c>
    </row>
    <row r="276" spans="1:34" x14ac:dyDescent="0.3">
      <c r="A276">
        <v>21</v>
      </c>
      <c r="B276" t="str" cm="1">
        <f t="array" ref="B276">_xlfn.IFS(A276&lt;=25,"18-25",A276&lt;=35,"26-35",A276&lt;=45,"36-45",A276&lt;=55,"46-55",A276&gt;55,"55+")</f>
        <v>18-25</v>
      </c>
      <c r="C276">
        <v>0</v>
      </c>
      <c r="D276" t="s">
        <v>32</v>
      </c>
      <c r="E276">
        <v>996</v>
      </c>
      <c r="F276" t="s">
        <v>48</v>
      </c>
      <c r="G276">
        <v>3</v>
      </c>
      <c r="H276" t="s">
        <v>34</v>
      </c>
      <c r="I276" t="s">
        <v>59</v>
      </c>
      <c r="J276" t="s">
        <v>41</v>
      </c>
      <c r="K276" t="s">
        <v>50</v>
      </c>
      <c r="L276">
        <v>100</v>
      </c>
      <c r="M276" t="s">
        <v>36</v>
      </c>
      <c r="N276" t="s">
        <v>56</v>
      </c>
      <c r="O276" t="s">
        <v>51</v>
      </c>
      <c r="P276" t="s">
        <v>38</v>
      </c>
      <c r="Q276" t="s">
        <v>42</v>
      </c>
      <c r="R276">
        <v>3230</v>
      </c>
      <c r="S276">
        <v>10531</v>
      </c>
      <c r="T276">
        <v>1</v>
      </c>
      <c r="U276" t="s">
        <v>46</v>
      </c>
      <c r="V276">
        <v>17</v>
      </c>
      <c r="W276" t="s">
        <v>43</v>
      </c>
      <c r="X276" t="s">
        <v>44</v>
      </c>
      <c r="Y276">
        <v>0</v>
      </c>
      <c r="Z276">
        <v>3</v>
      </c>
      <c r="AA276">
        <v>4</v>
      </c>
      <c r="AB276" t="s">
        <v>73</v>
      </c>
      <c r="AC276">
        <v>3</v>
      </c>
      <c r="AD276" t="str" cm="1">
        <f t="array" ref="AD276">_xlfn.IFS(AC276&lt;=5,"0-5",AC276&lt;=10,"5-10",AC276&lt;=40,"10-40")</f>
        <v>0-5</v>
      </c>
      <c r="AE276">
        <v>2</v>
      </c>
      <c r="AF276">
        <v>1</v>
      </c>
      <c r="AG276">
        <v>0</v>
      </c>
      <c r="AH276">
        <v>275</v>
      </c>
    </row>
    <row r="277" spans="1:34" x14ac:dyDescent="0.3">
      <c r="A277">
        <v>37</v>
      </c>
      <c r="B277" t="str" cm="1">
        <f t="array" ref="B277">_xlfn.IFS(A277&lt;=25,"18-25",A277&lt;=35,"26-35",A277&lt;=45,"36-45",A277&lt;=55,"46-55",A277&gt;55,"55+")</f>
        <v>36-45</v>
      </c>
      <c r="C277">
        <v>0</v>
      </c>
      <c r="D277" t="s">
        <v>66</v>
      </c>
      <c r="E277">
        <v>728</v>
      </c>
      <c r="F277" t="s">
        <v>48</v>
      </c>
      <c r="G277">
        <v>1</v>
      </c>
      <c r="H277" t="s">
        <v>58</v>
      </c>
      <c r="I277" t="s">
        <v>59</v>
      </c>
      <c r="J277" t="s">
        <v>44</v>
      </c>
      <c r="K277" t="s">
        <v>37</v>
      </c>
      <c r="L277">
        <v>80</v>
      </c>
      <c r="M277" t="s">
        <v>38</v>
      </c>
      <c r="N277" t="s">
        <v>63</v>
      </c>
      <c r="O277" t="s">
        <v>70</v>
      </c>
      <c r="P277" t="s">
        <v>41</v>
      </c>
      <c r="Q277" t="s">
        <v>62</v>
      </c>
      <c r="R277">
        <v>13603</v>
      </c>
      <c r="S277">
        <v>11677</v>
      </c>
      <c r="T277">
        <v>2</v>
      </c>
      <c r="U277" t="s">
        <v>31</v>
      </c>
      <c r="V277">
        <v>18</v>
      </c>
      <c r="W277" t="s">
        <v>43</v>
      </c>
      <c r="X277" t="s">
        <v>44</v>
      </c>
      <c r="Y277">
        <v>2</v>
      </c>
      <c r="Z277">
        <v>15</v>
      </c>
      <c r="AA277">
        <v>2</v>
      </c>
      <c r="AB277" t="s">
        <v>54</v>
      </c>
      <c r="AC277">
        <v>5</v>
      </c>
      <c r="AD277" t="str" cm="1">
        <f t="array" ref="AD277">_xlfn.IFS(AC277&lt;=5,"0-5",AC277&lt;=10,"5-10",AC277&lt;=40,"10-40")</f>
        <v>0-5</v>
      </c>
      <c r="AE277">
        <v>2</v>
      </c>
      <c r="AF277">
        <v>0</v>
      </c>
      <c r="AG277">
        <v>2</v>
      </c>
      <c r="AH277">
        <v>276</v>
      </c>
    </row>
    <row r="278" spans="1:34" x14ac:dyDescent="0.3">
      <c r="A278">
        <v>35</v>
      </c>
      <c r="B278" t="str" cm="1">
        <f t="array" ref="B278">_xlfn.IFS(A278&lt;=25,"18-25",A278&lt;=35,"26-35",A278&lt;=45,"36-45",A278&lt;=55,"46-55",A278&gt;55,"55+")</f>
        <v>26-35</v>
      </c>
      <c r="C278">
        <v>0</v>
      </c>
      <c r="D278" t="s">
        <v>32</v>
      </c>
      <c r="E278">
        <v>1315</v>
      </c>
      <c r="F278" t="s">
        <v>48</v>
      </c>
      <c r="G278">
        <v>22</v>
      </c>
      <c r="H278" t="s">
        <v>61</v>
      </c>
      <c r="I278" t="s">
        <v>35</v>
      </c>
      <c r="J278" t="s">
        <v>36</v>
      </c>
      <c r="K278" t="s">
        <v>37</v>
      </c>
      <c r="L278">
        <v>71</v>
      </c>
      <c r="M278" t="s">
        <v>41</v>
      </c>
      <c r="N278" t="s">
        <v>63</v>
      </c>
      <c r="O278" t="s">
        <v>68</v>
      </c>
      <c r="P278" t="s">
        <v>36</v>
      </c>
      <c r="Q278" t="s">
        <v>62</v>
      </c>
      <c r="R278">
        <v>11996</v>
      </c>
      <c r="S278">
        <v>19100</v>
      </c>
      <c r="T278">
        <v>7</v>
      </c>
      <c r="U278" t="s">
        <v>46</v>
      </c>
      <c r="V278">
        <v>18</v>
      </c>
      <c r="W278" t="s">
        <v>43</v>
      </c>
      <c r="X278" t="s">
        <v>36</v>
      </c>
      <c r="Y278">
        <v>1</v>
      </c>
      <c r="Z278">
        <v>10</v>
      </c>
      <c r="AA278">
        <v>6</v>
      </c>
      <c r="AB278" t="s">
        <v>60</v>
      </c>
      <c r="AC278">
        <v>7</v>
      </c>
      <c r="AD278" t="str" cm="1">
        <f t="array" ref="AD278">_xlfn.IFS(AC278&lt;=5,"0-5",AC278&lt;=10,"5-10",AC278&lt;=40,"10-40")</f>
        <v>5-10</v>
      </c>
      <c r="AE278">
        <v>7</v>
      </c>
      <c r="AF278">
        <v>6</v>
      </c>
      <c r="AG278">
        <v>2</v>
      </c>
      <c r="AH278">
        <v>277</v>
      </c>
    </row>
    <row r="279" spans="1:34" x14ac:dyDescent="0.3">
      <c r="A279">
        <v>38</v>
      </c>
      <c r="B279" t="str" cm="1">
        <f t="array" ref="B279">_xlfn.IFS(A279&lt;=25,"18-25",A279&lt;=35,"26-35",A279&lt;=45,"36-45",A279&lt;=55,"46-55",A279&gt;55,"55+")</f>
        <v>36-45</v>
      </c>
      <c r="C279">
        <v>0</v>
      </c>
      <c r="D279" t="s">
        <v>32</v>
      </c>
      <c r="E279">
        <v>322</v>
      </c>
      <c r="F279" t="s">
        <v>33</v>
      </c>
      <c r="G279">
        <v>7</v>
      </c>
      <c r="H279" t="s">
        <v>34</v>
      </c>
      <c r="I279" t="s">
        <v>59</v>
      </c>
      <c r="J279" t="s">
        <v>44</v>
      </c>
      <c r="K279" t="s">
        <v>37</v>
      </c>
      <c r="L279">
        <v>44</v>
      </c>
      <c r="M279" t="s">
        <v>41</v>
      </c>
      <c r="N279" t="s">
        <v>39</v>
      </c>
      <c r="O279" t="s">
        <v>40</v>
      </c>
      <c r="P279" t="s">
        <v>44</v>
      </c>
      <c r="Q279" t="s">
        <v>62</v>
      </c>
      <c r="R279">
        <v>5605</v>
      </c>
      <c r="S279">
        <v>19191</v>
      </c>
      <c r="T279">
        <v>1</v>
      </c>
      <c r="U279" t="s">
        <v>31</v>
      </c>
      <c r="V279">
        <v>24</v>
      </c>
      <c r="W279" t="s">
        <v>53</v>
      </c>
      <c r="X279" t="s">
        <v>38</v>
      </c>
      <c r="Y279">
        <v>1</v>
      </c>
      <c r="Z279">
        <v>8</v>
      </c>
      <c r="AA279">
        <v>3</v>
      </c>
      <c r="AB279" t="s">
        <v>54</v>
      </c>
      <c r="AC279">
        <v>8</v>
      </c>
      <c r="AD279" t="str" cm="1">
        <f t="array" ref="AD279">_xlfn.IFS(AC279&lt;=5,"0-5",AC279&lt;=10,"5-10",AC279&lt;=40,"10-40")</f>
        <v>5-10</v>
      </c>
      <c r="AE279">
        <v>0</v>
      </c>
      <c r="AF279">
        <v>7</v>
      </c>
      <c r="AG279">
        <v>7</v>
      </c>
      <c r="AH279">
        <v>278</v>
      </c>
    </row>
    <row r="280" spans="1:34" x14ac:dyDescent="0.3">
      <c r="A280">
        <v>26</v>
      </c>
      <c r="B280" t="str" cm="1">
        <f t="array" ref="B280">_xlfn.IFS(A280&lt;=25,"18-25",A280&lt;=35,"26-35",A280&lt;=45,"36-45",A280&lt;=55,"46-55",A280&gt;55,"55+")</f>
        <v>26-35</v>
      </c>
      <c r="C280">
        <v>0</v>
      </c>
      <c r="D280" t="s">
        <v>47</v>
      </c>
      <c r="E280">
        <v>1479</v>
      </c>
      <c r="F280" t="s">
        <v>48</v>
      </c>
      <c r="G280">
        <v>1</v>
      </c>
      <c r="H280" t="s">
        <v>61</v>
      </c>
      <c r="I280" t="s">
        <v>35</v>
      </c>
      <c r="J280" t="s">
        <v>38</v>
      </c>
      <c r="K280" t="s">
        <v>37</v>
      </c>
      <c r="L280">
        <v>84</v>
      </c>
      <c r="M280" t="s">
        <v>38</v>
      </c>
      <c r="N280" t="s">
        <v>39</v>
      </c>
      <c r="O280" t="s">
        <v>64</v>
      </c>
      <c r="P280" t="s">
        <v>36</v>
      </c>
      <c r="Q280" t="s">
        <v>62</v>
      </c>
      <c r="R280">
        <v>6397</v>
      </c>
      <c r="S280">
        <v>26767</v>
      </c>
      <c r="T280">
        <v>1</v>
      </c>
      <c r="U280" t="s">
        <v>46</v>
      </c>
      <c r="V280">
        <v>20</v>
      </c>
      <c r="W280" t="s">
        <v>53</v>
      </c>
      <c r="X280" t="s">
        <v>44</v>
      </c>
      <c r="Y280">
        <v>1</v>
      </c>
      <c r="Z280">
        <v>6</v>
      </c>
      <c r="AA280">
        <v>6</v>
      </c>
      <c r="AB280" t="s">
        <v>45</v>
      </c>
      <c r="AC280">
        <v>6</v>
      </c>
      <c r="AD280" t="str" cm="1">
        <f t="array" ref="AD280">_xlfn.IFS(AC280&lt;=5,"0-5",AC280&lt;=10,"5-10",AC280&lt;=40,"10-40")</f>
        <v>5-10</v>
      </c>
      <c r="AE280">
        <v>5</v>
      </c>
      <c r="AF280">
        <v>1</v>
      </c>
      <c r="AG280">
        <v>4</v>
      </c>
      <c r="AH280">
        <v>279</v>
      </c>
    </row>
    <row r="281" spans="1:34" x14ac:dyDescent="0.3">
      <c r="A281">
        <v>50</v>
      </c>
      <c r="B281" t="str" cm="1">
        <f t="array" ref="B281">_xlfn.IFS(A281&lt;=25,"18-25",A281&lt;=35,"26-35",A281&lt;=45,"36-45",A281&lt;=55,"46-55",A281&gt;55,"55+")</f>
        <v>46-55</v>
      </c>
      <c r="C281">
        <v>0</v>
      </c>
      <c r="D281" t="s">
        <v>32</v>
      </c>
      <c r="E281">
        <v>797</v>
      </c>
      <c r="F281" t="s">
        <v>48</v>
      </c>
      <c r="G281">
        <v>4</v>
      </c>
      <c r="H281" t="s">
        <v>49</v>
      </c>
      <c r="I281" t="s">
        <v>35</v>
      </c>
      <c r="J281" t="s">
        <v>44</v>
      </c>
      <c r="K281" t="s">
        <v>50</v>
      </c>
      <c r="L281">
        <v>96</v>
      </c>
      <c r="M281" t="s">
        <v>38</v>
      </c>
      <c r="N281" t="s">
        <v>71</v>
      </c>
      <c r="O281" t="s">
        <v>70</v>
      </c>
      <c r="P281" t="s">
        <v>36</v>
      </c>
      <c r="Q281" t="s">
        <v>62</v>
      </c>
      <c r="R281">
        <v>19144</v>
      </c>
      <c r="S281">
        <v>15815</v>
      </c>
      <c r="T281">
        <v>3</v>
      </c>
      <c r="U281" t="s">
        <v>46</v>
      </c>
      <c r="V281">
        <v>14</v>
      </c>
      <c r="W281" t="s">
        <v>43</v>
      </c>
      <c r="X281" t="s">
        <v>44</v>
      </c>
      <c r="Y281">
        <v>2</v>
      </c>
      <c r="Z281">
        <v>28</v>
      </c>
      <c r="AA281">
        <v>4</v>
      </c>
      <c r="AB281" t="s">
        <v>60</v>
      </c>
      <c r="AC281">
        <v>10</v>
      </c>
      <c r="AD281" t="str" cm="1">
        <f t="array" ref="AD281">_xlfn.IFS(AC281&lt;=5,"0-5",AC281&lt;=10,"5-10",AC281&lt;=40,"10-40")</f>
        <v>5-10</v>
      </c>
      <c r="AE281">
        <v>4</v>
      </c>
      <c r="AF281">
        <v>1</v>
      </c>
      <c r="AG281">
        <v>6</v>
      </c>
      <c r="AH281">
        <v>280</v>
      </c>
    </row>
    <row r="282" spans="1:34" x14ac:dyDescent="0.3">
      <c r="A282">
        <v>53</v>
      </c>
      <c r="B282" t="str" cm="1">
        <f t="array" ref="B282">_xlfn.IFS(A282&lt;=25,"18-25",A282&lt;=35,"26-35",A282&lt;=45,"36-45",A282&lt;=55,"46-55",A282&gt;55,"55+")</f>
        <v>46-55</v>
      </c>
      <c r="C282">
        <v>0</v>
      </c>
      <c r="D282" t="s">
        <v>32</v>
      </c>
      <c r="E282">
        <v>1070</v>
      </c>
      <c r="F282" t="s">
        <v>48</v>
      </c>
      <c r="G282">
        <v>3</v>
      </c>
      <c r="H282" t="s">
        <v>58</v>
      </c>
      <c r="I282" t="s">
        <v>59</v>
      </c>
      <c r="J282" t="s">
        <v>38</v>
      </c>
      <c r="K282" t="s">
        <v>50</v>
      </c>
      <c r="L282">
        <v>45</v>
      </c>
      <c r="M282" t="s">
        <v>38</v>
      </c>
      <c r="N282" t="s">
        <v>67</v>
      </c>
      <c r="O282" t="s">
        <v>70</v>
      </c>
      <c r="P282" t="s">
        <v>38</v>
      </c>
      <c r="Q282" t="s">
        <v>52</v>
      </c>
      <c r="R282">
        <v>17584</v>
      </c>
      <c r="S282">
        <v>21016</v>
      </c>
      <c r="T282">
        <v>3</v>
      </c>
      <c r="U282" t="s">
        <v>31</v>
      </c>
      <c r="V282">
        <v>16</v>
      </c>
      <c r="W282" t="s">
        <v>43</v>
      </c>
      <c r="X282" t="s">
        <v>41</v>
      </c>
      <c r="Y282">
        <v>3</v>
      </c>
      <c r="Z282">
        <v>21</v>
      </c>
      <c r="AA282">
        <v>5</v>
      </c>
      <c r="AB282" t="s">
        <v>60</v>
      </c>
      <c r="AC282">
        <v>5</v>
      </c>
      <c r="AD282" t="str" cm="1">
        <f t="array" ref="AD282">_xlfn.IFS(AC282&lt;=5,"0-5",AC282&lt;=10,"5-10",AC282&lt;=40,"10-40")</f>
        <v>0-5</v>
      </c>
      <c r="AE282">
        <v>3</v>
      </c>
      <c r="AF282">
        <v>1</v>
      </c>
      <c r="AG282">
        <v>3</v>
      </c>
      <c r="AH282">
        <v>281</v>
      </c>
    </row>
    <row r="283" spans="1:34" x14ac:dyDescent="0.3">
      <c r="A283">
        <v>42</v>
      </c>
      <c r="B283" t="str" cm="1">
        <f t="array" ref="B283">_xlfn.IFS(A283&lt;=25,"18-25",A283&lt;=35,"26-35",A283&lt;=45,"36-45",A283&lt;=55,"46-55",A283&gt;55,"55+")</f>
        <v>36-45</v>
      </c>
      <c r="C283">
        <v>0</v>
      </c>
      <c r="D283" t="s">
        <v>32</v>
      </c>
      <c r="E283">
        <v>635</v>
      </c>
      <c r="F283" t="s">
        <v>33</v>
      </c>
      <c r="G283">
        <v>1</v>
      </c>
      <c r="H283" t="s">
        <v>49</v>
      </c>
      <c r="I283" t="s">
        <v>35</v>
      </c>
      <c r="J283" t="s">
        <v>36</v>
      </c>
      <c r="K283" t="s">
        <v>50</v>
      </c>
      <c r="L283">
        <v>99</v>
      </c>
      <c r="M283" t="s">
        <v>38</v>
      </c>
      <c r="N283" t="s">
        <v>39</v>
      </c>
      <c r="O283" t="s">
        <v>40</v>
      </c>
      <c r="P283" t="s">
        <v>38</v>
      </c>
      <c r="Q283" t="s">
        <v>52</v>
      </c>
      <c r="R283">
        <v>4907</v>
      </c>
      <c r="S283">
        <v>24532</v>
      </c>
      <c r="T283">
        <v>1</v>
      </c>
      <c r="U283" t="s">
        <v>46</v>
      </c>
      <c r="V283">
        <v>25</v>
      </c>
      <c r="W283" t="s">
        <v>53</v>
      </c>
      <c r="X283" t="s">
        <v>38</v>
      </c>
      <c r="Y283">
        <v>0</v>
      </c>
      <c r="Z283">
        <v>20</v>
      </c>
      <c r="AA283">
        <v>3</v>
      </c>
      <c r="AB283" t="s">
        <v>54</v>
      </c>
      <c r="AC283">
        <v>20</v>
      </c>
      <c r="AD283" t="str" cm="1">
        <f t="array" ref="AD283">_xlfn.IFS(AC283&lt;=5,"0-5",AC283&lt;=10,"5-10",AC283&lt;=40,"10-40")</f>
        <v>10-40</v>
      </c>
      <c r="AE283">
        <v>16</v>
      </c>
      <c r="AF283">
        <v>11</v>
      </c>
      <c r="AG283">
        <v>6</v>
      </c>
      <c r="AH283">
        <v>282</v>
      </c>
    </row>
    <row r="284" spans="1:34" x14ac:dyDescent="0.3">
      <c r="A284">
        <v>29</v>
      </c>
      <c r="B284" t="str" cm="1">
        <f t="array" ref="B284">_xlfn.IFS(A284&lt;=25,"18-25",A284&lt;=35,"26-35",A284&lt;=45,"36-45",A284&lt;=55,"46-55",A284&gt;55,"55+")</f>
        <v>26-35</v>
      </c>
      <c r="C284">
        <v>0</v>
      </c>
      <c r="D284" t="s">
        <v>47</v>
      </c>
      <c r="E284">
        <v>442</v>
      </c>
      <c r="F284" t="s">
        <v>33</v>
      </c>
      <c r="G284">
        <v>2</v>
      </c>
      <c r="H284" t="s">
        <v>34</v>
      </c>
      <c r="I284" t="s">
        <v>35</v>
      </c>
      <c r="J284" t="s">
        <v>36</v>
      </c>
      <c r="K284" t="s">
        <v>50</v>
      </c>
      <c r="L284">
        <v>44</v>
      </c>
      <c r="M284" t="s">
        <v>38</v>
      </c>
      <c r="N284" t="s">
        <v>39</v>
      </c>
      <c r="O284" t="s">
        <v>40</v>
      </c>
      <c r="P284" t="s">
        <v>41</v>
      </c>
      <c r="Q284" t="s">
        <v>42</v>
      </c>
      <c r="R284">
        <v>4554</v>
      </c>
      <c r="S284">
        <v>20260</v>
      </c>
      <c r="T284">
        <v>1</v>
      </c>
      <c r="U284" t="s">
        <v>46</v>
      </c>
      <c r="V284">
        <v>18</v>
      </c>
      <c r="W284" t="s">
        <v>43</v>
      </c>
      <c r="X284" t="s">
        <v>44</v>
      </c>
      <c r="Y284">
        <v>0</v>
      </c>
      <c r="Z284">
        <v>10</v>
      </c>
      <c r="AA284">
        <v>3</v>
      </c>
      <c r="AB284" t="s">
        <v>60</v>
      </c>
      <c r="AC284">
        <v>10</v>
      </c>
      <c r="AD284" t="str" cm="1">
        <f t="array" ref="AD284">_xlfn.IFS(AC284&lt;=5,"0-5",AC284&lt;=10,"5-10",AC284&lt;=40,"10-40")</f>
        <v>5-10</v>
      </c>
      <c r="AE284">
        <v>7</v>
      </c>
      <c r="AF284">
        <v>0</v>
      </c>
      <c r="AG284">
        <v>9</v>
      </c>
      <c r="AH284">
        <v>283</v>
      </c>
    </row>
    <row r="285" spans="1:34" x14ac:dyDescent="0.3">
      <c r="A285">
        <v>55</v>
      </c>
      <c r="B285" t="str" cm="1">
        <f t="array" ref="B285">_xlfn.IFS(A285&lt;=25,"18-25",A285&lt;=35,"26-35",A285&lt;=45,"36-45",A285&lt;=55,"46-55",A285&gt;55,"55+")</f>
        <v>46-55</v>
      </c>
      <c r="C285">
        <v>0</v>
      </c>
      <c r="D285" t="s">
        <v>32</v>
      </c>
      <c r="E285">
        <v>147</v>
      </c>
      <c r="F285" t="s">
        <v>48</v>
      </c>
      <c r="G285">
        <v>20</v>
      </c>
      <c r="H285" t="s">
        <v>34</v>
      </c>
      <c r="I285" t="s">
        <v>74</v>
      </c>
      <c r="J285" t="s">
        <v>36</v>
      </c>
      <c r="K285" t="s">
        <v>50</v>
      </c>
      <c r="L285">
        <v>37</v>
      </c>
      <c r="M285" t="s">
        <v>38</v>
      </c>
      <c r="N285" t="s">
        <v>39</v>
      </c>
      <c r="O285" t="s">
        <v>57</v>
      </c>
      <c r="P285" t="s">
        <v>41</v>
      </c>
      <c r="Q285" t="s">
        <v>52</v>
      </c>
      <c r="R285">
        <v>5415</v>
      </c>
      <c r="S285">
        <v>15972</v>
      </c>
      <c r="T285">
        <v>3</v>
      </c>
      <c r="U285" t="s">
        <v>31</v>
      </c>
      <c r="V285">
        <v>19</v>
      </c>
      <c r="W285" t="s">
        <v>43</v>
      </c>
      <c r="X285" t="s">
        <v>41</v>
      </c>
      <c r="Y285">
        <v>1</v>
      </c>
      <c r="Z285">
        <v>12</v>
      </c>
      <c r="AA285">
        <v>4</v>
      </c>
      <c r="AB285" t="s">
        <v>54</v>
      </c>
      <c r="AC285">
        <v>10</v>
      </c>
      <c r="AD285" t="str" cm="1">
        <f t="array" ref="AD285">_xlfn.IFS(AC285&lt;=5,"0-5",AC285&lt;=10,"5-10",AC285&lt;=40,"10-40")</f>
        <v>5-10</v>
      </c>
      <c r="AE285">
        <v>7</v>
      </c>
      <c r="AF285">
        <v>0</v>
      </c>
      <c r="AG285">
        <v>8</v>
      </c>
      <c r="AH285">
        <v>284</v>
      </c>
    </row>
    <row r="286" spans="1:34" x14ac:dyDescent="0.3">
      <c r="A286">
        <v>26</v>
      </c>
      <c r="B286" t="str" cm="1">
        <f t="array" ref="B286">_xlfn.IFS(A286&lt;=25,"18-25",A286&lt;=35,"26-35",A286&lt;=45,"36-45",A286&lt;=55,"46-55",A286&gt;55,"55+")</f>
        <v>26-35</v>
      </c>
      <c r="C286">
        <v>0</v>
      </c>
      <c r="D286" t="s">
        <v>47</v>
      </c>
      <c r="E286">
        <v>496</v>
      </c>
      <c r="F286" t="s">
        <v>48</v>
      </c>
      <c r="G286">
        <v>11</v>
      </c>
      <c r="H286" t="s">
        <v>34</v>
      </c>
      <c r="I286" t="s">
        <v>59</v>
      </c>
      <c r="J286" t="s">
        <v>44</v>
      </c>
      <c r="K286" t="s">
        <v>50</v>
      </c>
      <c r="L286">
        <v>60</v>
      </c>
      <c r="M286" t="s">
        <v>38</v>
      </c>
      <c r="N286" t="s">
        <v>39</v>
      </c>
      <c r="O286" t="s">
        <v>65</v>
      </c>
      <c r="P286" t="s">
        <v>44</v>
      </c>
      <c r="Q286" t="s">
        <v>52</v>
      </c>
      <c r="R286">
        <v>4741</v>
      </c>
      <c r="S286">
        <v>22722</v>
      </c>
      <c r="T286">
        <v>1</v>
      </c>
      <c r="U286" t="s">
        <v>31</v>
      </c>
      <c r="V286">
        <v>13</v>
      </c>
      <c r="W286" t="s">
        <v>43</v>
      </c>
      <c r="X286" t="s">
        <v>38</v>
      </c>
      <c r="Y286">
        <v>1</v>
      </c>
      <c r="Z286">
        <v>5</v>
      </c>
      <c r="AA286">
        <v>3</v>
      </c>
      <c r="AB286" t="s">
        <v>54</v>
      </c>
      <c r="AC286">
        <v>5</v>
      </c>
      <c r="AD286" t="str" cm="1">
        <f t="array" ref="AD286">_xlfn.IFS(AC286&lt;=5,"0-5",AC286&lt;=10,"5-10",AC286&lt;=40,"10-40")</f>
        <v>0-5</v>
      </c>
      <c r="AE286">
        <v>3</v>
      </c>
      <c r="AF286">
        <v>3</v>
      </c>
      <c r="AG286">
        <v>3</v>
      </c>
      <c r="AH286">
        <v>285</v>
      </c>
    </row>
    <row r="287" spans="1:34" x14ac:dyDescent="0.3">
      <c r="A287">
        <v>37</v>
      </c>
      <c r="B287" t="str" cm="1">
        <f t="array" ref="B287">_xlfn.IFS(A287&lt;=25,"18-25",A287&lt;=35,"26-35",A287&lt;=45,"36-45",A287&lt;=55,"46-55",A287&gt;55,"55+")</f>
        <v>36-45</v>
      </c>
      <c r="C287">
        <v>0</v>
      </c>
      <c r="D287" t="s">
        <v>32</v>
      </c>
      <c r="E287">
        <v>1372</v>
      </c>
      <c r="F287" t="s">
        <v>48</v>
      </c>
      <c r="G287">
        <v>1</v>
      </c>
      <c r="H287" t="s">
        <v>61</v>
      </c>
      <c r="I287" t="s">
        <v>35</v>
      </c>
      <c r="J287" t="s">
        <v>41</v>
      </c>
      <c r="K287" t="s">
        <v>37</v>
      </c>
      <c r="L287">
        <v>42</v>
      </c>
      <c r="M287" t="s">
        <v>38</v>
      </c>
      <c r="N287" t="s">
        <v>56</v>
      </c>
      <c r="O287" t="s">
        <v>51</v>
      </c>
      <c r="P287" t="s">
        <v>41</v>
      </c>
      <c r="Q287" t="s">
        <v>42</v>
      </c>
      <c r="R287">
        <v>2115</v>
      </c>
      <c r="S287">
        <v>15881</v>
      </c>
      <c r="T287">
        <v>1</v>
      </c>
      <c r="U287" t="s">
        <v>46</v>
      </c>
      <c r="V287">
        <v>12</v>
      </c>
      <c r="W287" t="s">
        <v>43</v>
      </c>
      <c r="X287" t="s">
        <v>36</v>
      </c>
      <c r="Y287">
        <v>0</v>
      </c>
      <c r="Z287">
        <v>17</v>
      </c>
      <c r="AA287">
        <v>3</v>
      </c>
      <c r="AB287" t="s">
        <v>54</v>
      </c>
      <c r="AC287">
        <v>17</v>
      </c>
      <c r="AD287" t="str" cm="1">
        <f t="array" ref="AD287">_xlfn.IFS(AC287&lt;=5,"0-5",AC287&lt;=10,"5-10",AC287&lt;=40,"10-40")</f>
        <v>10-40</v>
      </c>
      <c r="AE287">
        <v>12</v>
      </c>
      <c r="AF287">
        <v>5</v>
      </c>
      <c r="AG287">
        <v>7</v>
      </c>
      <c r="AH287">
        <v>286</v>
      </c>
    </row>
    <row r="288" spans="1:34" x14ac:dyDescent="0.3">
      <c r="A288">
        <v>44</v>
      </c>
      <c r="B288" t="str" cm="1">
        <f t="array" ref="B288">_xlfn.IFS(A288&lt;=25,"18-25",A288&lt;=35,"26-35",A288&lt;=45,"36-45",A288&lt;=55,"46-55",A288&gt;55,"55+")</f>
        <v>36-45</v>
      </c>
      <c r="C288">
        <v>1</v>
      </c>
      <c r="D288" t="s">
        <v>47</v>
      </c>
      <c r="E288">
        <v>920</v>
      </c>
      <c r="F288" t="s">
        <v>48</v>
      </c>
      <c r="G288">
        <v>24</v>
      </c>
      <c r="H288" t="s">
        <v>61</v>
      </c>
      <c r="I288" t="s">
        <v>35</v>
      </c>
      <c r="J288" t="s">
        <v>41</v>
      </c>
      <c r="K288" t="s">
        <v>50</v>
      </c>
      <c r="L288">
        <v>43</v>
      </c>
      <c r="M288" t="s">
        <v>38</v>
      </c>
      <c r="N288" t="s">
        <v>56</v>
      </c>
      <c r="O288" t="s">
        <v>57</v>
      </c>
      <c r="P288" t="s">
        <v>38</v>
      </c>
      <c r="Q288" t="s">
        <v>62</v>
      </c>
      <c r="R288">
        <v>3161</v>
      </c>
      <c r="S288">
        <v>19920</v>
      </c>
      <c r="T288">
        <v>3</v>
      </c>
      <c r="U288" t="s">
        <v>31</v>
      </c>
      <c r="V288">
        <v>22</v>
      </c>
      <c r="W288" t="s">
        <v>53</v>
      </c>
      <c r="X288" t="s">
        <v>41</v>
      </c>
      <c r="Y288">
        <v>1</v>
      </c>
      <c r="Z288">
        <v>19</v>
      </c>
      <c r="AA288">
        <v>0</v>
      </c>
      <c r="AB288" t="s">
        <v>45</v>
      </c>
      <c r="AC288">
        <v>1</v>
      </c>
      <c r="AD288" t="str" cm="1">
        <f t="array" ref="AD288">_xlfn.IFS(AC288&lt;=5,"0-5",AC288&lt;=10,"5-10",AC288&lt;=40,"10-40")</f>
        <v>0-5</v>
      </c>
      <c r="AE288">
        <v>0</v>
      </c>
      <c r="AF288">
        <v>0</v>
      </c>
      <c r="AG288">
        <v>0</v>
      </c>
      <c r="AH288">
        <v>287</v>
      </c>
    </row>
    <row r="289" spans="1:34" x14ac:dyDescent="0.3">
      <c r="A289">
        <v>38</v>
      </c>
      <c r="B289" t="str" cm="1">
        <f t="array" ref="B289">_xlfn.IFS(A289&lt;=25,"18-25",A289&lt;=35,"26-35",A289&lt;=45,"36-45",A289&lt;=55,"46-55",A289&gt;55,"55+")</f>
        <v>36-45</v>
      </c>
      <c r="C289">
        <v>0</v>
      </c>
      <c r="D289" t="s">
        <v>32</v>
      </c>
      <c r="E289">
        <v>688</v>
      </c>
      <c r="F289" t="s">
        <v>48</v>
      </c>
      <c r="G289">
        <v>23</v>
      </c>
      <c r="H289" t="s">
        <v>58</v>
      </c>
      <c r="I289" t="s">
        <v>35</v>
      </c>
      <c r="J289" t="s">
        <v>41</v>
      </c>
      <c r="K289" t="s">
        <v>50</v>
      </c>
      <c r="L289">
        <v>82</v>
      </c>
      <c r="M289" t="s">
        <v>38</v>
      </c>
      <c r="N289" t="s">
        <v>39</v>
      </c>
      <c r="O289" t="s">
        <v>65</v>
      </c>
      <c r="P289" t="s">
        <v>41</v>
      </c>
      <c r="Q289" t="s">
        <v>62</v>
      </c>
      <c r="R289">
        <v>5745</v>
      </c>
      <c r="S289">
        <v>18899</v>
      </c>
      <c r="T289">
        <v>9</v>
      </c>
      <c r="U289" t="s">
        <v>46</v>
      </c>
      <c r="V289">
        <v>14</v>
      </c>
      <c r="W289" t="s">
        <v>43</v>
      </c>
      <c r="X289" t="s">
        <v>36</v>
      </c>
      <c r="Y289">
        <v>1</v>
      </c>
      <c r="Z289">
        <v>10</v>
      </c>
      <c r="AA289">
        <v>2</v>
      </c>
      <c r="AB289" t="s">
        <v>54</v>
      </c>
      <c r="AC289">
        <v>2</v>
      </c>
      <c r="AD289" t="str" cm="1">
        <f t="array" ref="AD289">_xlfn.IFS(AC289&lt;=5,"0-5",AC289&lt;=10,"5-10",AC289&lt;=40,"10-40")</f>
        <v>0-5</v>
      </c>
      <c r="AE289">
        <v>2</v>
      </c>
      <c r="AF289">
        <v>1</v>
      </c>
      <c r="AG289">
        <v>2</v>
      </c>
      <c r="AH289">
        <v>288</v>
      </c>
    </row>
    <row r="290" spans="1:34" x14ac:dyDescent="0.3">
      <c r="A290">
        <v>26</v>
      </c>
      <c r="B290" t="str" cm="1">
        <f t="array" ref="B290">_xlfn.IFS(A290&lt;=25,"18-25",A290&lt;=35,"26-35",A290&lt;=45,"36-45",A290&lt;=55,"46-55",A290&gt;55,"55+")</f>
        <v>26-35</v>
      </c>
      <c r="C290">
        <v>1</v>
      </c>
      <c r="D290" t="s">
        <v>32</v>
      </c>
      <c r="E290">
        <v>1449</v>
      </c>
      <c r="F290" t="s">
        <v>48</v>
      </c>
      <c r="G290">
        <v>16</v>
      </c>
      <c r="H290" t="s">
        <v>58</v>
      </c>
      <c r="I290" t="s">
        <v>59</v>
      </c>
      <c r="J290" t="s">
        <v>44</v>
      </c>
      <c r="K290" t="s">
        <v>50</v>
      </c>
      <c r="L290">
        <v>45</v>
      </c>
      <c r="M290" t="s">
        <v>38</v>
      </c>
      <c r="N290" t="s">
        <v>56</v>
      </c>
      <c r="O290" t="s">
        <v>57</v>
      </c>
      <c r="P290" t="s">
        <v>36</v>
      </c>
      <c r="Q290" t="s">
        <v>62</v>
      </c>
      <c r="R290">
        <v>2373</v>
      </c>
      <c r="S290">
        <v>14180</v>
      </c>
      <c r="T290">
        <v>2</v>
      </c>
      <c r="U290" t="s">
        <v>31</v>
      </c>
      <c r="V290">
        <v>13</v>
      </c>
      <c r="W290" t="s">
        <v>43</v>
      </c>
      <c r="X290" t="s">
        <v>41</v>
      </c>
      <c r="Y290">
        <v>1</v>
      </c>
      <c r="Z290">
        <v>5</v>
      </c>
      <c r="AA290">
        <v>2</v>
      </c>
      <c r="AB290" t="s">
        <v>54</v>
      </c>
      <c r="AC290">
        <v>3</v>
      </c>
      <c r="AD290" t="str" cm="1">
        <f t="array" ref="AD290">_xlfn.IFS(AC290&lt;=5,"0-5",AC290&lt;=10,"5-10",AC290&lt;=40,"10-40")</f>
        <v>0-5</v>
      </c>
      <c r="AE290">
        <v>2</v>
      </c>
      <c r="AF290">
        <v>0</v>
      </c>
      <c r="AG290">
        <v>2</v>
      </c>
      <c r="AH290">
        <v>289</v>
      </c>
    </row>
    <row r="291" spans="1:34" x14ac:dyDescent="0.3">
      <c r="A291">
        <v>28</v>
      </c>
      <c r="B291" t="str" cm="1">
        <f t="array" ref="B291">_xlfn.IFS(A291&lt;=25,"18-25",A291&lt;=35,"26-35",A291&lt;=45,"36-45",A291&lt;=55,"46-55",A291&gt;55,"55+")</f>
        <v>26-35</v>
      </c>
      <c r="C291">
        <v>0</v>
      </c>
      <c r="D291" t="s">
        <v>32</v>
      </c>
      <c r="E291">
        <v>1117</v>
      </c>
      <c r="F291" t="s">
        <v>48</v>
      </c>
      <c r="G291">
        <v>8</v>
      </c>
      <c r="H291" t="s">
        <v>34</v>
      </c>
      <c r="I291" t="s">
        <v>35</v>
      </c>
      <c r="J291" t="s">
        <v>41</v>
      </c>
      <c r="K291" t="s">
        <v>37</v>
      </c>
      <c r="L291">
        <v>66</v>
      </c>
      <c r="M291" t="s">
        <v>38</v>
      </c>
      <c r="N291" t="s">
        <v>56</v>
      </c>
      <c r="O291" t="s">
        <v>51</v>
      </c>
      <c r="P291" t="s">
        <v>41</v>
      </c>
      <c r="Q291" t="s">
        <v>42</v>
      </c>
      <c r="R291">
        <v>3310</v>
      </c>
      <c r="S291">
        <v>4488</v>
      </c>
      <c r="T291">
        <v>1</v>
      </c>
      <c r="U291" t="s">
        <v>46</v>
      </c>
      <c r="V291">
        <v>21</v>
      </c>
      <c r="W291" t="s">
        <v>53</v>
      </c>
      <c r="X291" t="s">
        <v>41</v>
      </c>
      <c r="Y291">
        <v>0</v>
      </c>
      <c r="Z291">
        <v>5</v>
      </c>
      <c r="AA291">
        <v>3</v>
      </c>
      <c r="AB291" t="s">
        <v>54</v>
      </c>
      <c r="AC291">
        <v>5</v>
      </c>
      <c r="AD291" t="str" cm="1">
        <f t="array" ref="AD291">_xlfn.IFS(AC291&lt;=5,"0-5",AC291&lt;=10,"5-10",AC291&lt;=40,"10-40")</f>
        <v>0-5</v>
      </c>
      <c r="AE291">
        <v>3</v>
      </c>
      <c r="AF291">
        <v>0</v>
      </c>
      <c r="AG291">
        <v>2</v>
      </c>
      <c r="AH291">
        <v>290</v>
      </c>
    </row>
    <row r="292" spans="1:34" x14ac:dyDescent="0.3">
      <c r="A292">
        <v>49</v>
      </c>
      <c r="B292" t="str" cm="1">
        <f t="array" ref="B292">_xlfn.IFS(A292&lt;=25,"18-25",A292&lt;=35,"26-35",A292&lt;=45,"36-45",A292&lt;=55,"46-55",A292&gt;55,"55+")</f>
        <v>46-55</v>
      </c>
      <c r="C292">
        <v>0</v>
      </c>
      <c r="D292" t="s">
        <v>47</v>
      </c>
      <c r="E292">
        <v>636</v>
      </c>
      <c r="F292" t="s">
        <v>48</v>
      </c>
      <c r="G292">
        <v>10</v>
      </c>
      <c r="H292" t="s">
        <v>58</v>
      </c>
      <c r="I292" t="s">
        <v>35</v>
      </c>
      <c r="J292" t="s">
        <v>38</v>
      </c>
      <c r="K292" t="s">
        <v>37</v>
      </c>
      <c r="L292">
        <v>35</v>
      </c>
      <c r="M292" t="s">
        <v>38</v>
      </c>
      <c r="N292" t="s">
        <v>71</v>
      </c>
      <c r="O292" t="s">
        <v>70</v>
      </c>
      <c r="P292" t="s">
        <v>44</v>
      </c>
      <c r="Q292" t="s">
        <v>42</v>
      </c>
      <c r="R292">
        <v>18665</v>
      </c>
      <c r="S292">
        <v>25594</v>
      </c>
      <c r="T292">
        <v>9</v>
      </c>
      <c r="U292" t="s">
        <v>31</v>
      </c>
      <c r="V292">
        <v>11</v>
      </c>
      <c r="W292" t="s">
        <v>43</v>
      </c>
      <c r="X292" t="s">
        <v>41</v>
      </c>
      <c r="Y292">
        <v>0</v>
      </c>
      <c r="Z292">
        <v>22</v>
      </c>
      <c r="AA292">
        <v>4</v>
      </c>
      <c r="AB292" t="s">
        <v>54</v>
      </c>
      <c r="AC292">
        <v>3</v>
      </c>
      <c r="AD292" t="str" cm="1">
        <f t="array" ref="AD292">_xlfn.IFS(AC292&lt;=5,"0-5",AC292&lt;=10,"5-10",AC292&lt;=40,"10-40")</f>
        <v>0-5</v>
      </c>
      <c r="AE292">
        <v>2</v>
      </c>
      <c r="AF292">
        <v>1</v>
      </c>
      <c r="AG292">
        <v>2</v>
      </c>
      <c r="AH292">
        <v>291</v>
      </c>
    </row>
    <row r="293" spans="1:34" x14ac:dyDescent="0.3">
      <c r="A293">
        <v>36</v>
      </c>
      <c r="B293" t="str" cm="1">
        <f t="array" ref="B293">_xlfn.IFS(A293&lt;=25,"18-25",A293&lt;=35,"26-35",A293&lt;=45,"36-45",A293&lt;=55,"46-55",A293&gt;55,"55+")</f>
        <v>36-45</v>
      </c>
      <c r="C293">
        <v>0</v>
      </c>
      <c r="D293" t="s">
        <v>32</v>
      </c>
      <c r="E293">
        <v>506</v>
      </c>
      <c r="F293" t="s">
        <v>48</v>
      </c>
      <c r="G293">
        <v>3</v>
      </c>
      <c r="H293" t="s">
        <v>61</v>
      </c>
      <c r="I293" t="s">
        <v>74</v>
      </c>
      <c r="J293" t="s">
        <v>38</v>
      </c>
      <c r="K293" t="s">
        <v>50</v>
      </c>
      <c r="L293">
        <v>30</v>
      </c>
      <c r="M293" t="s">
        <v>38</v>
      </c>
      <c r="N293" t="s">
        <v>39</v>
      </c>
      <c r="O293" t="s">
        <v>51</v>
      </c>
      <c r="P293" t="s">
        <v>36</v>
      </c>
      <c r="Q293" t="s">
        <v>42</v>
      </c>
      <c r="R293">
        <v>4485</v>
      </c>
      <c r="S293">
        <v>26285</v>
      </c>
      <c r="T293">
        <v>4</v>
      </c>
      <c r="U293" t="s">
        <v>46</v>
      </c>
      <c r="V293">
        <v>12</v>
      </c>
      <c r="W293" t="s">
        <v>43</v>
      </c>
      <c r="X293" t="s">
        <v>41</v>
      </c>
      <c r="Y293">
        <v>0</v>
      </c>
      <c r="Z293">
        <v>10</v>
      </c>
      <c r="AA293">
        <v>2</v>
      </c>
      <c r="AB293" t="s">
        <v>54</v>
      </c>
      <c r="AC293">
        <v>8</v>
      </c>
      <c r="AD293" t="str" cm="1">
        <f t="array" ref="AD293">_xlfn.IFS(AC293&lt;=5,"0-5",AC293&lt;=10,"5-10",AC293&lt;=40,"10-40")</f>
        <v>5-10</v>
      </c>
      <c r="AE293">
        <v>0</v>
      </c>
      <c r="AF293">
        <v>7</v>
      </c>
      <c r="AG293">
        <v>7</v>
      </c>
      <c r="AH293">
        <v>292</v>
      </c>
    </row>
    <row r="294" spans="1:34" x14ac:dyDescent="0.3">
      <c r="A294">
        <v>31</v>
      </c>
      <c r="B294" t="str" cm="1">
        <f t="array" ref="B294">_xlfn.IFS(A294&lt;=25,"18-25",A294&lt;=35,"26-35",A294&lt;=45,"36-45",A294&lt;=55,"46-55",A294&gt;55,"55+")</f>
        <v>26-35</v>
      </c>
      <c r="C294">
        <v>0</v>
      </c>
      <c r="D294" t="s">
        <v>47</v>
      </c>
      <c r="E294">
        <v>444</v>
      </c>
      <c r="F294" t="s">
        <v>33</v>
      </c>
      <c r="G294">
        <v>5</v>
      </c>
      <c r="H294" t="s">
        <v>61</v>
      </c>
      <c r="I294" t="s">
        <v>72</v>
      </c>
      <c r="J294" t="s">
        <v>41</v>
      </c>
      <c r="K294" t="s">
        <v>37</v>
      </c>
      <c r="L294">
        <v>84</v>
      </c>
      <c r="M294" t="s">
        <v>38</v>
      </c>
      <c r="N294" t="s">
        <v>56</v>
      </c>
      <c r="O294" t="s">
        <v>69</v>
      </c>
      <c r="P294" t="s">
        <v>36</v>
      </c>
      <c r="Q294" t="s">
        <v>62</v>
      </c>
      <c r="R294">
        <v>2789</v>
      </c>
      <c r="S294">
        <v>3909</v>
      </c>
      <c r="T294">
        <v>1</v>
      </c>
      <c r="U294" t="s">
        <v>46</v>
      </c>
      <c r="V294">
        <v>11</v>
      </c>
      <c r="W294" t="s">
        <v>43</v>
      </c>
      <c r="X294" t="s">
        <v>38</v>
      </c>
      <c r="Y294">
        <v>1</v>
      </c>
      <c r="Z294">
        <v>2</v>
      </c>
      <c r="AA294">
        <v>5</v>
      </c>
      <c r="AB294" t="s">
        <v>60</v>
      </c>
      <c r="AC294">
        <v>2</v>
      </c>
      <c r="AD294" t="str" cm="1">
        <f t="array" ref="AD294">_xlfn.IFS(AC294&lt;=5,"0-5",AC294&lt;=10,"5-10",AC294&lt;=40,"10-40")</f>
        <v>0-5</v>
      </c>
      <c r="AE294">
        <v>2</v>
      </c>
      <c r="AF294">
        <v>2</v>
      </c>
      <c r="AG294">
        <v>2</v>
      </c>
      <c r="AH294">
        <v>293</v>
      </c>
    </row>
    <row r="295" spans="1:34" x14ac:dyDescent="0.3">
      <c r="A295">
        <v>26</v>
      </c>
      <c r="B295" t="str" cm="1">
        <f t="array" ref="B295">_xlfn.IFS(A295&lt;=25,"18-25",A295&lt;=35,"26-35",A295&lt;=45,"36-45",A295&lt;=55,"46-55",A295&gt;55,"55+")</f>
        <v>26-35</v>
      </c>
      <c r="C295">
        <v>1</v>
      </c>
      <c r="D295" t="s">
        <v>32</v>
      </c>
      <c r="E295">
        <v>950</v>
      </c>
      <c r="F295" t="s">
        <v>33</v>
      </c>
      <c r="G295">
        <v>4</v>
      </c>
      <c r="H295" t="s">
        <v>58</v>
      </c>
      <c r="I295" t="s">
        <v>72</v>
      </c>
      <c r="J295" t="s">
        <v>41</v>
      </c>
      <c r="K295" t="s">
        <v>50</v>
      </c>
      <c r="L295">
        <v>48</v>
      </c>
      <c r="M295" t="s">
        <v>36</v>
      </c>
      <c r="N295" t="s">
        <v>39</v>
      </c>
      <c r="O295" t="s">
        <v>40</v>
      </c>
      <c r="P295" t="s">
        <v>41</v>
      </c>
      <c r="Q295" t="s">
        <v>42</v>
      </c>
      <c r="R295">
        <v>5828</v>
      </c>
      <c r="S295">
        <v>8450</v>
      </c>
      <c r="T295">
        <v>1</v>
      </c>
      <c r="U295" t="s">
        <v>31</v>
      </c>
      <c r="V295">
        <v>12</v>
      </c>
      <c r="W295" t="s">
        <v>43</v>
      </c>
      <c r="X295" t="s">
        <v>36</v>
      </c>
      <c r="Y295">
        <v>0</v>
      </c>
      <c r="Z295">
        <v>8</v>
      </c>
      <c r="AA295">
        <v>0</v>
      </c>
      <c r="AB295" t="s">
        <v>54</v>
      </c>
      <c r="AC295">
        <v>8</v>
      </c>
      <c r="AD295" t="str" cm="1">
        <f t="array" ref="AD295">_xlfn.IFS(AC295&lt;=5,"0-5",AC295&lt;=10,"5-10",AC295&lt;=40,"10-40")</f>
        <v>5-10</v>
      </c>
      <c r="AE295">
        <v>7</v>
      </c>
      <c r="AF295">
        <v>7</v>
      </c>
      <c r="AG295">
        <v>4</v>
      </c>
      <c r="AH295">
        <v>294</v>
      </c>
    </row>
    <row r="296" spans="1:34" x14ac:dyDescent="0.3">
      <c r="A296">
        <v>37</v>
      </c>
      <c r="B296" t="str" cm="1">
        <f t="array" ref="B296">_xlfn.IFS(A296&lt;=25,"18-25",A296&lt;=35,"26-35",A296&lt;=45,"36-45",A296&lt;=55,"46-55",A296&gt;55,"55+")</f>
        <v>36-45</v>
      </c>
      <c r="C296">
        <v>0</v>
      </c>
      <c r="D296" t="s">
        <v>47</v>
      </c>
      <c r="E296">
        <v>889</v>
      </c>
      <c r="F296" t="s">
        <v>48</v>
      </c>
      <c r="G296">
        <v>9</v>
      </c>
      <c r="H296" t="s">
        <v>61</v>
      </c>
      <c r="I296" t="s">
        <v>59</v>
      </c>
      <c r="J296" t="s">
        <v>36</v>
      </c>
      <c r="K296" t="s">
        <v>50</v>
      </c>
      <c r="L296">
        <v>53</v>
      </c>
      <c r="M296" t="s">
        <v>38</v>
      </c>
      <c r="N296" t="s">
        <v>56</v>
      </c>
      <c r="O296" t="s">
        <v>51</v>
      </c>
      <c r="P296" t="s">
        <v>41</v>
      </c>
      <c r="Q296" t="s">
        <v>52</v>
      </c>
      <c r="R296">
        <v>2326</v>
      </c>
      <c r="S296">
        <v>11411</v>
      </c>
      <c r="T296">
        <v>1</v>
      </c>
      <c r="U296" t="s">
        <v>31</v>
      </c>
      <c r="V296">
        <v>12</v>
      </c>
      <c r="W296" t="s">
        <v>43</v>
      </c>
      <c r="X296" t="s">
        <v>38</v>
      </c>
      <c r="Y296">
        <v>3</v>
      </c>
      <c r="Z296">
        <v>4</v>
      </c>
      <c r="AA296">
        <v>3</v>
      </c>
      <c r="AB296" t="s">
        <v>60</v>
      </c>
      <c r="AC296">
        <v>4</v>
      </c>
      <c r="AD296" t="str" cm="1">
        <f t="array" ref="AD296">_xlfn.IFS(AC296&lt;=5,"0-5",AC296&lt;=10,"5-10",AC296&lt;=40,"10-40")</f>
        <v>0-5</v>
      </c>
      <c r="AE296">
        <v>2</v>
      </c>
      <c r="AF296">
        <v>1</v>
      </c>
      <c r="AG296">
        <v>2</v>
      </c>
      <c r="AH296">
        <v>295</v>
      </c>
    </row>
    <row r="297" spans="1:34" x14ac:dyDescent="0.3">
      <c r="A297">
        <v>42</v>
      </c>
      <c r="B297" t="str" cm="1">
        <f t="array" ref="B297">_xlfn.IFS(A297&lt;=25,"18-25",A297&lt;=35,"26-35",A297&lt;=45,"36-45",A297&lt;=55,"46-55",A297&gt;55,"55+")</f>
        <v>36-45</v>
      </c>
      <c r="C297">
        <v>0</v>
      </c>
      <c r="D297" t="s">
        <v>47</v>
      </c>
      <c r="E297">
        <v>555</v>
      </c>
      <c r="F297" t="s">
        <v>33</v>
      </c>
      <c r="G297">
        <v>26</v>
      </c>
      <c r="H297" t="s">
        <v>61</v>
      </c>
      <c r="I297" t="s">
        <v>72</v>
      </c>
      <c r="J297" t="s">
        <v>38</v>
      </c>
      <c r="K297" t="s">
        <v>37</v>
      </c>
      <c r="L297">
        <v>77</v>
      </c>
      <c r="M297" t="s">
        <v>38</v>
      </c>
      <c r="N297" t="s">
        <v>67</v>
      </c>
      <c r="O297" t="s">
        <v>40</v>
      </c>
      <c r="P297" t="s">
        <v>36</v>
      </c>
      <c r="Q297" t="s">
        <v>52</v>
      </c>
      <c r="R297">
        <v>13525</v>
      </c>
      <c r="S297">
        <v>14864</v>
      </c>
      <c r="T297">
        <v>5</v>
      </c>
      <c r="U297" t="s">
        <v>46</v>
      </c>
      <c r="V297">
        <v>14</v>
      </c>
      <c r="W297" t="s">
        <v>43</v>
      </c>
      <c r="X297" t="s">
        <v>41</v>
      </c>
      <c r="Y297">
        <v>1</v>
      </c>
      <c r="Z297">
        <v>23</v>
      </c>
      <c r="AA297">
        <v>2</v>
      </c>
      <c r="AB297" t="s">
        <v>73</v>
      </c>
      <c r="AC297">
        <v>20</v>
      </c>
      <c r="AD297" t="str" cm="1">
        <f t="array" ref="AD297">_xlfn.IFS(AC297&lt;=5,"0-5",AC297&lt;=10,"5-10",AC297&lt;=40,"10-40")</f>
        <v>10-40</v>
      </c>
      <c r="AE297">
        <v>4</v>
      </c>
      <c r="AF297">
        <v>4</v>
      </c>
      <c r="AG297">
        <v>8</v>
      </c>
      <c r="AH297">
        <v>296</v>
      </c>
    </row>
    <row r="298" spans="1:34" x14ac:dyDescent="0.3">
      <c r="A298">
        <v>18</v>
      </c>
      <c r="B298" t="str" cm="1">
        <f t="array" ref="B298">_xlfn.IFS(A298&lt;=25,"18-25",A298&lt;=35,"26-35",A298&lt;=45,"36-45",A298&lt;=55,"46-55",A298&gt;55,"55+")</f>
        <v>18-25</v>
      </c>
      <c r="C298">
        <v>1</v>
      </c>
      <c r="D298" t="s">
        <v>32</v>
      </c>
      <c r="E298">
        <v>230</v>
      </c>
      <c r="F298" t="s">
        <v>48</v>
      </c>
      <c r="G298">
        <v>3</v>
      </c>
      <c r="H298" t="s">
        <v>61</v>
      </c>
      <c r="I298" t="s">
        <v>35</v>
      </c>
      <c r="J298" t="s">
        <v>38</v>
      </c>
      <c r="K298" t="s">
        <v>50</v>
      </c>
      <c r="L298">
        <v>54</v>
      </c>
      <c r="M298" t="s">
        <v>38</v>
      </c>
      <c r="N298" t="s">
        <v>56</v>
      </c>
      <c r="O298" t="s">
        <v>57</v>
      </c>
      <c r="P298" t="s">
        <v>38</v>
      </c>
      <c r="Q298" t="s">
        <v>42</v>
      </c>
      <c r="R298">
        <v>1420</v>
      </c>
      <c r="S298">
        <v>25233</v>
      </c>
      <c r="T298">
        <v>1</v>
      </c>
      <c r="U298" t="s">
        <v>46</v>
      </c>
      <c r="V298">
        <v>13</v>
      </c>
      <c r="W298" t="s">
        <v>43</v>
      </c>
      <c r="X298" t="s">
        <v>38</v>
      </c>
      <c r="Y298">
        <v>0</v>
      </c>
      <c r="Z298">
        <v>0</v>
      </c>
      <c r="AA298">
        <v>2</v>
      </c>
      <c r="AB298" t="s">
        <v>54</v>
      </c>
      <c r="AC298">
        <v>0</v>
      </c>
      <c r="AD298" t="str" cm="1">
        <f t="array" ref="AD298">_xlfn.IFS(AC298&lt;=5,"0-5",AC298&lt;=10,"5-10",AC298&lt;=40,"10-40")</f>
        <v>0-5</v>
      </c>
      <c r="AE298">
        <v>0</v>
      </c>
      <c r="AF298">
        <v>0</v>
      </c>
      <c r="AG298">
        <v>0</v>
      </c>
      <c r="AH298">
        <v>297</v>
      </c>
    </row>
    <row r="299" spans="1:34" x14ac:dyDescent="0.3">
      <c r="A299">
        <v>35</v>
      </c>
      <c r="B299" t="str" cm="1">
        <f t="array" ref="B299">_xlfn.IFS(A299&lt;=25,"18-25",A299&lt;=35,"26-35",A299&lt;=45,"36-45",A299&lt;=55,"46-55",A299&gt;55,"55+")</f>
        <v>26-35</v>
      </c>
      <c r="C299">
        <v>0</v>
      </c>
      <c r="D299" t="s">
        <v>32</v>
      </c>
      <c r="E299">
        <v>1232</v>
      </c>
      <c r="F299" t="s">
        <v>33</v>
      </c>
      <c r="G299">
        <v>16</v>
      </c>
      <c r="H299" t="s">
        <v>61</v>
      </c>
      <c r="I299" t="s">
        <v>72</v>
      </c>
      <c r="J299" t="s">
        <v>38</v>
      </c>
      <c r="K299" t="s">
        <v>50</v>
      </c>
      <c r="L299">
        <v>96</v>
      </c>
      <c r="M299" t="s">
        <v>38</v>
      </c>
      <c r="N299" t="s">
        <v>63</v>
      </c>
      <c r="O299" t="s">
        <v>40</v>
      </c>
      <c r="P299" t="s">
        <v>36</v>
      </c>
      <c r="Q299" t="s">
        <v>52</v>
      </c>
      <c r="R299">
        <v>8020</v>
      </c>
      <c r="S299">
        <v>5100</v>
      </c>
      <c r="T299">
        <v>0</v>
      </c>
      <c r="U299" t="s">
        <v>46</v>
      </c>
      <c r="V299">
        <v>15</v>
      </c>
      <c r="W299" t="s">
        <v>43</v>
      </c>
      <c r="X299" t="s">
        <v>38</v>
      </c>
      <c r="Y299">
        <v>2</v>
      </c>
      <c r="Z299">
        <v>12</v>
      </c>
      <c r="AA299">
        <v>3</v>
      </c>
      <c r="AB299" t="s">
        <v>60</v>
      </c>
      <c r="AC299">
        <v>11</v>
      </c>
      <c r="AD299" t="str" cm="1">
        <f t="array" ref="AD299">_xlfn.IFS(AC299&lt;=5,"0-5",AC299&lt;=10,"5-10",AC299&lt;=40,"10-40")</f>
        <v>10-40</v>
      </c>
      <c r="AE299">
        <v>9</v>
      </c>
      <c r="AF299">
        <v>6</v>
      </c>
      <c r="AG299">
        <v>9</v>
      </c>
      <c r="AH299">
        <v>298</v>
      </c>
    </row>
    <row r="300" spans="1:34" x14ac:dyDescent="0.3">
      <c r="A300">
        <v>36</v>
      </c>
      <c r="B300" t="str" cm="1">
        <f t="array" ref="B300">_xlfn.IFS(A300&lt;=25,"18-25",A300&lt;=35,"26-35",A300&lt;=45,"36-45",A300&lt;=55,"46-55",A300&gt;55,"55+")</f>
        <v>36-45</v>
      </c>
      <c r="C300">
        <v>0</v>
      </c>
      <c r="D300" t="s">
        <v>47</v>
      </c>
      <c r="E300">
        <v>566</v>
      </c>
      <c r="F300" t="s">
        <v>48</v>
      </c>
      <c r="G300">
        <v>18</v>
      </c>
      <c r="H300" t="s">
        <v>58</v>
      </c>
      <c r="I300" t="s">
        <v>35</v>
      </c>
      <c r="J300" t="s">
        <v>38</v>
      </c>
      <c r="K300" t="s">
        <v>50</v>
      </c>
      <c r="L300">
        <v>81</v>
      </c>
      <c r="M300" t="s">
        <v>41</v>
      </c>
      <c r="N300" t="s">
        <v>56</v>
      </c>
      <c r="O300" t="s">
        <v>57</v>
      </c>
      <c r="P300" t="s">
        <v>41</v>
      </c>
      <c r="Q300" t="s">
        <v>52</v>
      </c>
      <c r="R300">
        <v>3688</v>
      </c>
      <c r="S300">
        <v>7122</v>
      </c>
      <c r="T300">
        <v>4</v>
      </c>
      <c r="U300" t="s">
        <v>46</v>
      </c>
      <c r="V300">
        <v>18</v>
      </c>
      <c r="W300" t="s">
        <v>43</v>
      </c>
      <c r="X300" t="s">
        <v>41</v>
      </c>
      <c r="Y300">
        <v>2</v>
      </c>
      <c r="Z300">
        <v>4</v>
      </c>
      <c r="AA300">
        <v>2</v>
      </c>
      <c r="AB300" t="s">
        <v>54</v>
      </c>
      <c r="AC300">
        <v>1</v>
      </c>
      <c r="AD300" t="str" cm="1">
        <f t="array" ref="AD300">_xlfn.IFS(AC300&lt;=5,"0-5",AC300&lt;=10,"5-10",AC300&lt;=40,"10-40")</f>
        <v>0-5</v>
      </c>
      <c r="AE300">
        <v>0</v>
      </c>
      <c r="AF300">
        <v>0</v>
      </c>
      <c r="AG300">
        <v>0</v>
      </c>
      <c r="AH300">
        <v>299</v>
      </c>
    </row>
    <row r="301" spans="1:34" x14ac:dyDescent="0.3">
      <c r="A301">
        <v>51</v>
      </c>
      <c r="B301" t="str" cm="1">
        <f t="array" ref="B301">_xlfn.IFS(A301&lt;=25,"18-25",A301&lt;=35,"26-35",A301&lt;=45,"36-45",A301&lt;=55,"46-55",A301&gt;55,"55+")</f>
        <v>46-55</v>
      </c>
      <c r="C301">
        <v>0</v>
      </c>
      <c r="D301" t="s">
        <v>32</v>
      </c>
      <c r="E301">
        <v>1302</v>
      </c>
      <c r="F301" t="s">
        <v>48</v>
      </c>
      <c r="G301">
        <v>2</v>
      </c>
      <c r="H301" t="s">
        <v>61</v>
      </c>
      <c r="I301" t="s">
        <v>59</v>
      </c>
      <c r="J301" t="s">
        <v>41</v>
      </c>
      <c r="K301" t="s">
        <v>50</v>
      </c>
      <c r="L301">
        <v>84</v>
      </c>
      <c r="M301" t="s">
        <v>44</v>
      </c>
      <c r="N301" t="s">
        <v>39</v>
      </c>
      <c r="O301" t="s">
        <v>64</v>
      </c>
      <c r="P301" t="s">
        <v>36</v>
      </c>
      <c r="Q301" t="s">
        <v>62</v>
      </c>
      <c r="R301">
        <v>5482</v>
      </c>
      <c r="S301">
        <v>16321</v>
      </c>
      <c r="T301">
        <v>5</v>
      </c>
      <c r="U301" t="s">
        <v>46</v>
      </c>
      <c r="V301">
        <v>18</v>
      </c>
      <c r="W301" t="s">
        <v>43</v>
      </c>
      <c r="X301" t="s">
        <v>41</v>
      </c>
      <c r="Y301">
        <v>1</v>
      </c>
      <c r="Z301">
        <v>13</v>
      </c>
      <c r="AA301">
        <v>3</v>
      </c>
      <c r="AB301" t="s">
        <v>54</v>
      </c>
      <c r="AC301">
        <v>4</v>
      </c>
      <c r="AD301" t="str" cm="1">
        <f t="array" ref="AD301">_xlfn.IFS(AC301&lt;=5,"0-5",AC301&lt;=10,"5-10",AC301&lt;=40,"10-40")</f>
        <v>0-5</v>
      </c>
      <c r="AE301">
        <v>1</v>
      </c>
      <c r="AF301">
        <v>1</v>
      </c>
      <c r="AG301">
        <v>2</v>
      </c>
      <c r="AH301">
        <v>300</v>
      </c>
    </row>
    <row r="302" spans="1:34" x14ac:dyDescent="0.3">
      <c r="A302">
        <v>41</v>
      </c>
      <c r="B302" t="str" cm="1">
        <f t="array" ref="B302">_xlfn.IFS(A302&lt;=25,"18-25",A302&lt;=35,"26-35",A302&lt;=45,"36-45",A302&lt;=55,"46-55",A302&gt;55,"55+")</f>
        <v>36-45</v>
      </c>
      <c r="C302">
        <v>0</v>
      </c>
      <c r="D302" t="s">
        <v>32</v>
      </c>
      <c r="E302">
        <v>334</v>
      </c>
      <c r="F302" t="s">
        <v>33</v>
      </c>
      <c r="G302">
        <v>2</v>
      </c>
      <c r="H302" t="s">
        <v>58</v>
      </c>
      <c r="I302" t="s">
        <v>35</v>
      </c>
      <c r="J302" t="s">
        <v>41</v>
      </c>
      <c r="K302" t="s">
        <v>50</v>
      </c>
      <c r="L302">
        <v>88</v>
      </c>
      <c r="M302" t="s">
        <v>38</v>
      </c>
      <c r="N302" t="s">
        <v>67</v>
      </c>
      <c r="O302" t="s">
        <v>68</v>
      </c>
      <c r="P302" t="s">
        <v>36</v>
      </c>
      <c r="Q302" t="s">
        <v>42</v>
      </c>
      <c r="R302">
        <v>16015</v>
      </c>
      <c r="S302">
        <v>15896</v>
      </c>
      <c r="T302">
        <v>1</v>
      </c>
      <c r="U302" t="s">
        <v>46</v>
      </c>
      <c r="V302">
        <v>19</v>
      </c>
      <c r="W302" t="s">
        <v>43</v>
      </c>
      <c r="X302" t="s">
        <v>36</v>
      </c>
      <c r="Y302">
        <v>0</v>
      </c>
      <c r="Z302">
        <v>22</v>
      </c>
      <c r="AA302">
        <v>2</v>
      </c>
      <c r="AB302" t="s">
        <v>54</v>
      </c>
      <c r="AC302">
        <v>22</v>
      </c>
      <c r="AD302" t="str" cm="1">
        <f t="array" ref="AD302">_xlfn.IFS(AC302&lt;=5,"0-5",AC302&lt;=10,"5-10",AC302&lt;=40,"10-40")</f>
        <v>10-40</v>
      </c>
      <c r="AE302">
        <v>10</v>
      </c>
      <c r="AF302">
        <v>0</v>
      </c>
      <c r="AG302">
        <v>4</v>
      </c>
      <c r="AH302">
        <v>301</v>
      </c>
    </row>
    <row r="303" spans="1:34" x14ac:dyDescent="0.3">
      <c r="A303">
        <v>18</v>
      </c>
      <c r="B303" t="str" cm="1">
        <f t="array" ref="B303">_xlfn.IFS(A303&lt;=25,"18-25",A303&lt;=35,"26-35",A303&lt;=45,"36-45",A303&lt;=55,"46-55",A303&gt;55,"55+")</f>
        <v>18-25</v>
      </c>
      <c r="C303">
        <v>0</v>
      </c>
      <c r="D303" t="s">
        <v>32</v>
      </c>
      <c r="E303">
        <v>812</v>
      </c>
      <c r="F303" t="s">
        <v>33</v>
      </c>
      <c r="G303">
        <v>10</v>
      </c>
      <c r="H303" t="s">
        <v>61</v>
      </c>
      <c r="I303" t="s">
        <v>59</v>
      </c>
      <c r="J303" t="s">
        <v>41</v>
      </c>
      <c r="K303" t="s">
        <v>37</v>
      </c>
      <c r="L303">
        <v>69</v>
      </c>
      <c r="M303" t="s">
        <v>36</v>
      </c>
      <c r="N303" t="s">
        <v>56</v>
      </c>
      <c r="O303" t="s">
        <v>69</v>
      </c>
      <c r="P303" t="s">
        <v>38</v>
      </c>
      <c r="Q303" t="s">
        <v>42</v>
      </c>
      <c r="R303">
        <v>1200</v>
      </c>
      <c r="S303">
        <v>9724</v>
      </c>
      <c r="T303">
        <v>1</v>
      </c>
      <c r="U303" t="s">
        <v>46</v>
      </c>
      <c r="V303">
        <v>12</v>
      </c>
      <c r="W303" t="s">
        <v>43</v>
      </c>
      <c r="X303" t="s">
        <v>44</v>
      </c>
      <c r="Y303">
        <v>0</v>
      </c>
      <c r="Z303">
        <v>0</v>
      </c>
      <c r="AA303">
        <v>2</v>
      </c>
      <c r="AB303" t="s">
        <v>54</v>
      </c>
      <c r="AC303">
        <v>0</v>
      </c>
      <c r="AD303" t="str" cm="1">
        <f t="array" ref="AD303">_xlfn.IFS(AC303&lt;=5,"0-5",AC303&lt;=10,"5-10",AC303&lt;=40,"10-40")</f>
        <v>0-5</v>
      </c>
      <c r="AE303">
        <v>0</v>
      </c>
      <c r="AF303">
        <v>0</v>
      </c>
      <c r="AG303">
        <v>0</v>
      </c>
      <c r="AH303">
        <v>302</v>
      </c>
    </row>
    <row r="304" spans="1:34" x14ac:dyDescent="0.3">
      <c r="A304">
        <v>28</v>
      </c>
      <c r="B304" t="str" cm="1">
        <f t="array" ref="B304">_xlfn.IFS(A304&lt;=25,"18-25",A304&lt;=35,"26-35",A304&lt;=45,"36-45",A304&lt;=55,"46-55",A304&gt;55,"55+")</f>
        <v>26-35</v>
      </c>
      <c r="C304">
        <v>0</v>
      </c>
      <c r="D304" t="s">
        <v>32</v>
      </c>
      <c r="E304">
        <v>1476</v>
      </c>
      <c r="F304" t="s">
        <v>48</v>
      </c>
      <c r="G304">
        <v>16</v>
      </c>
      <c r="H304" t="s">
        <v>34</v>
      </c>
      <c r="I304" t="s">
        <v>59</v>
      </c>
      <c r="J304" t="s">
        <v>36</v>
      </c>
      <c r="K304" t="s">
        <v>50</v>
      </c>
      <c r="L304">
        <v>68</v>
      </c>
      <c r="M304" t="s">
        <v>41</v>
      </c>
      <c r="N304" t="s">
        <v>39</v>
      </c>
      <c r="O304" t="s">
        <v>65</v>
      </c>
      <c r="P304" t="s">
        <v>44</v>
      </c>
      <c r="Q304" t="s">
        <v>42</v>
      </c>
      <c r="R304">
        <v>5661</v>
      </c>
      <c r="S304">
        <v>4824</v>
      </c>
      <c r="T304">
        <v>0</v>
      </c>
      <c r="U304" t="s">
        <v>46</v>
      </c>
      <c r="V304">
        <v>19</v>
      </c>
      <c r="W304" t="s">
        <v>43</v>
      </c>
      <c r="X304" t="s">
        <v>38</v>
      </c>
      <c r="Y304">
        <v>0</v>
      </c>
      <c r="Z304">
        <v>9</v>
      </c>
      <c r="AA304">
        <v>2</v>
      </c>
      <c r="AB304" t="s">
        <v>54</v>
      </c>
      <c r="AC304">
        <v>8</v>
      </c>
      <c r="AD304" t="str" cm="1">
        <f t="array" ref="AD304">_xlfn.IFS(AC304&lt;=5,"0-5",AC304&lt;=10,"5-10",AC304&lt;=40,"10-40")</f>
        <v>5-10</v>
      </c>
      <c r="AE304">
        <v>3</v>
      </c>
      <c r="AF304">
        <v>0</v>
      </c>
      <c r="AG304">
        <v>7</v>
      </c>
      <c r="AH304">
        <v>303</v>
      </c>
    </row>
    <row r="305" spans="1:34" x14ac:dyDescent="0.3">
      <c r="A305">
        <v>31</v>
      </c>
      <c r="B305" t="str" cm="1">
        <f t="array" ref="B305">_xlfn.IFS(A305&lt;=25,"18-25",A305&lt;=35,"26-35",A305&lt;=45,"36-45",A305&lt;=55,"46-55",A305&gt;55,"55+")</f>
        <v>26-35</v>
      </c>
      <c r="C305">
        <v>0</v>
      </c>
      <c r="D305" t="s">
        <v>32</v>
      </c>
      <c r="E305">
        <v>218</v>
      </c>
      <c r="F305" t="s">
        <v>33</v>
      </c>
      <c r="G305">
        <v>7</v>
      </c>
      <c r="H305" t="s">
        <v>61</v>
      </c>
      <c r="I305" t="s">
        <v>74</v>
      </c>
      <c r="J305" t="s">
        <v>36</v>
      </c>
      <c r="K305" t="s">
        <v>50</v>
      </c>
      <c r="L305">
        <v>100</v>
      </c>
      <c r="M305" t="s">
        <v>41</v>
      </c>
      <c r="N305" t="s">
        <v>39</v>
      </c>
      <c r="O305" t="s">
        <v>40</v>
      </c>
      <c r="P305" t="s">
        <v>41</v>
      </c>
      <c r="Q305" t="s">
        <v>52</v>
      </c>
      <c r="R305">
        <v>6929</v>
      </c>
      <c r="S305">
        <v>12241</v>
      </c>
      <c r="T305">
        <v>4</v>
      </c>
      <c r="U305" t="s">
        <v>46</v>
      </c>
      <c r="V305">
        <v>11</v>
      </c>
      <c r="W305" t="s">
        <v>43</v>
      </c>
      <c r="X305" t="s">
        <v>36</v>
      </c>
      <c r="Y305">
        <v>1</v>
      </c>
      <c r="Z305">
        <v>10</v>
      </c>
      <c r="AA305">
        <v>3</v>
      </c>
      <c r="AB305" t="s">
        <v>60</v>
      </c>
      <c r="AC305">
        <v>8</v>
      </c>
      <c r="AD305" t="str" cm="1">
        <f t="array" ref="AD305">_xlfn.IFS(AC305&lt;=5,"0-5",AC305&lt;=10,"5-10",AC305&lt;=40,"10-40")</f>
        <v>5-10</v>
      </c>
      <c r="AE305">
        <v>7</v>
      </c>
      <c r="AF305">
        <v>7</v>
      </c>
      <c r="AG305">
        <v>7</v>
      </c>
      <c r="AH305">
        <v>304</v>
      </c>
    </row>
    <row r="306" spans="1:34" x14ac:dyDescent="0.3">
      <c r="A306">
        <v>39</v>
      </c>
      <c r="B306" t="str" cm="1">
        <f t="array" ref="B306">_xlfn.IFS(A306&lt;=25,"18-25",A306&lt;=35,"26-35",A306&lt;=45,"36-45",A306&lt;=55,"46-55",A306&gt;55,"55+")</f>
        <v>36-45</v>
      </c>
      <c r="C306">
        <v>0</v>
      </c>
      <c r="D306" t="s">
        <v>32</v>
      </c>
      <c r="E306">
        <v>1132</v>
      </c>
      <c r="F306" t="s">
        <v>48</v>
      </c>
      <c r="G306">
        <v>1</v>
      </c>
      <c r="H306" t="s">
        <v>61</v>
      </c>
      <c r="I306" t="s">
        <v>59</v>
      </c>
      <c r="J306" t="s">
        <v>38</v>
      </c>
      <c r="K306" t="s">
        <v>50</v>
      </c>
      <c r="L306">
        <v>48</v>
      </c>
      <c r="M306" t="s">
        <v>41</v>
      </c>
      <c r="N306" t="s">
        <v>63</v>
      </c>
      <c r="O306" t="s">
        <v>65</v>
      </c>
      <c r="P306" t="s">
        <v>41</v>
      </c>
      <c r="Q306" t="s">
        <v>62</v>
      </c>
      <c r="R306">
        <v>9613</v>
      </c>
      <c r="S306">
        <v>10942</v>
      </c>
      <c r="T306">
        <v>0</v>
      </c>
      <c r="U306" t="s">
        <v>46</v>
      </c>
      <c r="V306">
        <v>17</v>
      </c>
      <c r="W306" t="s">
        <v>43</v>
      </c>
      <c r="X306" t="s">
        <v>44</v>
      </c>
      <c r="Y306">
        <v>3</v>
      </c>
      <c r="Z306">
        <v>19</v>
      </c>
      <c r="AA306">
        <v>5</v>
      </c>
      <c r="AB306" t="s">
        <v>60</v>
      </c>
      <c r="AC306">
        <v>18</v>
      </c>
      <c r="AD306" t="str" cm="1">
        <f t="array" ref="AD306">_xlfn.IFS(AC306&lt;=5,"0-5",AC306&lt;=10,"5-10",AC306&lt;=40,"10-40")</f>
        <v>10-40</v>
      </c>
      <c r="AE306">
        <v>10</v>
      </c>
      <c r="AF306">
        <v>3</v>
      </c>
      <c r="AG306">
        <v>7</v>
      </c>
      <c r="AH306">
        <v>305</v>
      </c>
    </row>
    <row r="307" spans="1:34" x14ac:dyDescent="0.3">
      <c r="A307">
        <v>36</v>
      </c>
      <c r="B307" t="str" cm="1">
        <f t="array" ref="B307">_xlfn.IFS(A307&lt;=25,"18-25",A307&lt;=35,"26-35",A307&lt;=45,"36-45",A307&lt;=55,"46-55",A307&gt;55,"55+")</f>
        <v>36-45</v>
      </c>
      <c r="C307">
        <v>0</v>
      </c>
      <c r="D307" t="s">
        <v>66</v>
      </c>
      <c r="E307">
        <v>1105</v>
      </c>
      <c r="F307" t="s">
        <v>48</v>
      </c>
      <c r="G307">
        <v>24</v>
      </c>
      <c r="H307" t="s">
        <v>58</v>
      </c>
      <c r="I307" t="s">
        <v>35</v>
      </c>
      <c r="J307" t="s">
        <v>36</v>
      </c>
      <c r="K307" t="s">
        <v>37</v>
      </c>
      <c r="L307">
        <v>47</v>
      </c>
      <c r="M307" t="s">
        <v>38</v>
      </c>
      <c r="N307" t="s">
        <v>39</v>
      </c>
      <c r="O307" t="s">
        <v>57</v>
      </c>
      <c r="P307" t="s">
        <v>36</v>
      </c>
      <c r="Q307" t="s">
        <v>52</v>
      </c>
      <c r="R307">
        <v>5674</v>
      </c>
      <c r="S307">
        <v>6927</v>
      </c>
      <c r="T307">
        <v>7</v>
      </c>
      <c r="U307" t="s">
        <v>46</v>
      </c>
      <c r="V307">
        <v>15</v>
      </c>
      <c r="W307" t="s">
        <v>43</v>
      </c>
      <c r="X307" t="s">
        <v>38</v>
      </c>
      <c r="Y307">
        <v>1</v>
      </c>
      <c r="Z307">
        <v>11</v>
      </c>
      <c r="AA307">
        <v>3</v>
      </c>
      <c r="AB307" t="s">
        <v>54</v>
      </c>
      <c r="AC307">
        <v>9</v>
      </c>
      <c r="AD307" t="str" cm="1">
        <f t="array" ref="AD307">_xlfn.IFS(AC307&lt;=5,"0-5",AC307&lt;=10,"5-10",AC307&lt;=40,"10-40")</f>
        <v>5-10</v>
      </c>
      <c r="AE307">
        <v>8</v>
      </c>
      <c r="AF307">
        <v>0</v>
      </c>
      <c r="AG307">
        <v>8</v>
      </c>
      <c r="AH307">
        <v>306</v>
      </c>
    </row>
    <row r="308" spans="1:34" x14ac:dyDescent="0.3">
      <c r="A308">
        <v>32</v>
      </c>
      <c r="B308" t="str" cm="1">
        <f t="array" ref="B308">_xlfn.IFS(A308&lt;=25,"18-25",A308&lt;=35,"26-35",A308&lt;=45,"36-45",A308&lt;=55,"46-55",A308&gt;55,"55+")</f>
        <v>26-35</v>
      </c>
      <c r="C308">
        <v>0</v>
      </c>
      <c r="D308" t="s">
        <v>32</v>
      </c>
      <c r="E308">
        <v>906</v>
      </c>
      <c r="F308" t="s">
        <v>33</v>
      </c>
      <c r="G308">
        <v>7</v>
      </c>
      <c r="H308" t="s">
        <v>61</v>
      </c>
      <c r="I308" t="s">
        <v>35</v>
      </c>
      <c r="J308" t="s">
        <v>41</v>
      </c>
      <c r="K308" t="s">
        <v>50</v>
      </c>
      <c r="L308">
        <v>91</v>
      </c>
      <c r="M308" t="s">
        <v>36</v>
      </c>
      <c r="N308" t="s">
        <v>39</v>
      </c>
      <c r="O308" t="s">
        <v>40</v>
      </c>
      <c r="P308" t="s">
        <v>38</v>
      </c>
      <c r="Q308" t="s">
        <v>52</v>
      </c>
      <c r="R308">
        <v>5484</v>
      </c>
      <c r="S308">
        <v>16985</v>
      </c>
      <c r="T308">
        <v>1</v>
      </c>
      <c r="U308" t="s">
        <v>46</v>
      </c>
      <c r="V308">
        <v>14</v>
      </c>
      <c r="W308" t="s">
        <v>43</v>
      </c>
      <c r="X308" t="s">
        <v>38</v>
      </c>
      <c r="Y308">
        <v>1</v>
      </c>
      <c r="Z308">
        <v>13</v>
      </c>
      <c r="AA308">
        <v>3</v>
      </c>
      <c r="AB308" t="s">
        <v>60</v>
      </c>
      <c r="AC308">
        <v>13</v>
      </c>
      <c r="AD308" t="str" cm="1">
        <f t="array" ref="AD308">_xlfn.IFS(AC308&lt;=5,"0-5",AC308&lt;=10,"5-10",AC308&lt;=40,"10-40")</f>
        <v>10-40</v>
      </c>
      <c r="AE308">
        <v>8</v>
      </c>
      <c r="AF308">
        <v>4</v>
      </c>
      <c r="AG308">
        <v>8</v>
      </c>
      <c r="AH308">
        <v>307</v>
      </c>
    </row>
    <row r="309" spans="1:34" x14ac:dyDescent="0.3">
      <c r="A309">
        <v>38</v>
      </c>
      <c r="B309" t="str" cm="1">
        <f t="array" ref="B309">_xlfn.IFS(A309&lt;=25,"18-25",A309&lt;=35,"26-35",A309&lt;=45,"36-45",A309&lt;=55,"46-55",A309&gt;55,"55+")</f>
        <v>36-45</v>
      </c>
      <c r="C309">
        <v>0</v>
      </c>
      <c r="D309" t="s">
        <v>32</v>
      </c>
      <c r="E309">
        <v>849</v>
      </c>
      <c r="F309" t="s">
        <v>48</v>
      </c>
      <c r="G309">
        <v>25</v>
      </c>
      <c r="H309" t="s">
        <v>34</v>
      </c>
      <c r="I309" t="s">
        <v>35</v>
      </c>
      <c r="J309" t="s">
        <v>44</v>
      </c>
      <c r="K309" t="s">
        <v>37</v>
      </c>
      <c r="L309">
        <v>81</v>
      </c>
      <c r="M309" t="s">
        <v>36</v>
      </c>
      <c r="N309" t="s">
        <v>63</v>
      </c>
      <c r="O309" t="s">
        <v>70</v>
      </c>
      <c r="P309" t="s">
        <v>36</v>
      </c>
      <c r="Q309" t="s">
        <v>52</v>
      </c>
      <c r="R309">
        <v>12061</v>
      </c>
      <c r="S309">
        <v>26707</v>
      </c>
      <c r="T309">
        <v>3</v>
      </c>
      <c r="U309" t="s">
        <v>46</v>
      </c>
      <c r="V309">
        <v>17</v>
      </c>
      <c r="W309" t="s">
        <v>43</v>
      </c>
      <c r="X309" t="s">
        <v>38</v>
      </c>
      <c r="Y309">
        <v>1</v>
      </c>
      <c r="Z309">
        <v>19</v>
      </c>
      <c r="AA309">
        <v>2</v>
      </c>
      <c r="AB309" t="s">
        <v>54</v>
      </c>
      <c r="AC309">
        <v>10</v>
      </c>
      <c r="AD309" t="str" cm="1">
        <f t="array" ref="AD309">_xlfn.IFS(AC309&lt;=5,"0-5",AC309&lt;=10,"5-10",AC309&lt;=40,"10-40")</f>
        <v>5-10</v>
      </c>
      <c r="AE309">
        <v>8</v>
      </c>
      <c r="AF309">
        <v>0</v>
      </c>
      <c r="AG309">
        <v>1</v>
      </c>
      <c r="AH309">
        <v>308</v>
      </c>
    </row>
    <row r="310" spans="1:34" x14ac:dyDescent="0.3">
      <c r="A310">
        <v>58</v>
      </c>
      <c r="B310" t="str" cm="1">
        <f t="array" ref="B310">_xlfn.IFS(A310&lt;=25,"18-25",A310&lt;=35,"26-35",A310&lt;=45,"36-45",A310&lt;=55,"46-55",A310&gt;55,"55+")</f>
        <v>55+</v>
      </c>
      <c r="C310">
        <v>0</v>
      </c>
      <c r="D310" t="s">
        <v>66</v>
      </c>
      <c r="E310">
        <v>390</v>
      </c>
      <c r="F310" t="s">
        <v>48</v>
      </c>
      <c r="G310">
        <v>1</v>
      </c>
      <c r="H310" t="s">
        <v>58</v>
      </c>
      <c r="I310" t="s">
        <v>35</v>
      </c>
      <c r="J310" t="s">
        <v>41</v>
      </c>
      <c r="K310" t="s">
        <v>50</v>
      </c>
      <c r="L310">
        <v>32</v>
      </c>
      <c r="M310" t="s">
        <v>44</v>
      </c>
      <c r="N310" t="s">
        <v>39</v>
      </c>
      <c r="O310" t="s">
        <v>65</v>
      </c>
      <c r="P310" t="s">
        <v>38</v>
      </c>
      <c r="Q310" t="s">
        <v>62</v>
      </c>
      <c r="R310">
        <v>5660</v>
      </c>
      <c r="S310">
        <v>17056</v>
      </c>
      <c r="T310">
        <v>2</v>
      </c>
      <c r="U310" t="s">
        <v>31</v>
      </c>
      <c r="V310">
        <v>13</v>
      </c>
      <c r="W310" t="s">
        <v>43</v>
      </c>
      <c r="X310" t="s">
        <v>41</v>
      </c>
      <c r="Y310">
        <v>1</v>
      </c>
      <c r="Z310">
        <v>12</v>
      </c>
      <c r="AA310">
        <v>2</v>
      </c>
      <c r="AB310" t="s">
        <v>54</v>
      </c>
      <c r="AC310">
        <v>5</v>
      </c>
      <c r="AD310" t="str" cm="1">
        <f t="array" ref="AD310">_xlfn.IFS(AC310&lt;=5,"0-5",AC310&lt;=10,"5-10",AC310&lt;=40,"10-40")</f>
        <v>0-5</v>
      </c>
      <c r="AE310">
        <v>3</v>
      </c>
      <c r="AF310">
        <v>1</v>
      </c>
      <c r="AG310">
        <v>2</v>
      </c>
      <c r="AH310">
        <v>309</v>
      </c>
    </row>
    <row r="311" spans="1:34" x14ac:dyDescent="0.3">
      <c r="A311">
        <v>31</v>
      </c>
      <c r="B311" t="str" cm="1">
        <f t="array" ref="B311">_xlfn.IFS(A311&lt;=25,"18-25",A311&lt;=35,"26-35",A311&lt;=45,"36-45",A311&lt;=55,"46-55",A311&gt;55,"55+")</f>
        <v>26-35</v>
      </c>
      <c r="C311">
        <v>0</v>
      </c>
      <c r="D311" t="s">
        <v>32</v>
      </c>
      <c r="E311">
        <v>691</v>
      </c>
      <c r="F311" t="s">
        <v>48</v>
      </c>
      <c r="G311">
        <v>5</v>
      </c>
      <c r="H311" t="s">
        <v>58</v>
      </c>
      <c r="I311" t="s">
        <v>74</v>
      </c>
      <c r="J311" t="s">
        <v>38</v>
      </c>
      <c r="K311" t="s">
        <v>50</v>
      </c>
      <c r="L311">
        <v>86</v>
      </c>
      <c r="M311" t="s">
        <v>38</v>
      </c>
      <c r="N311" t="s">
        <v>56</v>
      </c>
      <c r="O311" t="s">
        <v>51</v>
      </c>
      <c r="P311" t="s">
        <v>41</v>
      </c>
      <c r="Q311" t="s">
        <v>52</v>
      </c>
      <c r="R311">
        <v>4821</v>
      </c>
      <c r="S311">
        <v>10077</v>
      </c>
      <c r="T311">
        <v>0</v>
      </c>
      <c r="U311" t="s">
        <v>31</v>
      </c>
      <c r="V311">
        <v>12</v>
      </c>
      <c r="W311" t="s">
        <v>43</v>
      </c>
      <c r="X311" t="s">
        <v>38</v>
      </c>
      <c r="Y311">
        <v>1</v>
      </c>
      <c r="Z311">
        <v>6</v>
      </c>
      <c r="AA311">
        <v>4</v>
      </c>
      <c r="AB311" t="s">
        <v>54</v>
      </c>
      <c r="AC311">
        <v>5</v>
      </c>
      <c r="AD311" t="str" cm="1">
        <f t="array" ref="AD311">_xlfn.IFS(AC311&lt;=5,"0-5",AC311&lt;=10,"5-10",AC311&lt;=40,"10-40")</f>
        <v>0-5</v>
      </c>
      <c r="AE311">
        <v>2</v>
      </c>
      <c r="AF311">
        <v>0</v>
      </c>
      <c r="AG311">
        <v>3</v>
      </c>
      <c r="AH311">
        <v>310</v>
      </c>
    </row>
    <row r="312" spans="1:34" x14ac:dyDescent="0.3">
      <c r="A312">
        <v>31</v>
      </c>
      <c r="B312" t="str" cm="1">
        <f t="array" ref="B312">_xlfn.IFS(A312&lt;=25,"18-25",A312&lt;=35,"26-35",A312&lt;=45,"36-45",A312&lt;=55,"46-55",A312&gt;55,"55+")</f>
        <v>26-35</v>
      </c>
      <c r="C312">
        <v>0</v>
      </c>
      <c r="D312" t="s">
        <v>32</v>
      </c>
      <c r="E312">
        <v>106</v>
      </c>
      <c r="F312" t="s">
        <v>76</v>
      </c>
      <c r="G312">
        <v>2</v>
      </c>
      <c r="H312" t="s">
        <v>61</v>
      </c>
      <c r="I312" t="s">
        <v>76</v>
      </c>
      <c r="J312" t="s">
        <v>44</v>
      </c>
      <c r="K312" t="s">
        <v>50</v>
      </c>
      <c r="L312">
        <v>62</v>
      </c>
      <c r="M312" t="s">
        <v>36</v>
      </c>
      <c r="N312" t="s">
        <v>39</v>
      </c>
      <c r="O312" t="s">
        <v>76</v>
      </c>
      <c r="P312" t="s">
        <v>44</v>
      </c>
      <c r="Q312" t="s">
        <v>52</v>
      </c>
      <c r="R312">
        <v>6410</v>
      </c>
      <c r="S312">
        <v>17822</v>
      </c>
      <c r="T312">
        <v>3</v>
      </c>
      <c r="U312" t="s">
        <v>46</v>
      </c>
      <c r="V312">
        <v>12</v>
      </c>
      <c r="W312" t="s">
        <v>43</v>
      </c>
      <c r="X312" t="s">
        <v>41</v>
      </c>
      <c r="Y312">
        <v>0</v>
      </c>
      <c r="Z312">
        <v>9</v>
      </c>
      <c r="AA312">
        <v>1</v>
      </c>
      <c r="AB312" t="s">
        <v>54</v>
      </c>
      <c r="AC312">
        <v>2</v>
      </c>
      <c r="AD312" t="str" cm="1">
        <f t="array" ref="AD312">_xlfn.IFS(AC312&lt;=5,"0-5",AC312&lt;=10,"5-10",AC312&lt;=40,"10-40")</f>
        <v>0-5</v>
      </c>
      <c r="AE312">
        <v>2</v>
      </c>
      <c r="AF312">
        <v>1</v>
      </c>
      <c r="AG312">
        <v>0</v>
      </c>
      <c r="AH312">
        <v>311</v>
      </c>
    </row>
    <row r="313" spans="1:34" x14ac:dyDescent="0.3">
      <c r="A313">
        <v>45</v>
      </c>
      <c r="B313" t="str" cm="1">
        <f t="array" ref="B313">_xlfn.IFS(A313&lt;=25,"18-25",A313&lt;=35,"26-35",A313&lt;=45,"36-45",A313&lt;=55,"46-55",A313&gt;55,"55+")</f>
        <v>36-45</v>
      </c>
      <c r="C313">
        <v>0</v>
      </c>
      <c r="D313" t="s">
        <v>47</v>
      </c>
      <c r="E313">
        <v>1249</v>
      </c>
      <c r="F313" t="s">
        <v>48</v>
      </c>
      <c r="G313">
        <v>7</v>
      </c>
      <c r="H313" t="s">
        <v>61</v>
      </c>
      <c r="I313" t="s">
        <v>35</v>
      </c>
      <c r="J313" t="s">
        <v>44</v>
      </c>
      <c r="K313" t="s">
        <v>50</v>
      </c>
      <c r="L313">
        <v>97</v>
      </c>
      <c r="M313" t="s">
        <v>38</v>
      </c>
      <c r="N313" t="s">
        <v>63</v>
      </c>
      <c r="O313" t="s">
        <v>57</v>
      </c>
      <c r="P313" t="s">
        <v>44</v>
      </c>
      <c r="Q313" t="s">
        <v>62</v>
      </c>
      <c r="R313">
        <v>5210</v>
      </c>
      <c r="S313">
        <v>20308</v>
      </c>
      <c r="T313">
        <v>1</v>
      </c>
      <c r="U313" t="s">
        <v>46</v>
      </c>
      <c r="V313">
        <v>18</v>
      </c>
      <c r="W313" t="s">
        <v>43</v>
      </c>
      <c r="X313" t="s">
        <v>44</v>
      </c>
      <c r="Y313">
        <v>1</v>
      </c>
      <c r="Z313">
        <v>24</v>
      </c>
      <c r="AA313">
        <v>2</v>
      </c>
      <c r="AB313" t="s">
        <v>54</v>
      </c>
      <c r="AC313">
        <v>24</v>
      </c>
      <c r="AD313" t="str" cm="1">
        <f t="array" ref="AD313">_xlfn.IFS(AC313&lt;=5,"0-5",AC313&lt;=10,"5-10",AC313&lt;=40,"10-40")</f>
        <v>10-40</v>
      </c>
      <c r="AE313">
        <v>9</v>
      </c>
      <c r="AF313">
        <v>9</v>
      </c>
      <c r="AG313">
        <v>11</v>
      </c>
      <c r="AH313">
        <v>312</v>
      </c>
    </row>
    <row r="314" spans="1:34" x14ac:dyDescent="0.3">
      <c r="A314">
        <v>31</v>
      </c>
      <c r="B314" t="str" cm="1">
        <f t="array" ref="B314">_xlfn.IFS(A314&lt;=25,"18-25",A314&lt;=35,"26-35",A314&lt;=45,"36-45",A314&lt;=55,"46-55",A314&gt;55,"55+")</f>
        <v>26-35</v>
      </c>
      <c r="C314">
        <v>0</v>
      </c>
      <c r="D314" t="s">
        <v>32</v>
      </c>
      <c r="E314">
        <v>192</v>
      </c>
      <c r="F314" t="s">
        <v>48</v>
      </c>
      <c r="G314">
        <v>2</v>
      </c>
      <c r="H314" t="s">
        <v>58</v>
      </c>
      <c r="I314" t="s">
        <v>35</v>
      </c>
      <c r="J314" t="s">
        <v>38</v>
      </c>
      <c r="K314" t="s">
        <v>50</v>
      </c>
      <c r="L314">
        <v>32</v>
      </c>
      <c r="M314" t="s">
        <v>38</v>
      </c>
      <c r="N314" t="s">
        <v>56</v>
      </c>
      <c r="O314" t="s">
        <v>51</v>
      </c>
      <c r="P314" t="s">
        <v>41</v>
      </c>
      <c r="Q314" t="s">
        <v>62</v>
      </c>
      <c r="R314">
        <v>2695</v>
      </c>
      <c r="S314">
        <v>7747</v>
      </c>
      <c r="T314">
        <v>0</v>
      </c>
      <c r="U314" t="s">
        <v>31</v>
      </c>
      <c r="V314">
        <v>18</v>
      </c>
      <c r="W314" t="s">
        <v>43</v>
      </c>
      <c r="X314" t="s">
        <v>36</v>
      </c>
      <c r="Y314">
        <v>1</v>
      </c>
      <c r="Z314">
        <v>3</v>
      </c>
      <c r="AA314">
        <v>2</v>
      </c>
      <c r="AB314" t="s">
        <v>45</v>
      </c>
      <c r="AC314">
        <v>2</v>
      </c>
      <c r="AD314" t="str" cm="1">
        <f t="array" ref="AD314">_xlfn.IFS(AC314&lt;=5,"0-5",AC314&lt;=10,"5-10",AC314&lt;=40,"10-40")</f>
        <v>0-5</v>
      </c>
      <c r="AE314">
        <v>2</v>
      </c>
      <c r="AF314">
        <v>2</v>
      </c>
      <c r="AG314">
        <v>2</v>
      </c>
      <c r="AH314">
        <v>313</v>
      </c>
    </row>
    <row r="315" spans="1:34" x14ac:dyDescent="0.3">
      <c r="A315">
        <v>33</v>
      </c>
      <c r="B315" t="str" cm="1">
        <f t="array" ref="B315">_xlfn.IFS(A315&lt;=25,"18-25",A315&lt;=35,"26-35",A315&lt;=45,"36-45",A315&lt;=55,"46-55",A315&gt;55,"55+")</f>
        <v>26-35</v>
      </c>
      <c r="C315">
        <v>0</v>
      </c>
      <c r="D315" t="s">
        <v>47</v>
      </c>
      <c r="E315">
        <v>553</v>
      </c>
      <c r="F315" t="s">
        <v>48</v>
      </c>
      <c r="G315">
        <v>5</v>
      </c>
      <c r="H315" t="s">
        <v>58</v>
      </c>
      <c r="I315" t="s">
        <v>35</v>
      </c>
      <c r="J315" t="s">
        <v>41</v>
      </c>
      <c r="K315" t="s">
        <v>37</v>
      </c>
      <c r="L315">
        <v>74</v>
      </c>
      <c r="M315" t="s">
        <v>38</v>
      </c>
      <c r="N315" t="s">
        <v>63</v>
      </c>
      <c r="O315" t="s">
        <v>68</v>
      </c>
      <c r="P315" t="s">
        <v>36</v>
      </c>
      <c r="Q315" t="s">
        <v>52</v>
      </c>
      <c r="R315">
        <v>11878</v>
      </c>
      <c r="S315">
        <v>23364</v>
      </c>
      <c r="T315">
        <v>6</v>
      </c>
      <c r="U315" t="s">
        <v>46</v>
      </c>
      <c r="V315">
        <v>11</v>
      </c>
      <c r="W315" t="s">
        <v>43</v>
      </c>
      <c r="X315" t="s">
        <v>36</v>
      </c>
      <c r="Y315">
        <v>2</v>
      </c>
      <c r="Z315">
        <v>12</v>
      </c>
      <c r="AA315">
        <v>2</v>
      </c>
      <c r="AB315" t="s">
        <v>54</v>
      </c>
      <c r="AC315">
        <v>10</v>
      </c>
      <c r="AD315" t="str" cm="1">
        <f t="array" ref="AD315">_xlfn.IFS(AC315&lt;=5,"0-5",AC315&lt;=10,"5-10",AC315&lt;=40,"10-40")</f>
        <v>5-10</v>
      </c>
      <c r="AE315">
        <v>6</v>
      </c>
      <c r="AF315">
        <v>8</v>
      </c>
      <c r="AG315">
        <v>8</v>
      </c>
      <c r="AH315">
        <v>314</v>
      </c>
    </row>
    <row r="316" spans="1:34" x14ac:dyDescent="0.3">
      <c r="A316">
        <v>39</v>
      </c>
      <c r="B316" t="str" cm="1">
        <f t="array" ref="B316">_xlfn.IFS(A316&lt;=25,"18-25",A316&lt;=35,"26-35",A316&lt;=45,"36-45",A316&lt;=55,"46-55",A316&gt;55,"55+")</f>
        <v>36-45</v>
      </c>
      <c r="C316">
        <v>0</v>
      </c>
      <c r="D316" t="s">
        <v>32</v>
      </c>
      <c r="E316">
        <v>117</v>
      </c>
      <c r="F316" t="s">
        <v>48</v>
      </c>
      <c r="G316">
        <v>10</v>
      </c>
      <c r="H316" t="s">
        <v>49</v>
      </c>
      <c r="I316" t="s">
        <v>59</v>
      </c>
      <c r="J316" t="s">
        <v>38</v>
      </c>
      <c r="K316" t="s">
        <v>50</v>
      </c>
      <c r="L316">
        <v>99</v>
      </c>
      <c r="M316" t="s">
        <v>38</v>
      </c>
      <c r="N316" t="s">
        <v>67</v>
      </c>
      <c r="O316" t="s">
        <v>68</v>
      </c>
      <c r="P316" t="s">
        <v>44</v>
      </c>
      <c r="Q316" t="s">
        <v>52</v>
      </c>
      <c r="R316">
        <v>17068</v>
      </c>
      <c r="S316">
        <v>5355</v>
      </c>
      <c r="T316">
        <v>1</v>
      </c>
      <c r="U316" t="s">
        <v>31</v>
      </c>
      <c r="V316">
        <v>14</v>
      </c>
      <c r="W316" t="s">
        <v>43</v>
      </c>
      <c r="X316" t="s">
        <v>41</v>
      </c>
      <c r="Y316">
        <v>0</v>
      </c>
      <c r="Z316">
        <v>21</v>
      </c>
      <c r="AA316">
        <v>3</v>
      </c>
      <c r="AB316" t="s">
        <v>54</v>
      </c>
      <c r="AC316">
        <v>21</v>
      </c>
      <c r="AD316" t="str" cm="1">
        <f t="array" ref="AD316">_xlfn.IFS(AC316&lt;=5,"0-5",AC316&lt;=10,"5-10",AC316&lt;=40,"10-40")</f>
        <v>10-40</v>
      </c>
      <c r="AE316">
        <v>9</v>
      </c>
      <c r="AF316">
        <v>11</v>
      </c>
      <c r="AG316">
        <v>10</v>
      </c>
      <c r="AH316">
        <v>315</v>
      </c>
    </row>
    <row r="317" spans="1:34" x14ac:dyDescent="0.3">
      <c r="A317">
        <v>43</v>
      </c>
      <c r="B317" t="str" cm="1">
        <f t="array" ref="B317">_xlfn.IFS(A317&lt;=25,"18-25",A317&lt;=35,"26-35",A317&lt;=45,"36-45",A317&lt;=55,"46-55",A317&gt;55,"55+")</f>
        <v>36-45</v>
      </c>
      <c r="C317">
        <v>0</v>
      </c>
      <c r="D317" t="s">
        <v>47</v>
      </c>
      <c r="E317">
        <v>185</v>
      </c>
      <c r="F317" t="s">
        <v>48</v>
      </c>
      <c r="G317">
        <v>10</v>
      </c>
      <c r="H317" t="s">
        <v>58</v>
      </c>
      <c r="I317" t="s">
        <v>35</v>
      </c>
      <c r="J317" t="s">
        <v>38</v>
      </c>
      <c r="K317" t="s">
        <v>37</v>
      </c>
      <c r="L317">
        <v>33</v>
      </c>
      <c r="M317" t="s">
        <v>38</v>
      </c>
      <c r="N317" t="s">
        <v>56</v>
      </c>
      <c r="O317" t="s">
        <v>57</v>
      </c>
      <c r="P317" t="s">
        <v>41</v>
      </c>
      <c r="Q317" t="s">
        <v>42</v>
      </c>
      <c r="R317">
        <v>2455</v>
      </c>
      <c r="S317">
        <v>10675</v>
      </c>
      <c r="T317">
        <v>0</v>
      </c>
      <c r="U317" t="s">
        <v>46</v>
      </c>
      <c r="V317">
        <v>19</v>
      </c>
      <c r="W317" t="s">
        <v>43</v>
      </c>
      <c r="X317" t="s">
        <v>44</v>
      </c>
      <c r="Y317">
        <v>0</v>
      </c>
      <c r="Z317">
        <v>9</v>
      </c>
      <c r="AA317">
        <v>5</v>
      </c>
      <c r="AB317" t="s">
        <v>54</v>
      </c>
      <c r="AC317">
        <v>8</v>
      </c>
      <c r="AD317" t="str" cm="1">
        <f t="array" ref="AD317">_xlfn.IFS(AC317&lt;=5,"0-5",AC317&lt;=10,"5-10",AC317&lt;=40,"10-40")</f>
        <v>5-10</v>
      </c>
      <c r="AE317">
        <v>7</v>
      </c>
      <c r="AF317">
        <v>1</v>
      </c>
      <c r="AG317">
        <v>7</v>
      </c>
      <c r="AH317">
        <v>316</v>
      </c>
    </row>
    <row r="318" spans="1:34" x14ac:dyDescent="0.3">
      <c r="A318">
        <v>49</v>
      </c>
      <c r="B318" t="str" cm="1">
        <f t="array" ref="B318">_xlfn.IFS(A318&lt;=25,"18-25",A318&lt;=35,"26-35",A318&lt;=45,"36-45",A318&lt;=55,"46-55",A318&gt;55,"55+")</f>
        <v>46-55</v>
      </c>
      <c r="C318">
        <v>0</v>
      </c>
      <c r="D318" t="s">
        <v>32</v>
      </c>
      <c r="E318">
        <v>1091</v>
      </c>
      <c r="F318" t="s">
        <v>48</v>
      </c>
      <c r="G318">
        <v>1</v>
      </c>
      <c r="H318" t="s">
        <v>34</v>
      </c>
      <c r="I318" t="s">
        <v>74</v>
      </c>
      <c r="J318" t="s">
        <v>38</v>
      </c>
      <c r="K318" t="s">
        <v>37</v>
      </c>
      <c r="L318">
        <v>90</v>
      </c>
      <c r="M318" t="s">
        <v>36</v>
      </c>
      <c r="N318" t="s">
        <v>67</v>
      </c>
      <c r="O318" t="s">
        <v>65</v>
      </c>
      <c r="P318" t="s">
        <v>38</v>
      </c>
      <c r="Q318" t="s">
        <v>42</v>
      </c>
      <c r="R318">
        <v>13964</v>
      </c>
      <c r="S318">
        <v>17810</v>
      </c>
      <c r="T318">
        <v>7</v>
      </c>
      <c r="U318" t="s">
        <v>31</v>
      </c>
      <c r="V318">
        <v>12</v>
      </c>
      <c r="W318" t="s">
        <v>43</v>
      </c>
      <c r="X318" t="s">
        <v>41</v>
      </c>
      <c r="Y318">
        <v>0</v>
      </c>
      <c r="Z318">
        <v>25</v>
      </c>
      <c r="AA318">
        <v>2</v>
      </c>
      <c r="AB318" t="s">
        <v>54</v>
      </c>
      <c r="AC318">
        <v>7</v>
      </c>
      <c r="AD318" t="str" cm="1">
        <f t="array" ref="AD318">_xlfn.IFS(AC318&lt;=5,"0-5",AC318&lt;=10,"5-10",AC318&lt;=40,"10-40")</f>
        <v>5-10</v>
      </c>
      <c r="AE318">
        <v>1</v>
      </c>
      <c r="AF318">
        <v>0</v>
      </c>
      <c r="AG318">
        <v>7</v>
      </c>
      <c r="AH318">
        <v>317</v>
      </c>
    </row>
    <row r="319" spans="1:34" x14ac:dyDescent="0.3">
      <c r="A319">
        <v>52</v>
      </c>
      <c r="B319" t="str" cm="1">
        <f t="array" ref="B319">_xlfn.IFS(A319&lt;=25,"18-25",A319&lt;=35,"26-35",A319&lt;=45,"36-45",A319&lt;=55,"46-55",A319&gt;55,"55+")</f>
        <v>46-55</v>
      </c>
      <c r="C319">
        <v>1</v>
      </c>
      <c r="D319" t="s">
        <v>32</v>
      </c>
      <c r="E319">
        <v>723</v>
      </c>
      <c r="F319" t="s">
        <v>48</v>
      </c>
      <c r="G319">
        <v>8</v>
      </c>
      <c r="H319" t="s">
        <v>58</v>
      </c>
      <c r="I319" t="s">
        <v>59</v>
      </c>
      <c r="J319" t="s">
        <v>38</v>
      </c>
      <c r="K319" t="s">
        <v>50</v>
      </c>
      <c r="L319">
        <v>85</v>
      </c>
      <c r="M319" t="s">
        <v>36</v>
      </c>
      <c r="N319" t="s">
        <v>39</v>
      </c>
      <c r="O319" t="s">
        <v>51</v>
      </c>
      <c r="P319" t="s">
        <v>36</v>
      </c>
      <c r="Q319" t="s">
        <v>52</v>
      </c>
      <c r="R319">
        <v>4941</v>
      </c>
      <c r="S319">
        <v>17747</v>
      </c>
      <c r="T319">
        <v>2</v>
      </c>
      <c r="U319" t="s">
        <v>46</v>
      </c>
      <c r="V319">
        <v>15</v>
      </c>
      <c r="W319" t="s">
        <v>43</v>
      </c>
      <c r="X319" t="s">
        <v>44</v>
      </c>
      <c r="Y319">
        <v>0</v>
      </c>
      <c r="Z319">
        <v>11</v>
      </c>
      <c r="AA319">
        <v>3</v>
      </c>
      <c r="AB319" t="s">
        <v>60</v>
      </c>
      <c r="AC319">
        <v>8</v>
      </c>
      <c r="AD319" t="str" cm="1">
        <f t="array" ref="AD319">_xlfn.IFS(AC319&lt;=5,"0-5",AC319&lt;=10,"5-10",AC319&lt;=40,"10-40")</f>
        <v>5-10</v>
      </c>
      <c r="AE319">
        <v>2</v>
      </c>
      <c r="AF319">
        <v>7</v>
      </c>
      <c r="AG319">
        <v>7</v>
      </c>
      <c r="AH319">
        <v>318</v>
      </c>
    </row>
    <row r="320" spans="1:34" x14ac:dyDescent="0.3">
      <c r="A320">
        <v>27</v>
      </c>
      <c r="B320" t="str" cm="1">
        <f t="array" ref="B320">_xlfn.IFS(A320&lt;=25,"18-25",A320&lt;=35,"26-35",A320&lt;=45,"36-45",A320&lt;=55,"46-55",A320&gt;55,"55+")</f>
        <v>26-35</v>
      </c>
      <c r="C320">
        <v>0</v>
      </c>
      <c r="D320" t="s">
        <v>32</v>
      </c>
      <c r="E320">
        <v>1220</v>
      </c>
      <c r="F320" t="s">
        <v>48</v>
      </c>
      <c r="G320">
        <v>5</v>
      </c>
      <c r="H320" t="s">
        <v>61</v>
      </c>
      <c r="I320" t="s">
        <v>35</v>
      </c>
      <c r="J320" t="s">
        <v>38</v>
      </c>
      <c r="K320" t="s">
        <v>37</v>
      </c>
      <c r="L320">
        <v>85</v>
      </c>
      <c r="M320" t="s">
        <v>38</v>
      </c>
      <c r="N320" t="s">
        <v>56</v>
      </c>
      <c r="O320" t="s">
        <v>51</v>
      </c>
      <c r="P320" t="s">
        <v>36</v>
      </c>
      <c r="Q320" t="s">
        <v>42</v>
      </c>
      <c r="R320">
        <v>2478</v>
      </c>
      <c r="S320">
        <v>20938</v>
      </c>
      <c r="T320">
        <v>1</v>
      </c>
      <c r="U320" t="s">
        <v>31</v>
      </c>
      <c r="V320">
        <v>12</v>
      </c>
      <c r="W320" t="s">
        <v>43</v>
      </c>
      <c r="X320" t="s">
        <v>36</v>
      </c>
      <c r="Y320">
        <v>0</v>
      </c>
      <c r="Z320">
        <v>4</v>
      </c>
      <c r="AA320">
        <v>2</v>
      </c>
      <c r="AB320" t="s">
        <v>60</v>
      </c>
      <c r="AC320">
        <v>4</v>
      </c>
      <c r="AD320" t="str" cm="1">
        <f t="array" ref="AD320">_xlfn.IFS(AC320&lt;=5,"0-5",AC320&lt;=10,"5-10",AC320&lt;=40,"10-40")</f>
        <v>0-5</v>
      </c>
      <c r="AE320">
        <v>3</v>
      </c>
      <c r="AF320">
        <v>1</v>
      </c>
      <c r="AG320">
        <v>2</v>
      </c>
      <c r="AH320">
        <v>319</v>
      </c>
    </row>
    <row r="321" spans="1:34" x14ac:dyDescent="0.3">
      <c r="A321">
        <v>32</v>
      </c>
      <c r="B321" t="str" cm="1">
        <f t="array" ref="B321">_xlfn.IFS(A321&lt;=25,"18-25",A321&lt;=35,"26-35",A321&lt;=45,"36-45",A321&lt;=55,"46-55",A321&gt;55,"55+")</f>
        <v>26-35</v>
      </c>
      <c r="C321">
        <v>0</v>
      </c>
      <c r="D321" t="s">
        <v>32</v>
      </c>
      <c r="E321">
        <v>588</v>
      </c>
      <c r="F321" t="s">
        <v>33</v>
      </c>
      <c r="G321">
        <v>8</v>
      </c>
      <c r="H321" t="s">
        <v>34</v>
      </c>
      <c r="I321" t="s">
        <v>74</v>
      </c>
      <c r="J321" t="s">
        <v>38</v>
      </c>
      <c r="K321" t="s">
        <v>37</v>
      </c>
      <c r="L321">
        <v>65</v>
      </c>
      <c r="M321" t="s">
        <v>36</v>
      </c>
      <c r="N321" t="s">
        <v>39</v>
      </c>
      <c r="O321" t="s">
        <v>40</v>
      </c>
      <c r="P321" t="s">
        <v>36</v>
      </c>
      <c r="Q321" t="s">
        <v>52</v>
      </c>
      <c r="R321">
        <v>5228</v>
      </c>
      <c r="S321">
        <v>24624</v>
      </c>
      <c r="T321">
        <v>1</v>
      </c>
      <c r="U321" t="s">
        <v>31</v>
      </c>
      <c r="V321">
        <v>11</v>
      </c>
      <c r="W321" t="s">
        <v>43</v>
      </c>
      <c r="X321" t="s">
        <v>41</v>
      </c>
      <c r="Y321">
        <v>0</v>
      </c>
      <c r="Z321">
        <v>13</v>
      </c>
      <c r="AA321">
        <v>2</v>
      </c>
      <c r="AB321" t="s">
        <v>54</v>
      </c>
      <c r="AC321">
        <v>13</v>
      </c>
      <c r="AD321" t="str" cm="1">
        <f t="array" ref="AD321">_xlfn.IFS(AC321&lt;=5,"0-5",AC321&lt;=10,"5-10",AC321&lt;=40,"10-40")</f>
        <v>10-40</v>
      </c>
      <c r="AE321">
        <v>12</v>
      </c>
      <c r="AF321">
        <v>11</v>
      </c>
      <c r="AG321">
        <v>9</v>
      </c>
      <c r="AH321">
        <v>320</v>
      </c>
    </row>
    <row r="322" spans="1:34" x14ac:dyDescent="0.3">
      <c r="A322">
        <v>27</v>
      </c>
      <c r="B322" t="str" cm="1">
        <f t="array" ref="B322">_xlfn.IFS(A322&lt;=25,"18-25",A322&lt;=35,"26-35",A322&lt;=45,"36-45",A322&lt;=55,"46-55",A322&gt;55,"55+")</f>
        <v>26-35</v>
      </c>
      <c r="C322">
        <v>0</v>
      </c>
      <c r="D322" t="s">
        <v>32</v>
      </c>
      <c r="E322">
        <v>1377</v>
      </c>
      <c r="F322" t="s">
        <v>33</v>
      </c>
      <c r="G322">
        <v>2</v>
      </c>
      <c r="H322" t="s">
        <v>61</v>
      </c>
      <c r="I322" t="s">
        <v>35</v>
      </c>
      <c r="J322" t="s">
        <v>41</v>
      </c>
      <c r="K322" t="s">
        <v>50</v>
      </c>
      <c r="L322">
        <v>74</v>
      </c>
      <c r="M322" t="s">
        <v>38</v>
      </c>
      <c r="N322" t="s">
        <v>39</v>
      </c>
      <c r="O322" t="s">
        <v>40</v>
      </c>
      <c r="P322" t="s">
        <v>38</v>
      </c>
      <c r="Q322" t="s">
        <v>42</v>
      </c>
      <c r="R322">
        <v>4478</v>
      </c>
      <c r="S322">
        <v>5242</v>
      </c>
      <c r="T322">
        <v>1</v>
      </c>
      <c r="U322" t="s">
        <v>31</v>
      </c>
      <c r="V322">
        <v>11</v>
      </c>
      <c r="W322" t="s">
        <v>43</v>
      </c>
      <c r="X322" t="s">
        <v>44</v>
      </c>
      <c r="Y322">
        <v>0</v>
      </c>
      <c r="Z322">
        <v>5</v>
      </c>
      <c r="AA322">
        <v>3</v>
      </c>
      <c r="AB322" t="s">
        <v>54</v>
      </c>
      <c r="AC322">
        <v>5</v>
      </c>
      <c r="AD322" t="str" cm="1">
        <f t="array" ref="AD322">_xlfn.IFS(AC322&lt;=5,"0-5",AC322&lt;=10,"5-10",AC322&lt;=40,"10-40")</f>
        <v>0-5</v>
      </c>
      <c r="AE322">
        <v>4</v>
      </c>
      <c r="AF322">
        <v>0</v>
      </c>
      <c r="AG322">
        <v>4</v>
      </c>
      <c r="AH322">
        <v>321</v>
      </c>
    </row>
    <row r="323" spans="1:34" x14ac:dyDescent="0.3">
      <c r="A323">
        <v>31</v>
      </c>
      <c r="B323" t="str" cm="1">
        <f t="array" ref="B323">_xlfn.IFS(A323&lt;=25,"18-25",A323&lt;=35,"26-35",A323&lt;=45,"36-45",A323&lt;=55,"46-55",A323&gt;55,"55+")</f>
        <v>26-35</v>
      </c>
      <c r="C323">
        <v>0</v>
      </c>
      <c r="D323" t="s">
        <v>32</v>
      </c>
      <c r="E323">
        <v>691</v>
      </c>
      <c r="F323" t="s">
        <v>33</v>
      </c>
      <c r="G323">
        <v>7</v>
      </c>
      <c r="H323" t="s">
        <v>61</v>
      </c>
      <c r="I323" t="s">
        <v>72</v>
      </c>
      <c r="J323" t="s">
        <v>41</v>
      </c>
      <c r="K323" t="s">
        <v>50</v>
      </c>
      <c r="L323">
        <v>73</v>
      </c>
      <c r="M323" t="s">
        <v>38</v>
      </c>
      <c r="N323" t="s">
        <v>39</v>
      </c>
      <c r="O323" t="s">
        <v>40</v>
      </c>
      <c r="P323" t="s">
        <v>41</v>
      </c>
      <c r="Q323" t="s">
        <v>62</v>
      </c>
      <c r="R323">
        <v>7547</v>
      </c>
      <c r="S323">
        <v>7143</v>
      </c>
      <c r="T323">
        <v>4</v>
      </c>
      <c r="U323" t="s">
        <v>46</v>
      </c>
      <c r="V323">
        <v>12</v>
      </c>
      <c r="W323" t="s">
        <v>43</v>
      </c>
      <c r="X323" t="s">
        <v>41</v>
      </c>
      <c r="Y323">
        <v>3</v>
      </c>
      <c r="Z323">
        <v>13</v>
      </c>
      <c r="AA323">
        <v>3</v>
      </c>
      <c r="AB323" t="s">
        <v>54</v>
      </c>
      <c r="AC323">
        <v>7</v>
      </c>
      <c r="AD323" t="str" cm="1">
        <f t="array" ref="AD323">_xlfn.IFS(AC323&lt;=5,"0-5",AC323&lt;=10,"5-10",AC323&lt;=40,"10-40")</f>
        <v>5-10</v>
      </c>
      <c r="AE323">
        <v>7</v>
      </c>
      <c r="AF323">
        <v>1</v>
      </c>
      <c r="AG323">
        <v>7</v>
      </c>
      <c r="AH323">
        <v>322</v>
      </c>
    </row>
    <row r="324" spans="1:34" x14ac:dyDescent="0.3">
      <c r="A324">
        <v>32</v>
      </c>
      <c r="B324" t="str" cm="1">
        <f t="array" ref="B324">_xlfn.IFS(A324&lt;=25,"18-25",A324&lt;=35,"26-35",A324&lt;=45,"36-45",A324&lt;=55,"46-55",A324&gt;55,"55+")</f>
        <v>26-35</v>
      </c>
      <c r="C324">
        <v>0</v>
      </c>
      <c r="D324" t="s">
        <v>32</v>
      </c>
      <c r="E324">
        <v>1018</v>
      </c>
      <c r="F324" t="s">
        <v>48</v>
      </c>
      <c r="G324">
        <v>2</v>
      </c>
      <c r="H324" t="s">
        <v>58</v>
      </c>
      <c r="I324" t="s">
        <v>59</v>
      </c>
      <c r="J324" t="s">
        <v>44</v>
      </c>
      <c r="K324" t="s">
        <v>37</v>
      </c>
      <c r="L324">
        <v>74</v>
      </c>
      <c r="M324" t="s">
        <v>41</v>
      </c>
      <c r="N324" t="s">
        <v>39</v>
      </c>
      <c r="O324" t="s">
        <v>51</v>
      </c>
      <c r="P324" t="s">
        <v>41</v>
      </c>
      <c r="Q324" t="s">
        <v>42</v>
      </c>
      <c r="R324">
        <v>5055</v>
      </c>
      <c r="S324">
        <v>10557</v>
      </c>
      <c r="T324">
        <v>7</v>
      </c>
      <c r="U324" t="s">
        <v>46</v>
      </c>
      <c r="V324">
        <v>16</v>
      </c>
      <c r="W324" t="s">
        <v>43</v>
      </c>
      <c r="X324" t="s">
        <v>38</v>
      </c>
      <c r="Y324">
        <v>0</v>
      </c>
      <c r="Z324">
        <v>10</v>
      </c>
      <c r="AA324">
        <v>0</v>
      </c>
      <c r="AB324" t="s">
        <v>60</v>
      </c>
      <c r="AC324">
        <v>7</v>
      </c>
      <c r="AD324" t="str" cm="1">
        <f t="array" ref="AD324">_xlfn.IFS(AC324&lt;=5,"0-5",AC324&lt;=10,"5-10",AC324&lt;=40,"10-40")</f>
        <v>5-10</v>
      </c>
      <c r="AE324">
        <v>7</v>
      </c>
      <c r="AF324">
        <v>0</v>
      </c>
      <c r="AG324">
        <v>7</v>
      </c>
      <c r="AH324">
        <v>323</v>
      </c>
    </row>
    <row r="325" spans="1:34" x14ac:dyDescent="0.3">
      <c r="A325">
        <v>28</v>
      </c>
      <c r="B325" t="str" cm="1">
        <f t="array" ref="B325">_xlfn.IFS(A325&lt;=25,"18-25",A325&lt;=35,"26-35",A325&lt;=45,"36-45",A325&lt;=55,"46-55",A325&gt;55,"55+")</f>
        <v>26-35</v>
      </c>
      <c r="C325">
        <v>1</v>
      </c>
      <c r="D325" t="s">
        <v>32</v>
      </c>
      <c r="E325">
        <v>1157</v>
      </c>
      <c r="F325" t="s">
        <v>48</v>
      </c>
      <c r="G325">
        <v>2</v>
      </c>
      <c r="H325" t="s">
        <v>58</v>
      </c>
      <c r="I325" t="s">
        <v>59</v>
      </c>
      <c r="J325" t="s">
        <v>44</v>
      </c>
      <c r="K325" t="s">
        <v>50</v>
      </c>
      <c r="L325">
        <v>84</v>
      </c>
      <c r="M325" t="s">
        <v>44</v>
      </c>
      <c r="N325" t="s">
        <v>56</v>
      </c>
      <c r="O325" t="s">
        <v>51</v>
      </c>
      <c r="P325" t="s">
        <v>41</v>
      </c>
      <c r="Q325" t="s">
        <v>52</v>
      </c>
      <c r="R325">
        <v>3464</v>
      </c>
      <c r="S325">
        <v>24737</v>
      </c>
      <c r="T325">
        <v>5</v>
      </c>
      <c r="U325" t="s">
        <v>31</v>
      </c>
      <c r="V325">
        <v>13</v>
      </c>
      <c r="W325" t="s">
        <v>43</v>
      </c>
      <c r="X325" t="s">
        <v>41</v>
      </c>
      <c r="Y325">
        <v>0</v>
      </c>
      <c r="Z325">
        <v>5</v>
      </c>
      <c r="AA325">
        <v>4</v>
      </c>
      <c r="AB325" t="s">
        <v>60</v>
      </c>
      <c r="AC325">
        <v>3</v>
      </c>
      <c r="AD325" t="str" cm="1">
        <f t="array" ref="AD325">_xlfn.IFS(AC325&lt;=5,"0-5",AC325&lt;=10,"5-10",AC325&lt;=40,"10-40")</f>
        <v>0-5</v>
      </c>
      <c r="AE325">
        <v>2</v>
      </c>
      <c r="AF325">
        <v>2</v>
      </c>
      <c r="AG325">
        <v>2</v>
      </c>
      <c r="AH325">
        <v>324</v>
      </c>
    </row>
    <row r="326" spans="1:34" x14ac:dyDescent="0.3">
      <c r="A326">
        <v>30</v>
      </c>
      <c r="B326" t="str" cm="1">
        <f t="array" ref="B326">_xlfn.IFS(A326&lt;=25,"18-25",A326&lt;=35,"26-35",A326&lt;=45,"36-45",A326&lt;=55,"46-55",A326&gt;55,"55+")</f>
        <v>26-35</v>
      </c>
      <c r="C326">
        <v>0</v>
      </c>
      <c r="D326" t="s">
        <v>32</v>
      </c>
      <c r="E326">
        <v>1275</v>
      </c>
      <c r="F326" t="s">
        <v>48</v>
      </c>
      <c r="G326">
        <v>28</v>
      </c>
      <c r="H326" t="s">
        <v>34</v>
      </c>
      <c r="I326" t="s">
        <v>59</v>
      </c>
      <c r="J326" t="s">
        <v>41</v>
      </c>
      <c r="K326" t="s">
        <v>37</v>
      </c>
      <c r="L326">
        <v>64</v>
      </c>
      <c r="M326" t="s">
        <v>38</v>
      </c>
      <c r="N326" t="s">
        <v>39</v>
      </c>
      <c r="O326" t="s">
        <v>51</v>
      </c>
      <c r="P326" t="s">
        <v>41</v>
      </c>
      <c r="Q326" t="s">
        <v>52</v>
      </c>
      <c r="R326">
        <v>5775</v>
      </c>
      <c r="S326">
        <v>11934</v>
      </c>
      <c r="T326">
        <v>1</v>
      </c>
      <c r="U326" t="s">
        <v>46</v>
      </c>
      <c r="V326">
        <v>13</v>
      </c>
      <c r="W326" t="s">
        <v>43</v>
      </c>
      <c r="X326" t="s">
        <v>41</v>
      </c>
      <c r="Y326">
        <v>2</v>
      </c>
      <c r="Z326">
        <v>11</v>
      </c>
      <c r="AA326">
        <v>2</v>
      </c>
      <c r="AB326" t="s">
        <v>54</v>
      </c>
      <c r="AC326">
        <v>10</v>
      </c>
      <c r="AD326" t="str" cm="1">
        <f t="array" ref="AD326">_xlfn.IFS(AC326&lt;=5,"0-5",AC326&lt;=10,"5-10",AC326&lt;=40,"10-40")</f>
        <v>5-10</v>
      </c>
      <c r="AE326">
        <v>8</v>
      </c>
      <c r="AF326">
        <v>1</v>
      </c>
      <c r="AG326">
        <v>9</v>
      </c>
      <c r="AH326">
        <v>325</v>
      </c>
    </row>
    <row r="327" spans="1:34" x14ac:dyDescent="0.3">
      <c r="A327">
        <v>31</v>
      </c>
      <c r="B327" t="str" cm="1">
        <f t="array" ref="B327">_xlfn.IFS(A327&lt;=25,"18-25",A327&lt;=35,"26-35",A327&lt;=45,"36-45",A327&lt;=55,"46-55",A327&gt;55,"55+")</f>
        <v>26-35</v>
      </c>
      <c r="C327">
        <v>0</v>
      </c>
      <c r="D327" t="s">
        <v>47</v>
      </c>
      <c r="E327">
        <v>798</v>
      </c>
      <c r="F327" t="s">
        <v>48</v>
      </c>
      <c r="G327">
        <v>7</v>
      </c>
      <c r="H327" t="s">
        <v>34</v>
      </c>
      <c r="I327" t="s">
        <v>35</v>
      </c>
      <c r="J327" t="s">
        <v>38</v>
      </c>
      <c r="K327" t="s">
        <v>37</v>
      </c>
      <c r="L327">
        <v>48</v>
      </c>
      <c r="M327" t="s">
        <v>36</v>
      </c>
      <c r="N327" t="s">
        <v>63</v>
      </c>
      <c r="O327" t="s">
        <v>64</v>
      </c>
      <c r="P327" t="s">
        <v>38</v>
      </c>
      <c r="Q327" t="s">
        <v>52</v>
      </c>
      <c r="R327">
        <v>8943</v>
      </c>
      <c r="S327">
        <v>14034</v>
      </c>
      <c r="T327">
        <v>1</v>
      </c>
      <c r="U327" t="s">
        <v>46</v>
      </c>
      <c r="V327">
        <v>24</v>
      </c>
      <c r="W327" t="s">
        <v>53</v>
      </c>
      <c r="X327" t="s">
        <v>44</v>
      </c>
      <c r="Y327">
        <v>1</v>
      </c>
      <c r="Z327">
        <v>10</v>
      </c>
      <c r="AA327">
        <v>2</v>
      </c>
      <c r="AB327" t="s">
        <v>54</v>
      </c>
      <c r="AC327">
        <v>10</v>
      </c>
      <c r="AD327" t="str" cm="1">
        <f t="array" ref="AD327">_xlfn.IFS(AC327&lt;=5,"0-5",AC327&lt;=10,"5-10",AC327&lt;=40,"10-40")</f>
        <v>5-10</v>
      </c>
      <c r="AE327">
        <v>9</v>
      </c>
      <c r="AF327">
        <v>8</v>
      </c>
      <c r="AG327">
        <v>9</v>
      </c>
      <c r="AH327">
        <v>326</v>
      </c>
    </row>
    <row r="328" spans="1:34" x14ac:dyDescent="0.3">
      <c r="A328">
        <v>39</v>
      </c>
      <c r="B328" t="str" cm="1">
        <f t="array" ref="B328">_xlfn.IFS(A328&lt;=25,"18-25",A328&lt;=35,"26-35",A328&lt;=45,"36-45",A328&lt;=55,"46-55",A328&gt;55,"55+")</f>
        <v>36-45</v>
      </c>
      <c r="C328">
        <v>0</v>
      </c>
      <c r="D328" t="s">
        <v>47</v>
      </c>
      <c r="E328">
        <v>672</v>
      </c>
      <c r="F328" t="s">
        <v>48</v>
      </c>
      <c r="G328">
        <v>7</v>
      </c>
      <c r="H328" t="s">
        <v>34</v>
      </c>
      <c r="I328" t="s">
        <v>59</v>
      </c>
      <c r="J328" t="s">
        <v>38</v>
      </c>
      <c r="K328" t="s">
        <v>50</v>
      </c>
      <c r="L328">
        <v>54</v>
      </c>
      <c r="M328" t="s">
        <v>36</v>
      </c>
      <c r="N328" t="s">
        <v>71</v>
      </c>
      <c r="O328" t="s">
        <v>68</v>
      </c>
      <c r="P328" t="s">
        <v>41</v>
      </c>
      <c r="Q328" t="s">
        <v>52</v>
      </c>
      <c r="R328">
        <v>19272</v>
      </c>
      <c r="S328">
        <v>21141</v>
      </c>
      <c r="T328">
        <v>1</v>
      </c>
      <c r="U328" t="s">
        <v>46</v>
      </c>
      <c r="V328">
        <v>15</v>
      </c>
      <c r="W328" t="s">
        <v>43</v>
      </c>
      <c r="X328" t="s">
        <v>44</v>
      </c>
      <c r="Y328">
        <v>1</v>
      </c>
      <c r="Z328">
        <v>21</v>
      </c>
      <c r="AA328">
        <v>2</v>
      </c>
      <c r="AB328" t="s">
        <v>54</v>
      </c>
      <c r="AC328">
        <v>21</v>
      </c>
      <c r="AD328" t="str" cm="1">
        <f t="array" ref="AD328">_xlfn.IFS(AC328&lt;=5,"0-5",AC328&lt;=10,"5-10",AC328&lt;=40,"10-40")</f>
        <v>10-40</v>
      </c>
      <c r="AE328">
        <v>9</v>
      </c>
      <c r="AF328">
        <v>13</v>
      </c>
      <c r="AG328">
        <v>3</v>
      </c>
      <c r="AH328">
        <v>327</v>
      </c>
    </row>
    <row r="329" spans="1:34" x14ac:dyDescent="0.3">
      <c r="A329">
        <v>39</v>
      </c>
      <c r="B329" t="str" cm="1">
        <f t="array" ref="B329">_xlfn.IFS(A329&lt;=25,"18-25",A329&lt;=35,"26-35",A329&lt;=45,"36-45",A329&lt;=55,"46-55",A329&gt;55,"55+")</f>
        <v>36-45</v>
      </c>
      <c r="C329">
        <v>1</v>
      </c>
      <c r="D329" t="s">
        <v>32</v>
      </c>
      <c r="E329">
        <v>1162</v>
      </c>
      <c r="F329" t="s">
        <v>33</v>
      </c>
      <c r="G329">
        <v>3</v>
      </c>
      <c r="H329" t="s">
        <v>34</v>
      </c>
      <c r="I329" t="s">
        <v>59</v>
      </c>
      <c r="J329" t="s">
        <v>41</v>
      </c>
      <c r="K329" t="s">
        <v>37</v>
      </c>
      <c r="L329">
        <v>41</v>
      </c>
      <c r="M329" t="s">
        <v>38</v>
      </c>
      <c r="N329" t="s">
        <v>39</v>
      </c>
      <c r="O329" t="s">
        <v>40</v>
      </c>
      <c r="P329" t="s">
        <v>38</v>
      </c>
      <c r="Q329" t="s">
        <v>52</v>
      </c>
      <c r="R329">
        <v>5238</v>
      </c>
      <c r="S329">
        <v>17778</v>
      </c>
      <c r="T329">
        <v>4</v>
      </c>
      <c r="U329" t="s">
        <v>31</v>
      </c>
      <c r="V329">
        <v>18</v>
      </c>
      <c r="W329" t="s">
        <v>43</v>
      </c>
      <c r="X329" t="s">
        <v>44</v>
      </c>
      <c r="Y329">
        <v>0</v>
      </c>
      <c r="Z329">
        <v>12</v>
      </c>
      <c r="AA329">
        <v>3</v>
      </c>
      <c r="AB329" t="s">
        <v>60</v>
      </c>
      <c r="AC329">
        <v>1</v>
      </c>
      <c r="AD329" t="str" cm="1">
        <f t="array" ref="AD329">_xlfn.IFS(AC329&lt;=5,"0-5",AC329&lt;=10,"5-10",AC329&lt;=40,"10-40")</f>
        <v>0-5</v>
      </c>
      <c r="AE329">
        <v>0</v>
      </c>
      <c r="AF329">
        <v>0</v>
      </c>
      <c r="AG329">
        <v>0</v>
      </c>
      <c r="AH329">
        <v>328</v>
      </c>
    </row>
    <row r="330" spans="1:34" x14ac:dyDescent="0.3">
      <c r="A330">
        <v>33</v>
      </c>
      <c r="B330" t="str" cm="1">
        <f t="array" ref="B330">_xlfn.IFS(A330&lt;=25,"18-25",A330&lt;=35,"26-35",A330&lt;=45,"36-45",A330&lt;=55,"46-55",A330&gt;55,"55+")</f>
        <v>26-35</v>
      </c>
      <c r="C330">
        <v>0</v>
      </c>
      <c r="D330" t="s">
        <v>47</v>
      </c>
      <c r="E330">
        <v>508</v>
      </c>
      <c r="F330" t="s">
        <v>33</v>
      </c>
      <c r="G330">
        <v>10</v>
      </c>
      <c r="H330" t="s">
        <v>61</v>
      </c>
      <c r="I330" t="s">
        <v>72</v>
      </c>
      <c r="J330" t="s">
        <v>36</v>
      </c>
      <c r="K330" t="s">
        <v>50</v>
      </c>
      <c r="L330">
        <v>46</v>
      </c>
      <c r="M330" t="s">
        <v>36</v>
      </c>
      <c r="N330" t="s">
        <v>39</v>
      </c>
      <c r="O330" t="s">
        <v>40</v>
      </c>
      <c r="P330" t="s">
        <v>41</v>
      </c>
      <c r="Q330" t="s">
        <v>42</v>
      </c>
      <c r="R330">
        <v>4682</v>
      </c>
      <c r="S330">
        <v>4317</v>
      </c>
      <c r="T330">
        <v>3</v>
      </c>
      <c r="U330" t="s">
        <v>46</v>
      </c>
      <c r="V330">
        <v>14</v>
      </c>
      <c r="W330" t="s">
        <v>43</v>
      </c>
      <c r="X330" t="s">
        <v>38</v>
      </c>
      <c r="Y330">
        <v>0</v>
      </c>
      <c r="Z330">
        <v>9</v>
      </c>
      <c r="AA330">
        <v>6</v>
      </c>
      <c r="AB330" t="s">
        <v>60</v>
      </c>
      <c r="AC330">
        <v>7</v>
      </c>
      <c r="AD330" t="str" cm="1">
        <f t="array" ref="AD330">_xlfn.IFS(AC330&lt;=5,"0-5",AC330&lt;=10,"5-10",AC330&lt;=40,"10-40")</f>
        <v>5-10</v>
      </c>
      <c r="AE330">
        <v>7</v>
      </c>
      <c r="AF330">
        <v>0</v>
      </c>
      <c r="AG330">
        <v>1</v>
      </c>
      <c r="AH330">
        <v>329</v>
      </c>
    </row>
    <row r="331" spans="1:34" x14ac:dyDescent="0.3">
      <c r="A331">
        <v>47</v>
      </c>
      <c r="B331" t="str" cm="1">
        <f t="array" ref="B331">_xlfn.IFS(A331&lt;=25,"18-25",A331&lt;=35,"26-35",A331&lt;=45,"36-45",A331&lt;=55,"46-55",A331&gt;55,"55+")</f>
        <v>46-55</v>
      </c>
      <c r="C331">
        <v>0</v>
      </c>
      <c r="D331" t="s">
        <v>32</v>
      </c>
      <c r="E331">
        <v>1482</v>
      </c>
      <c r="F331" t="s">
        <v>48</v>
      </c>
      <c r="G331">
        <v>5</v>
      </c>
      <c r="H331" t="s">
        <v>75</v>
      </c>
      <c r="I331" t="s">
        <v>35</v>
      </c>
      <c r="J331" t="s">
        <v>41</v>
      </c>
      <c r="K331" t="s">
        <v>50</v>
      </c>
      <c r="L331">
        <v>42</v>
      </c>
      <c r="M331" t="s">
        <v>38</v>
      </c>
      <c r="N331" t="s">
        <v>71</v>
      </c>
      <c r="O331" t="s">
        <v>70</v>
      </c>
      <c r="P331" t="s">
        <v>38</v>
      </c>
      <c r="Q331" t="s">
        <v>52</v>
      </c>
      <c r="R331">
        <v>18300</v>
      </c>
      <c r="S331">
        <v>16375</v>
      </c>
      <c r="T331">
        <v>4</v>
      </c>
      <c r="U331" t="s">
        <v>46</v>
      </c>
      <c r="V331">
        <v>11</v>
      </c>
      <c r="W331" t="s">
        <v>43</v>
      </c>
      <c r="X331" t="s">
        <v>36</v>
      </c>
      <c r="Y331">
        <v>1</v>
      </c>
      <c r="Z331">
        <v>21</v>
      </c>
      <c r="AA331">
        <v>2</v>
      </c>
      <c r="AB331" t="s">
        <v>54</v>
      </c>
      <c r="AC331">
        <v>3</v>
      </c>
      <c r="AD331" t="str" cm="1">
        <f t="array" ref="AD331">_xlfn.IFS(AC331&lt;=5,"0-5",AC331&lt;=10,"5-10",AC331&lt;=40,"10-40")</f>
        <v>0-5</v>
      </c>
      <c r="AE331">
        <v>2</v>
      </c>
      <c r="AF331">
        <v>1</v>
      </c>
      <c r="AG331">
        <v>1</v>
      </c>
      <c r="AH331">
        <v>330</v>
      </c>
    </row>
    <row r="332" spans="1:34" x14ac:dyDescent="0.3">
      <c r="A332">
        <v>43</v>
      </c>
      <c r="B332" t="str" cm="1">
        <f t="array" ref="B332">_xlfn.IFS(A332&lt;=25,"18-25",A332&lt;=35,"26-35",A332&lt;=45,"36-45",A332&lt;=55,"46-55",A332&gt;55,"55+")</f>
        <v>36-45</v>
      </c>
      <c r="C332">
        <v>0</v>
      </c>
      <c r="D332" t="s">
        <v>47</v>
      </c>
      <c r="E332">
        <v>559</v>
      </c>
      <c r="F332" t="s">
        <v>48</v>
      </c>
      <c r="G332">
        <v>10</v>
      </c>
      <c r="H332" t="s">
        <v>58</v>
      </c>
      <c r="I332" t="s">
        <v>35</v>
      </c>
      <c r="J332" t="s">
        <v>38</v>
      </c>
      <c r="K332" t="s">
        <v>37</v>
      </c>
      <c r="L332">
        <v>82</v>
      </c>
      <c r="M332" t="s">
        <v>36</v>
      </c>
      <c r="N332" t="s">
        <v>39</v>
      </c>
      <c r="O332" t="s">
        <v>57</v>
      </c>
      <c r="P332" t="s">
        <v>38</v>
      </c>
      <c r="Q332" t="s">
        <v>62</v>
      </c>
      <c r="R332">
        <v>5257</v>
      </c>
      <c r="S332">
        <v>6227</v>
      </c>
      <c r="T332">
        <v>1</v>
      </c>
      <c r="U332" t="s">
        <v>46</v>
      </c>
      <c r="V332">
        <v>11</v>
      </c>
      <c r="W332" t="s">
        <v>43</v>
      </c>
      <c r="X332" t="s">
        <v>36</v>
      </c>
      <c r="Y332">
        <v>1</v>
      </c>
      <c r="Z332">
        <v>9</v>
      </c>
      <c r="AA332">
        <v>3</v>
      </c>
      <c r="AB332" t="s">
        <v>73</v>
      </c>
      <c r="AC332">
        <v>9</v>
      </c>
      <c r="AD332" t="str" cm="1">
        <f t="array" ref="AD332">_xlfn.IFS(AC332&lt;=5,"0-5",AC332&lt;=10,"5-10",AC332&lt;=40,"10-40")</f>
        <v>5-10</v>
      </c>
      <c r="AE332">
        <v>7</v>
      </c>
      <c r="AF332">
        <v>0</v>
      </c>
      <c r="AG332">
        <v>0</v>
      </c>
      <c r="AH332">
        <v>331</v>
      </c>
    </row>
    <row r="333" spans="1:34" x14ac:dyDescent="0.3">
      <c r="A333">
        <v>27</v>
      </c>
      <c r="B333" t="str" cm="1">
        <f t="array" ref="B333">_xlfn.IFS(A333&lt;=25,"18-25",A333&lt;=35,"26-35",A333&lt;=45,"36-45",A333&lt;=55,"46-55",A333&gt;55,"55+")</f>
        <v>26-35</v>
      </c>
      <c r="C333">
        <v>0</v>
      </c>
      <c r="D333" t="s">
        <v>66</v>
      </c>
      <c r="E333">
        <v>210</v>
      </c>
      <c r="F333" t="s">
        <v>33</v>
      </c>
      <c r="G333">
        <v>1</v>
      </c>
      <c r="H333" t="s">
        <v>49</v>
      </c>
      <c r="I333" t="s">
        <v>72</v>
      </c>
      <c r="J333" t="s">
        <v>38</v>
      </c>
      <c r="K333" t="s">
        <v>50</v>
      </c>
      <c r="L333">
        <v>73</v>
      </c>
      <c r="M333" t="s">
        <v>38</v>
      </c>
      <c r="N333" t="s">
        <v>39</v>
      </c>
      <c r="O333" t="s">
        <v>40</v>
      </c>
      <c r="P333" t="s">
        <v>36</v>
      </c>
      <c r="Q333" t="s">
        <v>52</v>
      </c>
      <c r="R333">
        <v>6349</v>
      </c>
      <c r="S333">
        <v>22107</v>
      </c>
      <c r="T333">
        <v>0</v>
      </c>
      <c r="U333" t="s">
        <v>31</v>
      </c>
      <c r="V333">
        <v>13</v>
      </c>
      <c r="W333" t="s">
        <v>43</v>
      </c>
      <c r="X333" t="s">
        <v>41</v>
      </c>
      <c r="Y333">
        <v>1</v>
      </c>
      <c r="Z333">
        <v>6</v>
      </c>
      <c r="AA333">
        <v>0</v>
      </c>
      <c r="AB333" t="s">
        <v>54</v>
      </c>
      <c r="AC333">
        <v>5</v>
      </c>
      <c r="AD333" t="str" cm="1">
        <f t="array" ref="AD333">_xlfn.IFS(AC333&lt;=5,"0-5",AC333&lt;=10,"5-10",AC333&lt;=40,"10-40")</f>
        <v>0-5</v>
      </c>
      <c r="AE333">
        <v>4</v>
      </c>
      <c r="AF333">
        <v>1</v>
      </c>
      <c r="AG333">
        <v>4</v>
      </c>
      <c r="AH333">
        <v>332</v>
      </c>
    </row>
    <row r="334" spans="1:34" x14ac:dyDescent="0.3">
      <c r="A334">
        <v>54</v>
      </c>
      <c r="B334" t="str" cm="1">
        <f t="array" ref="B334">_xlfn.IFS(A334&lt;=25,"18-25",A334&lt;=35,"26-35",A334&lt;=45,"36-45",A334&lt;=55,"46-55",A334&gt;55,"55+")</f>
        <v>46-55</v>
      </c>
      <c r="C334">
        <v>0</v>
      </c>
      <c r="D334" t="s">
        <v>47</v>
      </c>
      <c r="E334">
        <v>928</v>
      </c>
      <c r="F334" t="s">
        <v>48</v>
      </c>
      <c r="G334">
        <v>20</v>
      </c>
      <c r="H334" t="s">
        <v>58</v>
      </c>
      <c r="I334" t="s">
        <v>35</v>
      </c>
      <c r="J334" t="s">
        <v>41</v>
      </c>
      <c r="K334" t="s">
        <v>37</v>
      </c>
      <c r="L334">
        <v>31</v>
      </c>
      <c r="M334" t="s">
        <v>38</v>
      </c>
      <c r="N334" t="s">
        <v>39</v>
      </c>
      <c r="O334" t="s">
        <v>51</v>
      </c>
      <c r="P334" t="s">
        <v>38</v>
      </c>
      <c r="Q334" t="s">
        <v>42</v>
      </c>
      <c r="R334">
        <v>4869</v>
      </c>
      <c r="S334">
        <v>16885</v>
      </c>
      <c r="T334">
        <v>3</v>
      </c>
      <c r="U334" t="s">
        <v>46</v>
      </c>
      <c r="V334">
        <v>12</v>
      </c>
      <c r="W334" t="s">
        <v>43</v>
      </c>
      <c r="X334" t="s">
        <v>41</v>
      </c>
      <c r="Y334">
        <v>0</v>
      </c>
      <c r="Z334">
        <v>20</v>
      </c>
      <c r="AA334">
        <v>4</v>
      </c>
      <c r="AB334" t="s">
        <v>60</v>
      </c>
      <c r="AC334">
        <v>4</v>
      </c>
      <c r="AD334" t="str" cm="1">
        <f t="array" ref="AD334">_xlfn.IFS(AC334&lt;=5,"0-5",AC334&lt;=10,"5-10",AC334&lt;=40,"10-40")</f>
        <v>0-5</v>
      </c>
      <c r="AE334">
        <v>3</v>
      </c>
      <c r="AF334">
        <v>0</v>
      </c>
      <c r="AG334">
        <v>3</v>
      </c>
      <c r="AH334">
        <v>333</v>
      </c>
    </row>
    <row r="335" spans="1:34" x14ac:dyDescent="0.3">
      <c r="A335">
        <v>43</v>
      </c>
      <c r="B335" t="str" cm="1">
        <f t="array" ref="B335">_xlfn.IFS(A335&lt;=25,"18-25",A335&lt;=35,"26-35",A335&lt;=45,"36-45",A335&lt;=55,"46-55",A335&gt;55,"55+")</f>
        <v>36-45</v>
      </c>
      <c r="C335">
        <v>0</v>
      </c>
      <c r="D335" t="s">
        <v>32</v>
      </c>
      <c r="E335">
        <v>1001</v>
      </c>
      <c r="F335" t="s">
        <v>48</v>
      </c>
      <c r="G335">
        <v>7</v>
      </c>
      <c r="H335" t="s">
        <v>61</v>
      </c>
      <c r="I335" t="s">
        <v>35</v>
      </c>
      <c r="J335" t="s">
        <v>38</v>
      </c>
      <c r="K335" t="s">
        <v>37</v>
      </c>
      <c r="L335">
        <v>43</v>
      </c>
      <c r="M335" t="s">
        <v>38</v>
      </c>
      <c r="N335" t="s">
        <v>63</v>
      </c>
      <c r="O335" t="s">
        <v>65</v>
      </c>
      <c r="P335" t="s">
        <v>44</v>
      </c>
      <c r="Q335" t="s">
        <v>52</v>
      </c>
      <c r="R335">
        <v>9985</v>
      </c>
      <c r="S335">
        <v>9262</v>
      </c>
      <c r="T335">
        <v>8</v>
      </c>
      <c r="U335" t="s">
        <v>46</v>
      </c>
      <c r="V335">
        <v>16</v>
      </c>
      <c r="W335" t="s">
        <v>43</v>
      </c>
      <c r="X335" t="s">
        <v>44</v>
      </c>
      <c r="Y335">
        <v>1</v>
      </c>
      <c r="Z335">
        <v>10</v>
      </c>
      <c r="AA335">
        <v>1</v>
      </c>
      <c r="AB335" t="s">
        <v>60</v>
      </c>
      <c r="AC335">
        <v>1</v>
      </c>
      <c r="AD335" t="str" cm="1">
        <f t="array" ref="AD335">_xlfn.IFS(AC335&lt;=5,"0-5",AC335&lt;=10,"5-10",AC335&lt;=40,"10-40")</f>
        <v>0-5</v>
      </c>
      <c r="AE335">
        <v>0</v>
      </c>
      <c r="AF335">
        <v>0</v>
      </c>
      <c r="AG335">
        <v>0</v>
      </c>
      <c r="AH335">
        <v>334</v>
      </c>
    </row>
    <row r="336" spans="1:34" x14ac:dyDescent="0.3">
      <c r="A336">
        <v>45</v>
      </c>
      <c r="B336" t="str" cm="1">
        <f t="array" ref="B336">_xlfn.IFS(A336&lt;=25,"18-25",A336&lt;=35,"26-35",A336&lt;=45,"36-45",A336&lt;=55,"46-55",A336&gt;55,"55+")</f>
        <v>36-45</v>
      </c>
      <c r="C336">
        <v>0</v>
      </c>
      <c r="D336" t="s">
        <v>32</v>
      </c>
      <c r="E336">
        <v>549</v>
      </c>
      <c r="F336" t="s">
        <v>48</v>
      </c>
      <c r="G336">
        <v>8</v>
      </c>
      <c r="H336" t="s">
        <v>58</v>
      </c>
      <c r="I336" t="s">
        <v>55</v>
      </c>
      <c r="J336" t="s">
        <v>41</v>
      </c>
      <c r="K336" t="s">
        <v>50</v>
      </c>
      <c r="L336">
        <v>75</v>
      </c>
      <c r="M336" t="s">
        <v>38</v>
      </c>
      <c r="N336" t="s">
        <v>39</v>
      </c>
      <c r="O336" t="s">
        <v>51</v>
      </c>
      <c r="P336" t="s">
        <v>41</v>
      </c>
      <c r="Q336" t="s">
        <v>52</v>
      </c>
      <c r="R336">
        <v>3697</v>
      </c>
      <c r="S336">
        <v>9278</v>
      </c>
      <c r="T336">
        <v>9</v>
      </c>
      <c r="U336" t="s">
        <v>46</v>
      </c>
      <c r="V336">
        <v>14</v>
      </c>
      <c r="W336" t="s">
        <v>43</v>
      </c>
      <c r="X336" t="s">
        <v>44</v>
      </c>
      <c r="Y336">
        <v>2</v>
      </c>
      <c r="Z336">
        <v>12</v>
      </c>
      <c r="AA336">
        <v>3</v>
      </c>
      <c r="AB336" t="s">
        <v>54</v>
      </c>
      <c r="AC336">
        <v>10</v>
      </c>
      <c r="AD336" t="str" cm="1">
        <f t="array" ref="AD336">_xlfn.IFS(AC336&lt;=5,"0-5",AC336&lt;=10,"5-10",AC336&lt;=40,"10-40")</f>
        <v>5-10</v>
      </c>
      <c r="AE336">
        <v>9</v>
      </c>
      <c r="AF336">
        <v>9</v>
      </c>
      <c r="AG336">
        <v>8</v>
      </c>
      <c r="AH336">
        <v>335</v>
      </c>
    </row>
    <row r="337" spans="1:34" x14ac:dyDescent="0.3">
      <c r="A337">
        <v>40</v>
      </c>
      <c r="B337" t="str" cm="1">
        <f t="array" ref="B337">_xlfn.IFS(A337&lt;=25,"18-25",A337&lt;=35,"26-35",A337&lt;=45,"36-45",A337&lt;=55,"46-55",A337&gt;55,"55+")</f>
        <v>36-45</v>
      </c>
      <c r="C337">
        <v>0</v>
      </c>
      <c r="D337" t="s">
        <v>32</v>
      </c>
      <c r="E337">
        <v>1124</v>
      </c>
      <c r="F337" t="s">
        <v>33</v>
      </c>
      <c r="G337">
        <v>1</v>
      </c>
      <c r="H337" t="s">
        <v>34</v>
      </c>
      <c r="I337" t="s">
        <v>59</v>
      </c>
      <c r="J337" t="s">
        <v>36</v>
      </c>
      <c r="K337" t="s">
        <v>50</v>
      </c>
      <c r="L337">
        <v>57</v>
      </c>
      <c r="M337" t="s">
        <v>44</v>
      </c>
      <c r="N337" t="s">
        <v>39</v>
      </c>
      <c r="O337" t="s">
        <v>40</v>
      </c>
      <c r="P337" t="s">
        <v>41</v>
      </c>
      <c r="Q337" t="s">
        <v>52</v>
      </c>
      <c r="R337">
        <v>7457</v>
      </c>
      <c r="S337">
        <v>13273</v>
      </c>
      <c r="T337">
        <v>2</v>
      </c>
      <c r="U337" t="s">
        <v>31</v>
      </c>
      <c r="V337">
        <v>22</v>
      </c>
      <c r="W337" t="s">
        <v>53</v>
      </c>
      <c r="X337" t="s">
        <v>38</v>
      </c>
      <c r="Y337">
        <v>3</v>
      </c>
      <c r="Z337">
        <v>6</v>
      </c>
      <c r="AA337">
        <v>2</v>
      </c>
      <c r="AB337" t="s">
        <v>60</v>
      </c>
      <c r="AC337">
        <v>4</v>
      </c>
      <c r="AD337" t="str" cm="1">
        <f t="array" ref="AD337">_xlfn.IFS(AC337&lt;=5,"0-5",AC337&lt;=10,"5-10",AC337&lt;=40,"10-40")</f>
        <v>0-5</v>
      </c>
      <c r="AE337">
        <v>3</v>
      </c>
      <c r="AF337">
        <v>0</v>
      </c>
      <c r="AG337">
        <v>2</v>
      </c>
      <c r="AH337">
        <v>336</v>
      </c>
    </row>
    <row r="338" spans="1:34" x14ac:dyDescent="0.3">
      <c r="A338">
        <v>29</v>
      </c>
      <c r="B338" t="str" cm="1">
        <f t="array" ref="B338">_xlfn.IFS(A338&lt;=25,"18-25",A338&lt;=35,"26-35",A338&lt;=45,"36-45",A338&lt;=55,"46-55",A338&gt;55,"55+")</f>
        <v>26-35</v>
      </c>
      <c r="C338">
        <v>1</v>
      </c>
      <c r="D338" t="s">
        <v>32</v>
      </c>
      <c r="E338">
        <v>318</v>
      </c>
      <c r="F338" t="s">
        <v>48</v>
      </c>
      <c r="G338">
        <v>8</v>
      </c>
      <c r="H338" t="s">
        <v>58</v>
      </c>
      <c r="I338" t="s">
        <v>55</v>
      </c>
      <c r="J338" t="s">
        <v>36</v>
      </c>
      <c r="K338" t="s">
        <v>50</v>
      </c>
      <c r="L338">
        <v>77</v>
      </c>
      <c r="M338" t="s">
        <v>44</v>
      </c>
      <c r="N338" t="s">
        <v>56</v>
      </c>
      <c r="O338" t="s">
        <v>57</v>
      </c>
      <c r="P338" t="s">
        <v>44</v>
      </c>
      <c r="Q338" t="s">
        <v>52</v>
      </c>
      <c r="R338">
        <v>2119</v>
      </c>
      <c r="S338">
        <v>4759</v>
      </c>
      <c r="T338">
        <v>1</v>
      </c>
      <c r="U338" t="s">
        <v>31</v>
      </c>
      <c r="V338">
        <v>11</v>
      </c>
      <c r="W338" t="s">
        <v>43</v>
      </c>
      <c r="X338" t="s">
        <v>41</v>
      </c>
      <c r="Y338">
        <v>0</v>
      </c>
      <c r="Z338">
        <v>7</v>
      </c>
      <c r="AA338">
        <v>4</v>
      </c>
      <c r="AB338" t="s">
        <v>60</v>
      </c>
      <c r="AC338">
        <v>7</v>
      </c>
      <c r="AD338" t="str" cm="1">
        <f t="array" ref="AD338">_xlfn.IFS(AC338&lt;=5,"0-5",AC338&lt;=10,"5-10",AC338&lt;=40,"10-40")</f>
        <v>5-10</v>
      </c>
      <c r="AE338">
        <v>7</v>
      </c>
      <c r="AF338">
        <v>0</v>
      </c>
      <c r="AG338">
        <v>7</v>
      </c>
      <c r="AH338">
        <v>337</v>
      </c>
    </row>
    <row r="339" spans="1:34" x14ac:dyDescent="0.3">
      <c r="A339">
        <v>29</v>
      </c>
      <c r="B339" t="str" cm="1">
        <f t="array" ref="B339">_xlfn.IFS(A339&lt;=25,"18-25",A339&lt;=35,"26-35",A339&lt;=45,"36-45",A339&lt;=55,"46-55",A339&gt;55,"55+")</f>
        <v>26-35</v>
      </c>
      <c r="C339">
        <v>0</v>
      </c>
      <c r="D339" t="s">
        <v>32</v>
      </c>
      <c r="E339">
        <v>738</v>
      </c>
      <c r="F339" t="s">
        <v>48</v>
      </c>
      <c r="G339">
        <v>9</v>
      </c>
      <c r="H339" t="s">
        <v>75</v>
      </c>
      <c r="I339" t="s">
        <v>55</v>
      </c>
      <c r="J339" t="s">
        <v>36</v>
      </c>
      <c r="K339" t="s">
        <v>50</v>
      </c>
      <c r="L339">
        <v>30</v>
      </c>
      <c r="M339" t="s">
        <v>36</v>
      </c>
      <c r="N339" t="s">
        <v>56</v>
      </c>
      <c r="O339" t="s">
        <v>57</v>
      </c>
      <c r="P339" t="s">
        <v>41</v>
      </c>
      <c r="Q339" t="s">
        <v>42</v>
      </c>
      <c r="R339">
        <v>3983</v>
      </c>
      <c r="S339">
        <v>7621</v>
      </c>
      <c r="T339">
        <v>0</v>
      </c>
      <c r="U339" t="s">
        <v>46</v>
      </c>
      <c r="V339">
        <v>17</v>
      </c>
      <c r="W339" t="s">
        <v>43</v>
      </c>
      <c r="X339" t="s">
        <v>38</v>
      </c>
      <c r="Y339">
        <v>0</v>
      </c>
      <c r="Z339">
        <v>4</v>
      </c>
      <c r="AA339">
        <v>2</v>
      </c>
      <c r="AB339" t="s">
        <v>54</v>
      </c>
      <c r="AC339">
        <v>3</v>
      </c>
      <c r="AD339" t="str" cm="1">
        <f t="array" ref="AD339">_xlfn.IFS(AC339&lt;=5,"0-5",AC339&lt;=10,"5-10",AC339&lt;=40,"10-40")</f>
        <v>0-5</v>
      </c>
      <c r="AE339">
        <v>2</v>
      </c>
      <c r="AF339">
        <v>2</v>
      </c>
      <c r="AG339">
        <v>2</v>
      </c>
      <c r="AH339">
        <v>338</v>
      </c>
    </row>
    <row r="340" spans="1:34" x14ac:dyDescent="0.3">
      <c r="A340">
        <v>30</v>
      </c>
      <c r="B340" t="str" cm="1">
        <f t="array" ref="B340">_xlfn.IFS(A340&lt;=25,"18-25",A340&lt;=35,"26-35",A340&lt;=45,"36-45",A340&lt;=55,"46-55",A340&gt;55,"55+")</f>
        <v>26-35</v>
      </c>
      <c r="C340">
        <v>0</v>
      </c>
      <c r="D340" t="s">
        <v>32</v>
      </c>
      <c r="E340">
        <v>570</v>
      </c>
      <c r="F340" t="s">
        <v>33</v>
      </c>
      <c r="G340">
        <v>5</v>
      </c>
      <c r="H340" t="s">
        <v>61</v>
      </c>
      <c r="I340" t="s">
        <v>72</v>
      </c>
      <c r="J340" t="s">
        <v>41</v>
      </c>
      <c r="K340" t="s">
        <v>37</v>
      </c>
      <c r="L340">
        <v>30</v>
      </c>
      <c r="M340" t="s">
        <v>36</v>
      </c>
      <c r="N340" t="s">
        <v>39</v>
      </c>
      <c r="O340" t="s">
        <v>40</v>
      </c>
      <c r="P340" t="s">
        <v>38</v>
      </c>
      <c r="Q340" t="s">
        <v>62</v>
      </c>
      <c r="R340">
        <v>6118</v>
      </c>
      <c r="S340">
        <v>5431</v>
      </c>
      <c r="T340">
        <v>1</v>
      </c>
      <c r="U340" t="s">
        <v>46</v>
      </c>
      <c r="V340">
        <v>13</v>
      </c>
      <c r="W340" t="s">
        <v>43</v>
      </c>
      <c r="X340" t="s">
        <v>38</v>
      </c>
      <c r="Y340">
        <v>3</v>
      </c>
      <c r="Z340">
        <v>10</v>
      </c>
      <c r="AA340">
        <v>2</v>
      </c>
      <c r="AB340" t="s">
        <v>54</v>
      </c>
      <c r="AC340">
        <v>10</v>
      </c>
      <c r="AD340" t="str" cm="1">
        <f t="array" ref="AD340">_xlfn.IFS(AC340&lt;=5,"0-5",AC340&lt;=10,"5-10",AC340&lt;=40,"10-40")</f>
        <v>5-10</v>
      </c>
      <c r="AE340">
        <v>9</v>
      </c>
      <c r="AF340">
        <v>1</v>
      </c>
      <c r="AG340">
        <v>2</v>
      </c>
      <c r="AH340">
        <v>339</v>
      </c>
    </row>
    <row r="341" spans="1:34" x14ac:dyDescent="0.3">
      <c r="A341">
        <v>27</v>
      </c>
      <c r="B341" t="str" cm="1">
        <f t="array" ref="B341">_xlfn.IFS(A341&lt;=25,"18-25",A341&lt;=35,"26-35",A341&lt;=45,"36-45",A341&lt;=55,"46-55",A341&gt;55,"55+")</f>
        <v>26-35</v>
      </c>
      <c r="C341">
        <v>0</v>
      </c>
      <c r="D341" t="s">
        <v>32</v>
      </c>
      <c r="E341">
        <v>1130</v>
      </c>
      <c r="F341" t="s">
        <v>33</v>
      </c>
      <c r="G341">
        <v>8</v>
      </c>
      <c r="H341" t="s">
        <v>58</v>
      </c>
      <c r="I341" t="s">
        <v>72</v>
      </c>
      <c r="J341" t="s">
        <v>36</v>
      </c>
      <c r="K341" t="s">
        <v>37</v>
      </c>
      <c r="L341">
        <v>56</v>
      </c>
      <c r="M341" t="s">
        <v>38</v>
      </c>
      <c r="N341" t="s">
        <v>39</v>
      </c>
      <c r="O341" t="s">
        <v>40</v>
      </c>
      <c r="P341" t="s">
        <v>36</v>
      </c>
      <c r="Q341" t="s">
        <v>52</v>
      </c>
      <c r="R341">
        <v>6214</v>
      </c>
      <c r="S341">
        <v>3415</v>
      </c>
      <c r="T341">
        <v>1</v>
      </c>
      <c r="U341" t="s">
        <v>46</v>
      </c>
      <c r="V341">
        <v>18</v>
      </c>
      <c r="W341" t="s">
        <v>43</v>
      </c>
      <c r="X341" t="s">
        <v>44</v>
      </c>
      <c r="Y341">
        <v>1</v>
      </c>
      <c r="Z341">
        <v>8</v>
      </c>
      <c r="AA341">
        <v>3</v>
      </c>
      <c r="AB341" t="s">
        <v>54</v>
      </c>
      <c r="AC341">
        <v>8</v>
      </c>
      <c r="AD341" t="str" cm="1">
        <f t="array" ref="AD341">_xlfn.IFS(AC341&lt;=5,"0-5",AC341&lt;=10,"5-10",AC341&lt;=40,"10-40")</f>
        <v>5-10</v>
      </c>
      <c r="AE341">
        <v>7</v>
      </c>
      <c r="AF341">
        <v>0</v>
      </c>
      <c r="AG341">
        <v>7</v>
      </c>
      <c r="AH341">
        <v>340</v>
      </c>
    </row>
    <row r="342" spans="1:34" x14ac:dyDescent="0.3">
      <c r="A342">
        <v>37</v>
      </c>
      <c r="B342" t="str" cm="1">
        <f t="array" ref="B342">_xlfn.IFS(A342&lt;=25,"18-25",A342&lt;=35,"26-35",A342&lt;=45,"36-45",A342&lt;=55,"46-55",A342&gt;55,"55+")</f>
        <v>36-45</v>
      </c>
      <c r="C342">
        <v>0</v>
      </c>
      <c r="D342" t="s">
        <v>32</v>
      </c>
      <c r="E342">
        <v>1192</v>
      </c>
      <c r="F342" t="s">
        <v>48</v>
      </c>
      <c r="G342">
        <v>5</v>
      </c>
      <c r="H342" t="s">
        <v>34</v>
      </c>
      <c r="I342" t="s">
        <v>59</v>
      </c>
      <c r="J342" t="s">
        <v>41</v>
      </c>
      <c r="K342" t="s">
        <v>50</v>
      </c>
      <c r="L342">
        <v>61</v>
      </c>
      <c r="M342" t="s">
        <v>38</v>
      </c>
      <c r="N342" t="s">
        <v>39</v>
      </c>
      <c r="O342" t="s">
        <v>64</v>
      </c>
      <c r="P342" t="s">
        <v>41</v>
      </c>
      <c r="Q342" t="s">
        <v>62</v>
      </c>
      <c r="R342">
        <v>6347</v>
      </c>
      <c r="S342">
        <v>23177</v>
      </c>
      <c r="T342">
        <v>7</v>
      </c>
      <c r="U342" t="s">
        <v>46</v>
      </c>
      <c r="V342">
        <v>16</v>
      </c>
      <c r="W342" t="s">
        <v>43</v>
      </c>
      <c r="X342" t="s">
        <v>38</v>
      </c>
      <c r="Y342">
        <v>2</v>
      </c>
      <c r="Z342">
        <v>8</v>
      </c>
      <c r="AA342">
        <v>2</v>
      </c>
      <c r="AB342" t="s">
        <v>60</v>
      </c>
      <c r="AC342">
        <v>6</v>
      </c>
      <c r="AD342" t="str" cm="1">
        <f t="array" ref="AD342">_xlfn.IFS(AC342&lt;=5,"0-5",AC342&lt;=10,"5-10",AC342&lt;=40,"10-40")</f>
        <v>5-10</v>
      </c>
      <c r="AE342">
        <v>2</v>
      </c>
      <c r="AF342">
        <v>0</v>
      </c>
      <c r="AG342">
        <v>4</v>
      </c>
      <c r="AH342">
        <v>341</v>
      </c>
    </row>
    <row r="343" spans="1:34" x14ac:dyDescent="0.3">
      <c r="A343">
        <v>38</v>
      </c>
      <c r="B343" t="str" cm="1">
        <f t="array" ref="B343">_xlfn.IFS(A343&lt;=25,"18-25",A343&lt;=35,"26-35",A343&lt;=45,"36-45",A343&lt;=55,"46-55",A343&gt;55,"55+")</f>
        <v>36-45</v>
      </c>
      <c r="C343">
        <v>0</v>
      </c>
      <c r="D343" t="s">
        <v>32</v>
      </c>
      <c r="E343">
        <v>343</v>
      </c>
      <c r="F343" t="s">
        <v>48</v>
      </c>
      <c r="G343">
        <v>15</v>
      </c>
      <c r="H343" t="s">
        <v>34</v>
      </c>
      <c r="I343" t="s">
        <v>35</v>
      </c>
      <c r="J343" t="s">
        <v>38</v>
      </c>
      <c r="K343" t="s">
        <v>50</v>
      </c>
      <c r="L343">
        <v>92</v>
      </c>
      <c r="M343" t="s">
        <v>36</v>
      </c>
      <c r="N343" t="s">
        <v>63</v>
      </c>
      <c r="O343" t="s">
        <v>70</v>
      </c>
      <c r="P343" t="s">
        <v>41</v>
      </c>
      <c r="Q343" t="s">
        <v>62</v>
      </c>
      <c r="R343">
        <v>11510</v>
      </c>
      <c r="S343">
        <v>15682</v>
      </c>
      <c r="T343">
        <v>0</v>
      </c>
      <c r="U343" t="s">
        <v>31</v>
      </c>
      <c r="V343">
        <v>14</v>
      </c>
      <c r="W343" t="s">
        <v>43</v>
      </c>
      <c r="X343" t="s">
        <v>36</v>
      </c>
      <c r="Y343">
        <v>1</v>
      </c>
      <c r="Z343">
        <v>12</v>
      </c>
      <c r="AA343">
        <v>3</v>
      </c>
      <c r="AB343" t="s">
        <v>54</v>
      </c>
      <c r="AC343">
        <v>11</v>
      </c>
      <c r="AD343" t="str" cm="1">
        <f t="array" ref="AD343">_xlfn.IFS(AC343&lt;=5,"0-5",AC343&lt;=10,"5-10",AC343&lt;=40,"10-40")</f>
        <v>10-40</v>
      </c>
      <c r="AE343">
        <v>10</v>
      </c>
      <c r="AF343">
        <v>2</v>
      </c>
      <c r="AG343">
        <v>9</v>
      </c>
      <c r="AH343">
        <v>342</v>
      </c>
    </row>
    <row r="344" spans="1:34" x14ac:dyDescent="0.3">
      <c r="A344">
        <v>31</v>
      </c>
      <c r="B344" t="str" cm="1">
        <f t="array" ref="B344">_xlfn.IFS(A344&lt;=25,"18-25",A344&lt;=35,"26-35",A344&lt;=45,"36-45",A344&lt;=55,"46-55",A344&gt;55,"55+")</f>
        <v>26-35</v>
      </c>
      <c r="C344">
        <v>0</v>
      </c>
      <c r="D344" t="s">
        <v>32</v>
      </c>
      <c r="E344">
        <v>1232</v>
      </c>
      <c r="F344" t="s">
        <v>48</v>
      </c>
      <c r="G344">
        <v>7</v>
      </c>
      <c r="H344" t="s">
        <v>58</v>
      </c>
      <c r="I344" t="s">
        <v>59</v>
      </c>
      <c r="J344" t="s">
        <v>38</v>
      </c>
      <c r="K344" t="s">
        <v>37</v>
      </c>
      <c r="L344">
        <v>39</v>
      </c>
      <c r="M344" t="s">
        <v>38</v>
      </c>
      <c r="N344" t="s">
        <v>63</v>
      </c>
      <c r="O344" t="s">
        <v>64</v>
      </c>
      <c r="P344" t="s">
        <v>41</v>
      </c>
      <c r="Q344" t="s">
        <v>42</v>
      </c>
      <c r="R344">
        <v>7143</v>
      </c>
      <c r="S344">
        <v>25713</v>
      </c>
      <c r="T344">
        <v>1</v>
      </c>
      <c r="U344" t="s">
        <v>31</v>
      </c>
      <c r="V344">
        <v>14</v>
      </c>
      <c r="W344" t="s">
        <v>43</v>
      </c>
      <c r="X344" t="s">
        <v>38</v>
      </c>
      <c r="Y344">
        <v>0</v>
      </c>
      <c r="Z344">
        <v>11</v>
      </c>
      <c r="AA344">
        <v>2</v>
      </c>
      <c r="AB344" t="s">
        <v>60</v>
      </c>
      <c r="AC344">
        <v>11</v>
      </c>
      <c r="AD344" t="str" cm="1">
        <f t="array" ref="AD344">_xlfn.IFS(AC344&lt;=5,"0-5",AC344&lt;=10,"5-10",AC344&lt;=40,"10-40")</f>
        <v>10-40</v>
      </c>
      <c r="AE344">
        <v>9</v>
      </c>
      <c r="AF344">
        <v>4</v>
      </c>
      <c r="AG344">
        <v>10</v>
      </c>
      <c r="AH344">
        <v>343</v>
      </c>
    </row>
    <row r="345" spans="1:34" x14ac:dyDescent="0.3">
      <c r="A345">
        <v>29</v>
      </c>
      <c r="B345" t="str" cm="1">
        <f t="array" ref="B345">_xlfn.IFS(A345&lt;=25,"18-25",A345&lt;=35,"26-35",A345&lt;=45,"36-45",A345&lt;=55,"46-55",A345&gt;55,"55+")</f>
        <v>26-35</v>
      </c>
      <c r="C345">
        <v>0</v>
      </c>
      <c r="D345" t="s">
        <v>32</v>
      </c>
      <c r="E345">
        <v>144</v>
      </c>
      <c r="F345" t="s">
        <v>33</v>
      </c>
      <c r="G345">
        <v>10</v>
      </c>
      <c r="H345" t="s">
        <v>49</v>
      </c>
      <c r="I345" t="s">
        <v>72</v>
      </c>
      <c r="J345" t="s">
        <v>41</v>
      </c>
      <c r="K345" t="s">
        <v>37</v>
      </c>
      <c r="L345">
        <v>39</v>
      </c>
      <c r="M345" t="s">
        <v>36</v>
      </c>
      <c r="N345" t="s">
        <v>39</v>
      </c>
      <c r="O345" t="s">
        <v>40</v>
      </c>
      <c r="P345" t="s">
        <v>36</v>
      </c>
      <c r="Q345" t="s">
        <v>62</v>
      </c>
      <c r="R345">
        <v>8268</v>
      </c>
      <c r="S345">
        <v>11866</v>
      </c>
      <c r="T345">
        <v>1</v>
      </c>
      <c r="U345" t="s">
        <v>31</v>
      </c>
      <c r="V345">
        <v>14</v>
      </c>
      <c r="W345" t="s">
        <v>43</v>
      </c>
      <c r="X345" t="s">
        <v>44</v>
      </c>
      <c r="Y345">
        <v>2</v>
      </c>
      <c r="Z345">
        <v>7</v>
      </c>
      <c r="AA345">
        <v>2</v>
      </c>
      <c r="AB345" t="s">
        <v>54</v>
      </c>
      <c r="AC345">
        <v>7</v>
      </c>
      <c r="AD345" t="str" cm="1">
        <f t="array" ref="AD345">_xlfn.IFS(AC345&lt;=5,"0-5",AC345&lt;=10,"5-10",AC345&lt;=40,"10-40")</f>
        <v>5-10</v>
      </c>
      <c r="AE345">
        <v>7</v>
      </c>
      <c r="AF345">
        <v>1</v>
      </c>
      <c r="AG345">
        <v>7</v>
      </c>
      <c r="AH345">
        <v>344</v>
      </c>
    </row>
    <row r="346" spans="1:34" x14ac:dyDescent="0.3">
      <c r="A346">
        <v>35</v>
      </c>
      <c r="B346" t="str" cm="1">
        <f t="array" ref="B346">_xlfn.IFS(A346&lt;=25,"18-25",A346&lt;=35,"26-35",A346&lt;=45,"36-45",A346&lt;=55,"46-55",A346&gt;55,"55+")</f>
        <v>26-35</v>
      </c>
      <c r="C346">
        <v>0</v>
      </c>
      <c r="D346" t="s">
        <v>32</v>
      </c>
      <c r="E346">
        <v>1296</v>
      </c>
      <c r="F346" t="s">
        <v>48</v>
      </c>
      <c r="G346">
        <v>5</v>
      </c>
      <c r="H346" t="s">
        <v>58</v>
      </c>
      <c r="I346" t="s">
        <v>74</v>
      </c>
      <c r="J346" t="s">
        <v>38</v>
      </c>
      <c r="K346" t="s">
        <v>50</v>
      </c>
      <c r="L346">
        <v>62</v>
      </c>
      <c r="M346" t="s">
        <v>38</v>
      </c>
      <c r="N346" t="s">
        <v>63</v>
      </c>
      <c r="O346" t="s">
        <v>64</v>
      </c>
      <c r="P346" t="s">
        <v>36</v>
      </c>
      <c r="Q346" t="s">
        <v>42</v>
      </c>
      <c r="R346">
        <v>8095</v>
      </c>
      <c r="S346">
        <v>18264</v>
      </c>
      <c r="T346">
        <v>0</v>
      </c>
      <c r="U346" t="s">
        <v>46</v>
      </c>
      <c r="V346">
        <v>13</v>
      </c>
      <c r="W346" t="s">
        <v>43</v>
      </c>
      <c r="X346" t="s">
        <v>41</v>
      </c>
      <c r="Y346">
        <v>0</v>
      </c>
      <c r="Z346">
        <v>17</v>
      </c>
      <c r="AA346">
        <v>5</v>
      </c>
      <c r="AB346" t="s">
        <v>54</v>
      </c>
      <c r="AC346">
        <v>16</v>
      </c>
      <c r="AD346" t="str" cm="1">
        <f t="array" ref="AD346">_xlfn.IFS(AC346&lt;=5,"0-5",AC346&lt;=10,"5-10",AC346&lt;=40,"10-40")</f>
        <v>10-40</v>
      </c>
      <c r="AE346">
        <v>6</v>
      </c>
      <c r="AF346">
        <v>0</v>
      </c>
      <c r="AG346">
        <v>13</v>
      </c>
      <c r="AH346">
        <v>345</v>
      </c>
    </row>
    <row r="347" spans="1:34" x14ac:dyDescent="0.3">
      <c r="A347">
        <v>23</v>
      </c>
      <c r="B347" t="str" cm="1">
        <f t="array" ref="B347">_xlfn.IFS(A347&lt;=25,"18-25",A347&lt;=35,"26-35",A347&lt;=45,"36-45",A347&lt;=55,"46-55",A347&gt;55,"55+")</f>
        <v>18-25</v>
      </c>
      <c r="C347">
        <v>0</v>
      </c>
      <c r="D347" t="s">
        <v>32</v>
      </c>
      <c r="E347">
        <v>1309</v>
      </c>
      <c r="F347" t="s">
        <v>48</v>
      </c>
      <c r="G347">
        <v>26</v>
      </c>
      <c r="H347" t="s">
        <v>49</v>
      </c>
      <c r="I347" t="s">
        <v>35</v>
      </c>
      <c r="J347" t="s">
        <v>38</v>
      </c>
      <c r="K347" t="s">
        <v>50</v>
      </c>
      <c r="L347">
        <v>83</v>
      </c>
      <c r="M347" t="s">
        <v>38</v>
      </c>
      <c r="N347" t="s">
        <v>56</v>
      </c>
      <c r="O347" t="s">
        <v>51</v>
      </c>
      <c r="P347" t="s">
        <v>41</v>
      </c>
      <c r="Q347" t="s">
        <v>62</v>
      </c>
      <c r="R347">
        <v>2904</v>
      </c>
      <c r="S347">
        <v>16092</v>
      </c>
      <c r="T347">
        <v>1</v>
      </c>
      <c r="U347" t="s">
        <v>46</v>
      </c>
      <c r="V347">
        <v>12</v>
      </c>
      <c r="W347" t="s">
        <v>43</v>
      </c>
      <c r="X347" t="s">
        <v>38</v>
      </c>
      <c r="Y347">
        <v>2</v>
      </c>
      <c r="Z347">
        <v>4</v>
      </c>
      <c r="AA347">
        <v>2</v>
      </c>
      <c r="AB347" t="s">
        <v>60</v>
      </c>
      <c r="AC347">
        <v>4</v>
      </c>
      <c r="AD347" t="str" cm="1">
        <f t="array" ref="AD347">_xlfn.IFS(AC347&lt;=5,"0-5",AC347&lt;=10,"5-10",AC347&lt;=40,"10-40")</f>
        <v>0-5</v>
      </c>
      <c r="AE347">
        <v>2</v>
      </c>
      <c r="AF347">
        <v>0</v>
      </c>
      <c r="AG347">
        <v>2</v>
      </c>
      <c r="AH347">
        <v>346</v>
      </c>
    </row>
    <row r="348" spans="1:34" x14ac:dyDescent="0.3">
      <c r="A348">
        <v>41</v>
      </c>
      <c r="B348" t="str" cm="1">
        <f t="array" ref="B348">_xlfn.IFS(A348&lt;=25,"18-25",A348&lt;=35,"26-35",A348&lt;=45,"36-45",A348&lt;=55,"46-55",A348&gt;55,"55+")</f>
        <v>36-45</v>
      </c>
      <c r="C348">
        <v>0</v>
      </c>
      <c r="D348" t="s">
        <v>32</v>
      </c>
      <c r="E348">
        <v>483</v>
      </c>
      <c r="F348" t="s">
        <v>48</v>
      </c>
      <c r="G348">
        <v>6</v>
      </c>
      <c r="H348" t="s">
        <v>61</v>
      </c>
      <c r="I348" t="s">
        <v>59</v>
      </c>
      <c r="J348" t="s">
        <v>41</v>
      </c>
      <c r="K348" t="s">
        <v>50</v>
      </c>
      <c r="L348">
        <v>95</v>
      </c>
      <c r="M348" t="s">
        <v>36</v>
      </c>
      <c r="N348" t="s">
        <v>39</v>
      </c>
      <c r="O348" t="s">
        <v>64</v>
      </c>
      <c r="P348" t="s">
        <v>36</v>
      </c>
      <c r="Q348" t="s">
        <v>42</v>
      </c>
      <c r="R348">
        <v>6032</v>
      </c>
      <c r="S348">
        <v>10110</v>
      </c>
      <c r="T348">
        <v>6</v>
      </c>
      <c r="U348" t="s">
        <v>31</v>
      </c>
      <c r="V348">
        <v>15</v>
      </c>
      <c r="W348" t="s">
        <v>43</v>
      </c>
      <c r="X348" t="s">
        <v>41</v>
      </c>
      <c r="Y348">
        <v>0</v>
      </c>
      <c r="Z348">
        <v>8</v>
      </c>
      <c r="AA348">
        <v>3</v>
      </c>
      <c r="AB348" t="s">
        <v>54</v>
      </c>
      <c r="AC348">
        <v>5</v>
      </c>
      <c r="AD348" t="str" cm="1">
        <f t="array" ref="AD348">_xlfn.IFS(AC348&lt;=5,"0-5",AC348&lt;=10,"5-10",AC348&lt;=40,"10-40")</f>
        <v>0-5</v>
      </c>
      <c r="AE348">
        <v>4</v>
      </c>
      <c r="AF348">
        <v>1</v>
      </c>
      <c r="AG348">
        <v>2</v>
      </c>
      <c r="AH348">
        <v>347</v>
      </c>
    </row>
    <row r="349" spans="1:34" x14ac:dyDescent="0.3">
      <c r="A349">
        <v>47</v>
      </c>
      <c r="B349" t="str" cm="1">
        <f t="array" ref="B349">_xlfn.IFS(A349&lt;=25,"18-25",A349&lt;=35,"26-35",A349&lt;=45,"36-45",A349&lt;=55,"46-55",A349&gt;55,"55+")</f>
        <v>46-55</v>
      </c>
      <c r="C349">
        <v>0</v>
      </c>
      <c r="D349" t="s">
        <v>47</v>
      </c>
      <c r="E349">
        <v>1309</v>
      </c>
      <c r="F349" t="s">
        <v>33</v>
      </c>
      <c r="G349">
        <v>4</v>
      </c>
      <c r="H349" t="s">
        <v>49</v>
      </c>
      <c r="I349" t="s">
        <v>59</v>
      </c>
      <c r="J349" t="s">
        <v>36</v>
      </c>
      <c r="K349" t="s">
        <v>50</v>
      </c>
      <c r="L349">
        <v>99</v>
      </c>
      <c r="M349" t="s">
        <v>38</v>
      </c>
      <c r="N349" t="s">
        <v>39</v>
      </c>
      <c r="O349" t="s">
        <v>69</v>
      </c>
      <c r="P349" t="s">
        <v>38</v>
      </c>
      <c r="Q349" t="s">
        <v>42</v>
      </c>
      <c r="R349">
        <v>2976</v>
      </c>
      <c r="S349">
        <v>25751</v>
      </c>
      <c r="T349">
        <v>3</v>
      </c>
      <c r="U349" t="s">
        <v>46</v>
      </c>
      <c r="V349">
        <v>19</v>
      </c>
      <c r="W349" t="s">
        <v>43</v>
      </c>
      <c r="X349" t="s">
        <v>44</v>
      </c>
      <c r="Y349">
        <v>0</v>
      </c>
      <c r="Z349">
        <v>5</v>
      </c>
      <c r="AA349">
        <v>3</v>
      </c>
      <c r="AB349" t="s">
        <v>54</v>
      </c>
      <c r="AC349">
        <v>0</v>
      </c>
      <c r="AD349" t="str" cm="1">
        <f t="array" ref="AD349">_xlfn.IFS(AC349&lt;=5,"0-5",AC349&lt;=10,"5-10",AC349&lt;=40,"10-40")</f>
        <v>0-5</v>
      </c>
      <c r="AE349">
        <v>0</v>
      </c>
      <c r="AF349">
        <v>0</v>
      </c>
      <c r="AG349">
        <v>0</v>
      </c>
      <c r="AH349">
        <v>348</v>
      </c>
    </row>
    <row r="350" spans="1:34" x14ac:dyDescent="0.3">
      <c r="A350">
        <v>42</v>
      </c>
      <c r="B350" t="str" cm="1">
        <f t="array" ref="B350">_xlfn.IFS(A350&lt;=25,"18-25",A350&lt;=35,"26-35",A350&lt;=45,"36-45",A350&lt;=55,"46-55",A350&gt;55,"55+")</f>
        <v>36-45</v>
      </c>
      <c r="C350">
        <v>0</v>
      </c>
      <c r="D350" t="s">
        <v>32</v>
      </c>
      <c r="E350">
        <v>810</v>
      </c>
      <c r="F350" t="s">
        <v>48</v>
      </c>
      <c r="G350">
        <v>23</v>
      </c>
      <c r="H350" t="s">
        <v>75</v>
      </c>
      <c r="I350" t="s">
        <v>35</v>
      </c>
      <c r="J350" t="s">
        <v>44</v>
      </c>
      <c r="K350" t="s">
        <v>37</v>
      </c>
      <c r="L350">
        <v>44</v>
      </c>
      <c r="M350" t="s">
        <v>38</v>
      </c>
      <c r="N350" t="s">
        <v>67</v>
      </c>
      <c r="O350" t="s">
        <v>70</v>
      </c>
      <c r="P350" t="s">
        <v>41</v>
      </c>
      <c r="Q350" t="s">
        <v>42</v>
      </c>
      <c r="R350">
        <v>15992</v>
      </c>
      <c r="S350">
        <v>15901</v>
      </c>
      <c r="T350">
        <v>2</v>
      </c>
      <c r="U350" t="s">
        <v>46</v>
      </c>
      <c r="V350">
        <v>14</v>
      </c>
      <c r="W350" t="s">
        <v>43</v>
      </c>
      <c r="X350" t="s">
        <v>36</v>
      </c>
      <c r="Y350">
        <v>0</v>
      </c>
      <c r="Z350">
        <v>16</v>
      </c>
      <c r="AA350">
        <v>2</v>
      </c>
      <c r="AB350" t="s">
        <v>54</v>
      </c>
      <c r="AC350">
        <v>1</v>
      </c>
      <c r="AD350" t="str" cm="1">
        <f t="array" ref="AD350">_xlfn.IFS(AC350&lt;=5,"0-5",AC350&lt;=10,"5-10",AC350&lt;=40,"10-40")</f>
        <v>0-5</v>
      </c>
      <c r="AE350">
        <v>0</v>
      </c>
      <c r="AF350">
        <v>0</v>
      </c>
      <c r="AG350">
        <v>0</v>
      </c>
      <c r="AH350">
        <v>349</v>
      </c>
    </row>
    <row r="351" spans="1:34" x14ac:dyDescent="0.3">
      <c r="A351">
        <v>29</v>
      </c>
      <c r="B351" t="str" cm="1">
        <f t="array" ref="B351">_xlfn.IFS(A351&lt;=25,"18-25",A351&lt;=35,"26-35",A351&lt;=45,"36-45",A351&lt;=55,"46-55",A351&gt;55,"55+")</f>
        <v>26-35</v>
      </c>
      <c r="C351">
        <v>0</v>
      </c>
      <c r="D351" t="s">
        <v>66</v>
      </c>
      <c r="E351">
        <v>746</v>
      </c>
      <c r="F351" t="s">
        <v>33</v>
      </c>
      <c r="G351">
        <v>2</v>
      </c>
      <c r="H351" t="s">
        <v>61</v>
      </c>
      <c r="I351" t="s">
        <v>35</v>
      </c>
      <c r="J351" t="s">
        <v>41</v>
      </c>
      <c r="K351" t="s">
        <v>50</v>
      </c>
      <c r="L351">
        <v>61</v>
      </c>
      <c r="M351" t="s">
        <v>38</v>
      </c>
      <c r="N351" t="s">
        <v>39</v>
      </c>
      <c r="O351" t="s">
        <v>40</v>
      </c>
      <c r="P351" t="s">
        <v>38</v>
      </c>
      <c r="Q351" t="s">
        <v>52</v>
      </c>
      <c r="R351">
        <v>4649</v>
      </c>
      <c r="S351">
        <v>16928</v>
      </c>
      <c r="T351">
        <v>1</v>
      </c>
      <c r="U351" t="s">
        <v>46</v>
      </c>
      <c r="V351">
        <v>14</v>
      </c>
      <c r="W351" t="s">
        <v>43</v>
      </c>
      <c r="X351" t="s">
        <v>44</v>
      </c>
      <c r="Y351">
        <v>1</v>
      </c>
      <c r="Z351">
        <v>4</v>
      </c>
      <c r="AA351">
        <v>3</v>
      </c>
      <c r="AB351" t="s">
        <v>60</v>
      </c>
      <c r="AC351">
        <v>4</v>
      </c>
      <c r="AD351" t="str" cm="1">
        <f t="array" ref="AD351">_xlfn.IFS(AC351&lt;=5,"0-5",AC351&lt;=10,"5-10",AC351&lt;=40,"10-40")</f>
        <v>0-5</v>
      </c>
      <c r="AE351">
        <v>3</v>
      </c>
      <c r="AF351">
        <v>0</v>
      </c>
      <c r="AG351">
        <v>2</v>
      </c>
      <c r="AH351">
        <v>350</v>
      </c>
    </row>
    <row r="352" spans="1:34" x14ac:dyDescent="0.3">
      <c r="A352">
        <v>42</v>
      </c>
      <c r="B352" t="str" cm="1">
        <f t="array" ref="B352">_xlfn.IFS(A352&lt;=25,"18-25",A352&lt;=35,"26-35",A352&lt;=45,"36-45",A352&lt;=55,"46-55",A352&gt;55,"55+")</f>
        <v>36-45</v>
      </c>
      <c r="C352">
        <v>0</v>
      </c>
      <c r="D352" t="s">
        <v>32</v>
      </c>
      <c r="E352">
        <v>544</v>
      </c>
      <c r="F352" t="s">
        <v>76</v>
      </c>
      <c r="G352">
        <v>2</v>
      </c>
      <c r="H352" t="s">
        <v>49</v>
      </c>
      <c r="I352" t="s">
        <v>74</v>
      </c>
      <c r="J352" t="s">
        <v>38</v>
      </c>
      <c r="K352" t="s">
        <v>50</v>
      </c>
      <c r="L352">
        <v>52</v>
      </c>
      <c r="M352" t="s">
        <v>38</v>
      </c>
      <c r="N352" t="s">
        <v>56</v>
      </c>
      <c r="O352" t="s">
        <v>76</v>
      </c>
      <c r="P352" t="s">
        <v>38</v>
      </c>
      <c r="Q352" t="s">
        <v>62</v>
      </c>
      <c r="R352">
        <v>2696</v>
      </c>
      <c r="S352">
        <v>24017</v>
      </c>
      <c r="T352">
        <v>0</v>
      </c>
      <c r="U352" t="s">
        <v>31</v>
      </c>
      <c r="V352">
        <v>11</v>
      </c>
      <c r="W352" t="s">
        <v>43</v>
      </c>
      <c r="X352" t="s">
        <v>38</v>
      </c>
      <c r="Y352">
        <v>1</v>
      </c>
      <c r="Z352">
        <v>4</v>
      </c>
      <c r="AA352">
        <v>5</v>
      </c>
      <c r="AB352" t="s">
        <v>54</v>
      </c>
      <c r="AC352">
        <v>3</v>
      </c>
      <c r="AD352" t="str" cm="1">
        <f t="array" ref="AD352">_xlfn.IFS(AC352&lt;=5,"0-5",AC352&lt;=10,"5-10",AC352&lt;=40,"10-40")</f>
        <v>0-5</v>
      </c>
      <c r="AE352">
        <v>2</v>
      </c>
      <c r="AF352">
        <v>1</v>
      </c>
      <c r="AG352">
        <v>0</v>
      </c>
      <c r="AH352">
        <v>351</v>
      </c>
    </row>
    <row r="353" spans="1:34" x14ac:dyDescent="0.3">
      <c r="A353">
        <v>32</v>
      </c>
      <c r="B353" t="str" cm="1">
        <f t="array" ref="B353">_xlfn.IFS(A353&lt;=25,"18-25",A353&lt;=35,"26-35",A353&lt;=45,"36-45",A353&lt;=55,"46-55",A353&gt;55,"55+")</f>
        <v>26-35</v>
      </c>
      <c r="C353">
        <v>0</v>
      </c>
      <c r="D353" t="s">
        <v>32</v>
      </c>
      <c r="E353">
        <v>1062</v>
      </c>
      <c r="F353" t="s">
        <v>48</v>
      </c>
      <c r="G353">
        <v>2</v>
      </c>
      <c r="H353" t="s">
        <v>61</v>
      </c>
      <c r="I353" t="s">
        <v>59</v>
      </c>
      <c r="J353" t="s">
        <v>38</v>
      </c>
      <c r="K353" t="s">
        <v>37</v>
      </c>
      <c r="L353">
        <v>75</v>
      </c>
      <c r="M353" t="s">
        <v>38</v>
      </c>
      <c r="N353" t="s">
        <v>56</v>
      </c>
      <c r="O353" t="s">
        <v>57</v>
      </c>
      <c r="P353" t="s">
        <v>36</v>
      </c>
      <c r="Q353" t="s">
        <v>52</v>
      </c>
      <c r="R353">
        <v>2370</v>
      </c>
      <c r="S353">
        <v>3956</v>
      </c>
      <c r="T353">
        <v>1</v>
      </c>
      <c r="U353" t="s">
        <v>46</v>
      </c>
      <c r="V353">
        <v>13</v>
      </c>
      <c r="W353" t="s">
        <v>43</v>
      </c>
      <c r="X353" t="s">
        <v>38</v>
      </c>
      <c r="Y353">
        <v>1</v>
      </c>
      <c r="Z353">
        <v>8</v>
      </c>
      <c r="AA353">
        <v>4</v>
      </c>
      <c r="AB353" t="s">
        <v>54</v>
      </c>
      <c r="AC353">
        <v>8</v>
      </c>
      <c r="AD353" t="str" cm="1">
        <f t="array" ref="AD353">_xlfn.IFS(AC353&lt;=5,"0-5",AC353&lt;=10,"5-10",AC353&lt;=40,"10-40")</f>
        <v>5-10</v>
      </c>
      <c r="AE353">
        <v>0</v>
      </c>
      <c r="AF353">
        <v>0</v>
      </c>
      <c r="AG353">
        <v>7</v>
      </c>
      <c r="AH353">
        <v>352</v>
      </c>
    </row>
    <row r="354" spans="1:34" x14ac:dyDescent="0.3">
      <c r="A354">
        <v>48</v>
      </c>
      <c r="B354" t="str" cm="1">
        <f t="array" ref="B354">_xlfn.IFS(A354&lt;=25,"18-25",A354&lt;=35,"26-35",A354&lt;=45,"36-45",A354&lt;=55,"46-55",A354&gt;55,"55+")</f>
        <v>46-55</v>
      </c>
      <c r="C354">
        <v>0</v>
      </c>
      <c r="D354" t="s">
        <v>32</v>
      </c>
      <c r="E354">
        <v>530</v>
      </c>
      <c r="F354" t="s">
        <v>33</v>
      </c>
      <c r="G354">
        <v>29</v>
      </c>
      <c r="H354" t="s">
        <v>49</v>
      </c>
      <c r="I354" t="s">
        <v>59</v>
      </c>
      <c r="J354" t="s">
        <v>44</v>
      </c>
      <c r="K354" t="s">
        <v>37</v>
      </c>
      <c r="L354">
        <v>91</v>
      </c>
      <c r="M354" t="s">
        <v>38</v>
      </c>
      <c r="N354" t="s">
        <v>63</v>
      </c>
      <c r="O354" t="s">
        <v>68</v>
      </c>
      <c r="P354" t="s">
        <v>38</v>
      </c>
      <c r="Q354" t="s">
        <v>52</v>
      </c>
      <c r="R354">
        <v>12504</v>
      </c>
      <c r="S354">
        <v>23978</v>
      </c>
      <c r="T354">
        <v>3</v>
      </c>
      <c r="U354" t="s">
        <v>46</v>
      </c>
      <c r="V354">
        <v>21</v>
      </c>
      <c r="W354" t="s">
        <v>53</v>
      </c>
      <c r="X354" t="s">
        <v>36</v>
      </c>
      <c r="Y354">
        <v>1</v>
      </c>
      <c r="Z354">
        <v>15</v>
      </c>
      <c r="AA354">
        <v>3</v>
      </c>
      <c r="AB354" t="s">
        <v>45</v>
      </c>
      <c r="AC354">
        <v>0</v>
      </c>
      <c r="AD354" t="str" cm="1">
        <f t="array" ref="AD354">_xlfn.IFS(AC354&lt;=5,"0-5",AC354&lt;=10,"5-10",AC354&lt;=40,"10-40")</f>
        <v>0-5</v>
      </c>
      <c r="AE354">
        <v>0</v>
      </c>
      <c r="AF354">
        <v>0</v>
      </c>
      <c r="AG354">
        <v>0</v>
      </c>
      <c r="AH354">
        <v>353</v>
      </c>
    </row>
    <row r="355" spans="1:34" x14ac:dyDescent="0.3">
      <c r="A355">
        <v>37</v>
      </c>
      <c r="B355" t="str" cm="1">
        <f t="array" ref="B355">_xlfn.IFS(A355&lt;=25,"18-25",A355&lt;=35,"26-35",A355&lt;=45,"36-45",A355&lt;=55,"46-55",A355&gt;55,"55+")</f>
        <v>36-45</v>
      </c>
      <c r="C355">
        <v>0</v>
      </c>
      <c r="D355" t="s">
        <v>32</v>
      </c>
      <c r="E355">
        <v>1319</v>
      </c>
      <c r="F355" t="s">
        <v>48</v>
      </c>
      <c r="G355">
        <v>6</v>
      </c>
      <c r="H355" t="s">
        <v>61</v>
      </c>
      <c r="I355" t="s">
        <v>59</v>
      </c>
      <c r="J355" t="s">
        <v>38</v>
      </c>
      <c r="K355" t="s">
        <v>50</v>
      </c>
      <c r="L355">
        <v>51</v>
      </c>
      <c r="M355" t="s">
        <v>41</v>
      </c>
      <c r="N355" t="s">
        <v>39</v>
      </c>
      <c r="O355" t="s">
        <v>51</v>
      </c>
      <c r="P355" t="s">
        <v>44</v>
      </c>
      <c r="Q355" t="s">
        <v>62</v>
      </c>
      <c r="R355">
        <v>5974</v>
      </c>
      <c r="S355">
        <v>17001</v>
      </c>
      <c r="T355">
        <v>4</v>
      </c>
      <c r="U355" t="s">
        <v>31</v>
      </c>
      <c r="V355">
        <v>13</v>
      </c>
      <c r="W355" t="s">
        <v>43</v>
      </c>
      <c r="X355" t="s">
        <v>44</v>
      </c>
      <c r="Y355">
        <v>2</v>
      </c>
      <c r="Z355">
        <v>13</v>
      </c>
      <c r="AA355">
        <v>2</v>
      </c>
      <c r="AB355" t="s">
        <v>54</v>
      </c>
      <c r="AC355">
        <v>7</v>
      </c>
      <c r="AD355" t="str" cm="1">
        <f t="array" ref="AD355">_xlfn.IFS(AC355&lt;=5,"0-5",AC355&lt;=10,"5-10",AC355&lt;=40,"10-40")</f>
        <v>5-10</v>
      </c>
      <c r="AE355">
        <v>7</v>
      </c>
      <c r="AF355">
        <v>6</v>
      </c>
      <c r="AG355">
        <v>7</v>
      </c>
      <c r="AH355">
        <v>354</v>
      </c>
    </row>
    <row r="356" spans="1:34" x14ac:dyDescent="0.3">
      <c r="A356">
        <v>30</v>
      </c>
      <c r="B356" t="str" cm="1">
        <f t="array" ref="B356">_xlfn.IFS(A356&lt;=25,"18-25",A356&lt;=35,"26-35",A356&lt;=45,"36-45",A356&lt;=55,"46-55",A356&gt;55,"55+")</f>
        <v>26-35</v>
      </c>
      <c r="C356">
        <v>0</v>
      </c>
      <c r="D356" t="s">
        <v>66</v>
      </c>
      <c r="E356">
        <v>641</v>
      </c>
      <c r="F356" t="s">
        <v>33</v>
      </c>
      <c r="G356">
        <v>25</v>
      </c>
      <c r="H356" t="s">
        <v>34</v>
      </c>
      <c r="I356" t="s">
        <v>74</v>
      </c>
      <c r="J356" t="s">
        <v>41</v>
      </c>
      <c r="K356" t="s">
        <v>37</v>
      </c>
      <c r="L356">
        <v>85</v>
      </c>
      <c r="M356" t="s">
        <v>38</v>
      </c>
      <c r="N356" t="s">
        <v>39</v>
      </c>
      <c r="O356" t="s">
        <v>40</v>
      </c>
      <c r="P356" t="s">
        <v>38</v>
      </c>
      <c r="Q356" t="s">
        <v>52</v>
      </c>
      <c r="R356">
        <v>4736</v>
      </c>
      <c r="S356">
        <v>6069</v>
      </c>
      <c r="T356">
        <v>7</v>
      </c>
      <c r="U356" t="s">
        <v>31</v>
      </c>
      <c r="V356">
        <v>12</v>
      </c>
      <c r="W356" t="s">
        <v>43</v>
      </c>
      <c r="X356" t="s">
        <v>36</v>
      </c>
      <c r="Y356">
        <v>1</v>
      </c>
      <c r="Z356">
        <v>4</v>
      </c>
      <c r="AA356">
        <v>2</v>
      </c>
      <c r="AB356" t="s">
        <v>73</v>
      </c>
      <c r="AC356">
        <v>2</v>
      </c>
      <c r="AD356" t="str" cm="1">
        <f t="array" ref="AD356">_xlfn.IFS(AC356&lt;=5,"0-5",AC356&lt;=10,"5-10",AC356&lt;=40,"10-40")</f>
        <v>0-5</v>
      </c>
      <c r="AE356">
        <v>2</v>
      </c>
      <c r="AF356">
        <v>2</v>
      </c>
      <c r="AG356">
        <v>2</v>
      </c>
      <c r="AH356">
        <v>355</v>
      </c>
    </row>
    <row r="357" spans="1:34" x14ac:dyDescent="0.3">
      <c r="A357">
        <v>26</v>
      </c>
      <c r="B357" t="str" cm="1">
        <f t="array" ref="B357">_xlfn.IFS(A357&lt;=25,"18-25",A357&lt;=35,"26-35",A357&lt;=45,"36-45",A357&lt;=55,"46-55",A357&gt;55,"55+")</f>
        <v>26-35</v>
      </c>
      <c r="C357">
        <v>0</v>
      </c>
      <c r="D357" t="s">
        <v>32</v>
      </c>
      <c r="E357">
        <v>933</v>
      </c>
      <c r="F357" t="s">
        <v>33</v>
      </c>
      <c r="G357">
        <v>1</v>
      </c>
      <c r="H357" t="s">
        <v>61</v>
      </c>
      <c r="I357" t="s">
        <v>35</v>
      </c>
      <c r="J357" t="s">
        <v>38</v>
      </c>
      <c r="K357" t="s">
        <v>50</v>
      </c>
      <c r="L357">
        <v>57</v>
      </c>
      <c r="M357" t="s">
        <v>38</v>
      </c>
      <c r="N357" t="s">
        <v>39</v>
      </c>
      <c r="O357" t="s">
        <v>40</v>
      </c>
      <c r="P357" t="s">
        <v>38</v>
      </c>
      <c r="Q357" t="s">
        <v>52</v>
      </c>
      <c r="R357">
        <v>5296</v>
      </c>
      <c r="S357">
        <v>20156</v>
      </c>
      <c r="T357">
        <v>1</v>
      </c>
      <c r="U357" t="s">
        <v>46</v>
      </c>
      <c r="V357">
        <v>17</v>
      </c>
      <c r="W357" t="s">
        <v>43</v>
      </c>
      <c r="X357" t="s">
        <v>36</v>
      </c>
      <c r="Y357">
        <v>1</v>
      </c>
      <c r="Z357">
        <v>8</v>
      </c>
      <c r="AA357">
        <v>3</v>
      </c>
      <c r="AB357" t="s">
        <v>54</v>
      </c>
      <c r="AC357">
        <v>8</v>
      </c>
      <c r="AD357" t="str" cm="1">
        <f t="array" ref="AD357">_xlfn.IFS(AC357&lt;=5,"0-5",AC357&lt;=10,"5-10",AC357&lt;=40,"10-40")</f>
        <v>5-10</v>
      </c>
      <c r="AE357">
        <v>7</v>
      </c>
      <c r="AF357">
        <v>7</v>
      </c>
      <c r="AG357">
        <v>7</v>
      </c>
      <c r="AH357">
        <v>356</v>
      </c>
    </row>
    <row r="358" spans="1:34" x14ac:dyDescent="0.3">
      <c r="A358">
        <v>42</v>
      </c>
      <c r="B358" t="str" cm="1">
        <f t="array" ref="B358">_xlfn.IFS(A358&lt;=25,"18-25",A358&lt;=35,"26-35",A358&lt;=45,"36-45",A358&lt;=55,"46-55",A358&gt;55,"55+")</f>
        <v>36-45</v>
      </c>
      <c r="C358">
        <v>0</v>
      </c>
      <c r="D358" t="s">
        <v>32</v>
      </c>
      <c r="E358">
        <v>1332</v>
      </c>
      <c r="F358" t="s">
        <v>48</v>
      </c>
      <c r="G358">
        <v>2</v>
      </c>
      <c r="H358" t="s">
        <v>58</v>
      </c>
      <c r="I358" t="s">
        <v>55</v>
      </c>
      <c r="J358" t="s">
        <v>44</v>
      </c>
      <c r="K358" t="s">
        <v>50</v>
      </c>
      <c r="L358">
        <v>98</v>
      </c>
      <c r="M358" t="s">
        <v>36</v>
      </c>
      <c r="N358" t="s">
        <v>39</v>
      </c>
      <c r="O358" t="s">
        <v>65</v>
      </c>
      <c r="P358" t="s">
        <v>41</v>
      </c>
      <c r="Q358" t="s">
        <v>42</v>
      </c>
      <c r="R358">
        <v>6781</v>
      </c>
      <c r="S358">
        <v>17078</v>
      </c>
      <c r="T358">
        <v>3</v>
      </c>
      <c r="U358" t="s">
        <v>46</v>
      </c>
      <c r="V358">
        <v>23</v>
      </c>
      <c r="W358" t="s">
        <v>53</v>
      </c>
      <c r="X358" t="s">
        <v>36</v>
      </c>
      <c r="Y358">
        <v>0</v>
      </c>
      <c r="Z358">
        <v>14</v>
      </c>
      <c r="AA358">
        <v>6</v>
      </c>
      <c r="AB358" t="s">
        <v>54</v>
      </c>
      <c r="AC358">
        <v>1</v>
      </c>
      <c r="AD358" t="str" cm="1">
        <f t="array" ref="AD358">_xlfn.IFS(AC358&lt;=5,"0-5",AC358&lt;=10,"5-10",AC358&lt;=40,"10-40")</f>
        <v>0-5</v>
      </c>
      <c r="AE358">
        <v>0</v>
      </c>
      <c r="AF358">
        <v>0</v>
      </c>
      <c r="AG358">
        <v>0</v>
      </c>
      <c r="AH358">
        <v>357</v>
      </c>
    </row>
    <row r="359" spans="1:34" x14ac:dyDescent="0.3">
      <c r="A359">
        <v>21</v>
      </c>
      <c r="B359" t="str" cm="1">
        <f t="array" ref="B359">_xlfn.IFS(A359&lt;=25,"18-25",A359&lt;=35,"26-35",A359&lt;=45,"36-45",A359&lt;=55,"46-55",A359&gt;55,"55+")</f>
        <v>18-25</v>
      </c>
      <c r="C359">
        <v>1</v>
      </c>
      <c r="D359" t="s">
        <v>47</v>
      </c>
      <c r="E359">
        <v>756</v>
      </c>
      <c r="F359" t="s">
        <v>33</v>
      </c>
      <c r="G359">
        <v>1</v>
      </c>
      <c r="H359" t="s">
        <v>49</v>
      </c>
      <c r="I359" t="s">
        <v>74</v>
      </c>
      <c r="J359" t="s">
        <v>44</v>
      </c>
      <c r="K359" t="s">
        <v>37</v>
      </c>
      <c r="L359">
        <v>99</v>
      </c>
      <c r="M359" t="s">
        <v>36</v>
      </c>
      <c r="N359" t="s">
        <v>56</v>
      </c>
      <c r="O359" t="s">
        <v>69</v>
      </c>
      <c r="P359" t="s">
        <v>36</v>
      </c>
      <c r="Q359" t="s">
        <v>42</v>
      </c>
      <c r="R359">
        <v>2174</v>
      </c>
      <c r="S359">
        <v>9150</v>
      </c>
      <c r="T359">
        <v>1</v>
      </c>
      <c r="U359" t="s">
        <v>31</v>
      </c>
      <c r="V359">
        <v>11</v>
      </c>
      <c r="W359" t="s">
        <v>43</v>
      </c>
      <c r="X359" t="s">
        <v>38</v>
      </c>
      <c r="Y359">
        <v>0</v>
      </c>
      <c r="Z359">
        <v>3</v>
      </c>
      <c r="AA359">
        <v>3</v>
      </c>
      <c r="AB359" t="s">
        <v>54</v>
      </c>
      <c r="AC359">
        <v>3</v>
      </c>
      <c r="AD359" t="str" cm="1">
        <f t="array" ref="AD359">_xlfn.IFS(AC359&lt;=5,"0-5",AC359&lt;=10,"5-10",AC359&lt;=40,"10-40")</f>
        <v>0-5</v>
      </c>
      <c r="AE359">
        <v>2</v>
      </c>
      <c r="AF359">
        <v>1</v>
      </c>
      <c r="AG359">
        <v>2</v>
      </c>
      <c r="AH359">
        <v>358</v>
      </c>
    </row>
    <row r="360" spans="1:34" x14ac:dyDescent="0.3">
      <c r="A360">
        <v>36</v>
      </c>
      <c r="B360" t="str" cm="1">
        <f t="array" ref="B360">_xlfn.IFS(A360&lt;=25,"18-25",A360&lt;=35,"26-35",A360&lt;=45,"36-45",A360&lt;=55,"46-55",A360&gt;55,"55+")</f>
        <v>36-45</v>
      </c>
      <c r="C360">
        <v>0</v>
      </c>
      <c r="D360" t="s">
        <v>66</v>
      </c>
      <c r="E360">
        <v>845</v>
      </c>
      <c r="F360" t="s">
        <v>33</v>
      </c>
      <c r="G360">
        <v>1</v>
      </c>
      <c r="H360" t="s">
        <v>75</v>
      </c>
      <c r="I360" t="s">
        <v>59</v>
      </c>
      <c r="J360" t="s">
        <v>41</v>
      </c>
      <c r="K360" t="s">
        <v>37</v>
      </c>
      <c r="L360">
        <v>45</v>
      </c>
      <c r="M360" t="s">
        <v>38</v>
      </c>
      <c r="N360" t="s">
        <v>39</v>
      </c>
      <c r="O360" t="s">
        <v>40</v>
      </c>
      <c r="P360" t="s">
        <v>41</v>
      </c>
      <c r="Q360" t="s">
        <v>42</v>
      </c>
      <c r="R360">
        <v>6653</v>
      </c>
      <c r="S360">
        <v>15276</v>
      </c>
      <c r="T360">
        <v>4</v>
      </c>
      <c r="U360" t="s">
        <v>46</v>
      </c>
      <c r="V360">
        <v>15</v>
      </c>
      <c r="W360" t="s">
        <v>43</v>
      </c>
      <c r="X360" t="s">
        <v>36</v>
      </c>
      <c r="Y360">
        <v>0</v>
      </c>
      <c r="Z360">
        <v>7</v>
      </c>
      <c r="AA360">
        <v>6</v>
      </c>
      <c r="AB360" t="s">
        <v>54</v>
      </c>
      <c r="AC360">
        <v>1</v>
      </c>
      <c r="AD360" t="str" cm="1">
        <f t="array" ref="AD360">_xlfn.IFS(AC360&lt;=5,"0-5",AC360&lt;=10,"5-10",AC360&lt;=40,"10-40")</f>
        <v>0-5</v>
      </c>
      <c r="AE360">
        <v>0</v>
      </c>
      <c r="AF360">
        <v>0</v>
      </c>
      <c r="AG360">
        <v>0</v>
      </c>
      <c r="AH360">
        <v>359</v>
      </c>
    </row>
    <row r="361" spans="1:34" x14ac:dyDescent="0.3">
      <c r="A361">
        <v>36</v>
      </c>
      <c r="B361" t="str" cm="1">
        <f t="array" ref="B361">_xlfn.IFS(A361&lt;=25,"18-25",A361&lt;=35,"26-35",A361&lt;=45,"36-45",A361&lt;=55,"46-55",A361&gt;55,"55+")</f>
        <v>36-45</v>
      </c>
      <c r="C361">
        <v>0</v>
      </c>
      <c r="D361" t="s">
        <v>47</v>
      </c>
      <c r="E361">
        <v>541</v>
      </c>
      <c r="F361" t="s">
        <v>33</v>
      </c>
      <c r="G361">
        <v>3</v>
      </c>
      <c r="H361" t="s">
        <v>58</v>
      </c>
      <c r="I361" t="s">
        <v>59</v>
      </c>
      <c r="J361" t="s">
        <v>44</v>
      </c>
      <c r="K361" t="s">
        <v>50</v>
      </c>
      <c r="L361">
        <v>48</v>
      </c>
      <c r="M361" t="s">
        <v>36</v>
      </c>
      <c r="N361" t="s">
        <v>63</v>
      </c>
      <c r="O361" t="s">
        <v>40</v>
      </c>
      <c r="P361" t="s">
        <v>41</v>
      </c>
      <c r="Q361" t="s">
        <v>52</v>
      </c>
      <c r="R361">
        <v>9699</v>
      </c>
      <c r="S361">
        <v>7246</v>
      </c>
      <c r="T361">
        <v>4</v>
      </c>
      <c r="U361" t="s">
        <v>46</v>
      </c>
      <c r="V361">
        <v>11</v>
      </c>
      <c r="W361" t="s">
        <v>43</v>
      </c>
      <c r="X361" t="s">
        <v>44</v>
      </c>
      <c r="Y361">
        <v>1</v>
      </c>
      <c r="Z361">
        <v>16</v>
      </c>
      <c r="AA361">
        <v>2</v>
      </c>
      <c r="AB361" t="s">
        <v>54</v>
      </c>
      <c r="AC361">
        <v>13</v>
      </c>
      <c r="AD361" t="str" cm="1">
        <f t="array" ref="AD361">_xlfn.IFS(AC361&lt;=5,"0-5",AC361&lt;=10,"5-10",AC361&lt;=40,"10-40")</f>
        <v>10-40</v>
      </c>
      <c r="AE361">
        <v>9</v>
      </c>
      <c r="AF361">
        <v>1</v>
      </c>
      <c r="AG361">
        <v>12</v>
      </c>
      <c r="AH361">
        <v>360</v>
      </c>
    </row>
    <row r="362" spans="1:34" x14ac:dyDescent="0.3">
      <c r="A362">
        <v>57</v>
      </c>
      <c r="B362" t="str" cm="1">
        <f t="array" ref="B362">_xlfn.IFS(A362&lt;=25,"18-25",A362&lt;=35,"26-35",A362&lt;=45,"36-45",A362&lt;=55,"46-55",A362&gt;55,"55+")</f>
        <v>55+</v>
      </c>
      <c r="C362">
        <v>0</v>
      </c>
      <c r="D362" t="s">
        <v>32</v>
      </c>
      <c r="E362">
        <v>593</v>
      </c>
      <c r="F362" t="s">
        <v>48</v>
      </c>
      <c r="G362">
        <v>1</v>
      </c>
      <c r="H362" t="s">
        <v>58</v>
      </c>
      <c r="I362" t="s">
        <v>59</v>
      </c>
      <c r="J362" t="s">
        <v>41</v>
      </c>
      <c r="K362" t="s">
        <v>50</v>
      </c>
      <c r="L362">
        <v>88</v>
      </c>
      <c r="M362" t="s">
        <v>38</v>
      </c>
      <c r="N362" t="s">
        <v>39</v>
      </c>
      <c r="O362" t="s">
        <v>65</v>
      </c>
      <c r="P362" t="s">
        <v>38</v>
      </c>
      <c r="Q362" t="s">
        <v>52</v>
      </c>
      <c r="R362">
        <v>6755</v>
      </c>
      <c r="S362">
        <v>2967</v>
      </c>
      <c r="T362">
        <v>2</v>
      </c>
      <c r="U362" t="s">
        <v>46</v>
      </c>
      <c r="V362">
        <v>11</v>
      </c>
      <c r="W362" t="s">
        <v>43</v>
      </c>
      <c r="X362" t="s">
        <v>38</v>
      </c>
      <c r="Y362">
        <v>0</v>
      </c>
      <c r="Z362">
        <v>15</v>
      </c>
      <c r="AA362">
        <v>2</v>
      </c>
      <c r="AB362" t="s">
        <v>54</v>
      </c>
      <c r="AC362">
        <v>3</v>
      </c>
      <c r="AD362" t="str" cm="1">
        <f t="array" ref="AD362">_xlfn.IFS(AC362&lt;=5,"0-5",AC362&lt;=10,"5-10",AC362&lt;=40,"10-40")</f>
        <v>0-5</v>
      </c>
      <c r="AE362">
        <v>2</v>
      </c>
      <c r="AF362">
        <v>1</v>
      </c>
      <c r="AG362">
        <v>2</v>
      </c>
      <c r="AH362">
        <v>361</v>
      </c>
    </row>
    <row r="363" spans="1:34" x14ac:dyDescent="0.3">
      <c r="A363">
        <v>40</v>
      </c>
      <c r="B363" t="str" cm="1">
        <f t="array" ref="B363">_xlfn.IFS(A363&lt;=25,"18-25",A363&lt;=35,"26-35",A363&lt;=45,"36-45",A363&lt;=55,"46-55",A363&gt;55,"55+")</f>
        <v>36-45</v>
      </c>
      <c r="C363">
        <v>0</v>
      </c>
      <c r="D363" t="s">
        <v>32</v>
      </c>
      <c r="E363">
        <v>1171</v>
      </c>
      <c r="F363" t="s">
        <v>48</v>
      </c>
      <c r="G363">
        <v>10</v>
      </c>
      <c r="H363" t="s">
        <v>58</v>
      </c>
      <c r="I363" t="s">
        <v>35</v>
      </c>
      <c r="J363" t="s">
        <v>41</v>
      </c>
      <c r="K363" t="s">
        <v>37</v>
      </c>
      <c r="L363">
        <v>46</v>
      </c>
      <c r="M363" t="s">
        <v>41</v>
      </c>
      <c r="N363" t="s">
        <v>56</v>
      </c>
      <c r="O363" t="s">
        <v>57</v>
      </c>
      <c r="P363" t="s">
        <v>38</v>
      </c>
      <c r="Q363" t="s">
        <v>52</v>
      </c>
      <c r="R363">
        <v>2213</v>
      </c>
      <c r="S363">
        <v>22495</v>
      </c>
      <c r="T363">
        <v>3</v>
      </c>
      <c r="U363" t="s">
        <v>31</v>
      </c>
      <c r="V363">
        <v>13</v>
      </c>
      <c r="W363" t="s">
        <v>43</v>
      </c>
      <c r="X363" t="s">
        <v>38</v>
      </c>
      <c r="Y363">
        <v>1</v>
      </c>
      <c r="Z363">
        <v>10</v>
      </c>
      <c r="AA363">
        <v>3</v>
      </c>
      <c r="AB363" t="s">
        <v>54</v>
      </c>
      <c r="AC363">
        <v>7</v>
      </c>
      <c r="AD363" t="str" cm="1">
        <f t="array" ref="AD363">_xlfn.IFS(AC363&lt;=5,"0-5",AC363&lt;=10,"5-10",AC363&lt;=40,"10-40")</f>
        <v>5-10</v>
      </c>
      <c r="AE363">
        <v>7</v>
      </c>
      <c r="AF363">
        <v>1</v>
      </c>
      <c r="AG363">
        <v>7</v>
      </c>
      <c r="AH363">
        <v>362</v>
      </c>
    </row>
    <row r="364" spans="1:34" x14ac:dyDescent="0.3">
      <c r="A364">
        <v>21</v>
      </c>
      <c r="B364" t="str" cm="1">
        <f t="array" ref="B364">_xlfn.IFS(A364&lt;=25,"18-25",A364&lt;=35,"26-35",A364&lt;=45,"36-45",A364&lt;=55,"46-55",A364&gt;55,"55+")</f>
        <v>18-25</v>
      </c>
      <c r="C364">
        <v>0</v>
      </c>
      <c r="D364" t="s">
        <v>66</v>
      </c>
      <c r="E364">
        <v>895</v>
      </c>
      <c r="F364" t="s">
        <v>33</v>
      </c>
      <c r="G364">
        <v>9</v>
      </c>
      <c r="H364" t="s">
        <v>34</v>
      </c>
      <c r="I364" t="s">
        <v>59</v>
      </c>
      <c r="J364" t="s">
        <v>44</v>
      </c>
      <c r="K364" t="s">
        <v>50</v>
      </c>
      <c r="L364">
        <v>39</v>
      </c>
      <c r="M364" t="s">
        <v>38</v>
      </c>
      <c r="N364" t="s">
        <v>56</v>
      </c>
      <c r="O364" t="s">
        <v>69</v>
      </c>
      <c r="P364" t="s">
        <v>41</v>
      </c>
      <c r="Q364" t="s">
        <v>42</v>
      </c>
      <c r="R364">
        <v>2610</v>
      </c>
      <c r="S364">
        <v>2851</v>
      </c>
      <c r="T364">
        <v>1</v>
      </c>
      <c r="U364" t="s">
        <v>46</v>
      </c>
      <c r="V364">
        <v>24</v>
      </c>
      <c r="W364" t="s">
        <v>53</v>
      </c>
      <c r="X364" t="s">
        <v>38</v>
      </c>
      <c r="Y364">
        <v>0</v>
      </c>
      <c r="Z364">
        <v>3</v>
      </c>
      <c r="AA364">
        <v>3</v>
      </c>
      <c r="AB364" t="s">
        <v>60</v>
      </c>
      <c r="AC364">
        <v>3</v>
      </c>
      <c r="AD364" t="str" cm="1">
        <f t="array" ref="AD364">_xlfn.IFS(AC364&lt;=5,"0-5",AC364&lt;=10,"5-10",AC364&lt;=40,"10-40")</f>
        <v>0-5</v>
      </c>
      <c r="AE364">
        <v>2</v>
      </c>
      <c r="AF364">
        <v>2</v>
      </c>
      <c r="AG364">
        <v>2</v>
      </c>
      <c r="AH364">
        <v>363</v>
      </c>
    </row>
    <row r="365" spans="1:34" x14ac:dyDescent="0.3">
      <c r="A365">
        <v>33</v>
      </c>
      <c r="B365" t="str" cm="1">
        <f t="array" ref="B365">_xlfn.IFS(A365&lt;=25,"18-25",A365&lt;=35,"26-35",A365&lt;=45,"36-45",A365&lt;=55,"46-55",A365&gt;55,"55+")</f>
        <v>26-35</v>
      </c>
      <c r="C365">
        <v>1</v>
      </c>
      <c r="D365" t="s">
        <v>32</v>
      </c>
      <c r="E365">
        <v>350</v>
      </c>
      <c r="F365" t="s">
        <v>33</v>
      </c>
      <c r="G365">
        <v>5</v>
      </c>
      <c r="H365" t="s">
        <v>61</v>
      </c>
      <c r="I365" t="s">
        <v>72</v>
      </c>
      <c r="J365" t="s">
        <v>41</v>
      </c>
      <c r="K365" t="s">
        <v>37</v>
      </c>
      <c r="L365">
        <v>34</v>
      </c>
      <c r="M365" t="s">
        <v>38</v>
      </c>
      <c r="N365" t="s">
        <v>56</v>
      </c>
      <c r="O365" t="s">
        <v>69</v>
      </c>
      <c r="P365" t="s">
        <v>38</v>
      </c>
      <c r="Q365" t="s">
        <v>42</v>
      </c>
      <c r="R365">
        <v>2851</v>
      </c>
      <c r="S365">
        <v>9150</v>
      </c>
      <c r="T365">
        <v>1</v>
      </c>
      <c r="U365" t="s">
        <v>31</v>
      </c>
      <c r="V365">
        <v>13</v>
      </c>
      <c r="W365" t="s">
        <v>43</v>
      </c>
      <c r="X365" t="s">
        <v>36</v>
      </c>
      <c r="Y365">
        <v>0</v>
      </c>
      <c r="Z365">
        <v>1</v>
      </c>
      <c r="AA365">
        <v>2</v>
      </c>
      <c r="AB365" t="s">
        <v>54</v>
      </c>
      <c r="AC365">
        <v>1</v>
      </c>
      <c r="AD365" t="str" cm="1">
        <f t="array" ref="AD365">_xlfn.IFS(AC365&lt;=5,"0-5",AC365&lt;=10,"5-10",AC365&lt;=40,"10-40")</f>
        <v>0-5</v>
      </c>
      <c r="AE365">
        <v>0</v>
      </c>
      <c r="AF365">
        <v>0</v>
      </c>
      <c r="AG365">
        <v>0</v>
      </c>
      <c r="AH365">
        <v>364</v>
      </c>
    </row>
    <row r="366" spans="1:34" x14ac:dyDescent="0.3">
      <c r="A366">
        <v>37</v>
      </c>
      <c r="B366" t="str" cm="1">
        <f t="array" ref="B366">_xlfn.IFS(A366&lt;=25,"18-25",A366&lt;=35,"26-35",A366&lt;=45,"36-45",A366&lt;=55,"46-55",A366&gt;55,"55+")</f>
        <v>36-45</v>
      </c>
      <c r="C366">
        <v>0</v>
      </c>
      <c r="D366" t="s">
        <v>32</v>
      </c>
      <c r="E366">
        <v>921</v>
      </c>
      <c r="F366" t="s">
        <v>48</v>
      </c>
      <c r="G366">
        <v>10</v>
      </c>
      <c r="H366" t="s">
        <v>61</v>
      </c>
      <c r="I366" t="s">
        <v>59</v>
      </c>
      <c r="J366" t="s">
        <v>38</v>
      </c>
      <c r="K366" t="s">
        <v>37</v>
      </c>
      <c r="L366">
        <v>98</v>
      </c>
      <c r="M366" t="s">
        <v>38</v>
      </c>
      <c r="N366" t="s">
        <v>56</v>
      </c>
      <c r="O366" t="s">
        <v>57</v>
      </c>
      <c r="P366" t="s">
        <v>44</v>
      </c>
      <c r="Q366" t="s">
        <v>52</v>
      </c>
      <c r="R366">
        <v>3452</v>
      </c>
      <c r="S366">
        <v>17663</v>
      </c>
      <c r="T366">
        <v>6</v>
      </c>
      <c r="U366" t="s">
        <v>46</v>
      </c>
      <c r="V366">
        <v>20</v>
      </c>
      <c r="W366" t="s">
        <v>53</v>
      </c>
      <c r="X366" t="s">
        <v>36</v>
      </c>
      <c r="Y366">
        <v>1</v>
      </c>
      <c r="Z366">
        <v>17</v>
      </c>
      <c r="AA366">
        <v>3</v>
      </c>
      <c r="AB366" t="s">
        <v>54</v>
      </c>
      <c r="AC366">
        <v>5</v>
      </c>
      <c r="AD366" t="str" cm="1">
        <f t="array" ref="AD366">_xlfn.IFS(AC366&lt;=5,"0-5",AC366&lt;=10,"5-10",AC366&lt;=40,"10-40")</f>
        <v>0-5</v>
      </c>
      <c r="AE366">
        <v>4</v>
      </c>
      <c r="AF366">
        <v>0</v>
      </c>
      <c r="AG366">
        <v>3</v>
      </c>
      <c r="AH366">
        <v>365</v>
      </c>
    </row>
    <row r="367" spans="1:34" x14ac:dyDescent="0.3">
      <c r="A367">
        <v>46</v>
      </c>
      <c r="B367" t="str" cm="1">
        <f t="array" ref="B367">_xlfn.IFS(A367&lt;=25,"18-25",A367&lt;=35,"26-35",A367&lt;=45,"36-45",A367&lt;=55,"46-55",A367&gt;55,"55+")</f>
        <v>46-55</v>
      </c>
      <c r="C367">
        <v>0</v>
      </c>
      <c r="D367" t="s">
        <v>66</v>
      </c>
      <c r="E367">
        <v>1144</v>
      </c>
      <c r="F367" t="s">
        <v>48</v>
      </c>
      <c r="G367">
        <v>7</v>
      </c>
      <c r="H367" t="s">
        <v>58</v>
      </c>
      <c r="I367" t="s">
        <v>59</v>
      </c>
      <c r="J367" t="s">
        <v>38</v>
      </c>
      <c r="K367" t="s">
        <v>37</v>
      </c>
      <c r="L367">
        <v>30</v>
      </c>
      <c r="M367" t="s">
        <v>38</v>
      </c>
      <c r="N367" t="s">
        <v>39</v>
      </c>
      <c r="O367" t="s">
        <v>64</v>
      </c>
      <c r="P367" t="s">
        <v>38</v>
      </c>
      <c r="Q367" t="s">
        <v>52</v>
      </c>
      <c r="R367">
        <v>5258</v>
      </c>
      <c r="S367">
        <v>16044</v>
      </c>
      <c r="T367">
        <v>2</v>
      </c>
      <c r="U367" t="s">
        <v>46</v>
      </c>
      <c r="V367">
        <v>14</v>
      </c>
      <c r="W367" t="s">
        <v>43</v>
      </c>
      <c r="X367" t="s">
        <v>38</v>
      </c>
      <c r="Y367">
        <v>0</v>
      </c>
      <c r="Z367">
        <v>7</v>
      </c>
      <c r="AA367">
        <v>2</v>
      </c>
      <c r="AB367" t="s">
        <v>73</v>
      </c>
      <c r="AC367">
        <v>1</v>
      </c>
      <c r="AD367" t="str" cm="1">
        <f t="array" ref="AD367">_xlfn.IFS(AC367&lt;=5,"0-5",AC367&lt;=10,"5-10",AC367&lt;=40,"10-40")</f>
        <v>0-5</v>
      </c>
      <c r="AE367">
        <v>0</v>
      </c>
      <c r="AF367">
        <v>0</v>
      </c>
      <c r="AG367">
        <v>0</v>
      </c>
      <c r="AH367">
        <v>366</v>
      </c>
    </row>
    <row r="368" spans="1:34" x14ac:dyDescent="0.3">
      <c r="A368">
        <v>41</v>
      </c>
      <c r="B368" t="str" cm="1">
        <f t="array" ref="B368">_xlfn.IFS(A368&lt;=25,"18-25",A368&lt;=35,"26-35",A368&lt;=45,"36-45",A368&lt;=55,"46-55",A368&gt;55,"55+")</f>
        <v>36-45</v>
      </c>
      <c r="C368">
        <v>1</v>
      </c>
      <c r="D368" t="s">
        <v>47</v>
      </c>
      <c r="E368">
        <v>143</v>
      </c>
      <c r="F368" t="s">
        <v>33</v>
      </c>
      <c r="G368">
        <v>4</v>
      </c>
      <c r="H368" t="s">
        <v>61</v>
      </c>
      <c r="I368" t="s">
        <v>72</v>
      </c>
      <c r="J368" t="s">
        <v>44</v>
      </c>
      <c r="K368" t="s">
        <v>50</v>
      </c>
      <c r="L368">
        <v>56</v>
      </c>
      <c r="M368" t="s">
        <v>38</v>
      </c>
      <c r="N368" t="s">
        <v>39</v>
      </c>
      <c r="O368" t="s">
        <v>40</v>
      </c>
      <c r="P368" t="s">
        <v>36</v>
      </c>
      <c r="Q368" t="s">
        <v>42</v>
      </c>
      <c r="R368">
        <v>9355</v>
      </c>
      <c r="S368">
        <v>9558</v>
      </c>
      <c r="T368">
        <v>1</v>
      </c>
      <c r="U368" t="s">
        <v>46</v>
      </c>
      <c r="V368">
        <v>18</v>
      </c>
      <c r="W368" t="s">
        <v>43</v>
      </c>
      <c r="X368" t="s">
        <v>38</v>
      </c>
      <c r="Y368">
        <v>0</v>
      </c>
      <c r="Z368">
        <v>8</v>
      </c>
      <c r="AA368">
        <v>5</v>
      </c>
      <c r="AB368" t="s">
        <v>54</v>
      </c>
      <c r="AC368">
        <v>8</v>
      </c>
      <c r="AD368" t="str" cm="1">
        <f t="array" ref="AD368">_xlfn.IFS(AC368&lt;=5,"0-5",AC368&lt;=10,"5-10",AC368&lt;=40,"10-40")</f>
        <v>5-10</v>
      </c>
      <c r="AE368">
        <v>7</v>
      </c>
      <c r="AF368">
        <v>7</v>
      </c>
      <c r="AG368">
        <v>7</v>
      </c>
      <c r="AH368">
        <v>367</v>
      </c>
    </row>
    <row r="369" spans="1:34" x14ac:dyDescent="0.3">
      <c r="A369">
        <v>50</v>
      </c>
      <c r="B369" t="str" cm="1">
        <f t="array" ref="B369">_xlfn.IFS(A369&lt;=25,"18-25",A369&lt;=35,"26-35",A369&lt;=45,"36-45",A369&lt;=55,"46-55",A369&gt;55,"55+")</f>
        <v>46-55</v>
      </c>
      <c r="C369">
        <v>0</v>
      </c>
      <c r="D369" t="s">
        <v>32</v>
      </c>
      <c r="E369">
        <v>1046</v>
      </c>
      <c r="F369" t="s">
        <v>48</v>
      </c>
      <c r="G369">
        <v>10</v>
      </c>
      <c r="H369" t="s">
        <v>61</v>
      </c>
      <c r="I369" t="s">
        <v>74</v>
      </c>
      <c r="J369" t="s">
        <v>41</v>
      </c>
      <c r="K369" t="s">
        <v>50</v>
      </c>
      <c r="L369">
        <v>100</v>
      </c>
      <c r="M369" t="s">
        <v>36</v>
      </c>
      <c r="N369" t="s">
        <v>63</v>
      </c>
      <c r="O369" t="s">
        <v>65</v>
      </c>
      <c r="P369" t="s">
        <v>41</v>
      </c>
      <c r="Q369" t="s">
        <v>42</v>
      </c>
      <c r="R369">
        <v>10496</v>
      </c>
      <c r="S369">
        <v>2755</v>
      </c>
      <c r="T369">
        <v>6</v>
      </c>
      <c r="U369" t="s">
        <v>46</v>
      </c>
      <c r="V369">
        <v>15</v>
      </c>
      <c r="W369" t="s">
        <v>43</v>
      </c>
      <c r="X369" t="s">
        <v>41</v>
      </c>
      <c r="Y369">
        <v>0</v>
      </c>
      <c r="Z369">
        <v>20</v>
      </c>
      <c r="AA369">
        <v>2</v>
      </c>
      <c r="AB369" t="s">
        <v>54</v>
      </c>
      <c r="AC369">
        <v>4</v>
      </c>
      <c r="AD369" t="str" cm="1">
        <f t="array" ref="AD369">_xlfn.IFS(AC369&lt;=5,"0-5",AC369&lt;=10,"5-10",AC369&lt;=40,"10-40")</f>
        <v>0-5</v>
      </c>
      <c r="AE369">
        <v>3</v>
      </c>
      <c r="AF369">
        <v>1</v>
      </c>
      <c r="AG369">
        <v>3</v>
      </c>
      <c r="AH369">
        <v>368</v>
      </c>
    </row>
    <row r="370" spans="1:34" x14ac:dyDescent="0.3">
      <c r="A370">
        <v>40</v>
      </c>
      <c r="B370" t="str" cm="1">
        <f t="array" ref="B370">_xlfn.IFS(A370&lt;=25,"18-25",A370&lt;=35,"26-35",A370&lt;=45,"36-45",A370&lt;=55,"46-55",A370&gt;55,"55+")</f>
        <v>36-45</v>
      </c>
      <c r="C370">
        <v>1</v>
      </c>
      <c r="D370" t="s">
        <v>32</v>
      </c>
      <c r="E370">
        <v>575</v>
      </c>
      <c r="F370" t="s">
        <v>33</v>
      </c>
      <c r="G370">
        <v>22</v>
      </c>
      <c r="H370" t="s">
        <v>34</v>
      </c>
      <c r="I370" t="s">
        <v>72</v>
      </c>
      <c r="J370" t="s">
        <v>38</v>
      </c>
      <c r="K370" t="s">
        <v>50</v>
      </c>
      <c r="L370">
        <v>68</v>
      </c>
      <c r="M370" t="s">
        <v>36</v>
      </c>
      <c r="N370" t="s">
        <v>39</v>
      </c>
      <c r="O370" t="s">
        <v>40</v>
      </c>
      <c r="P370" t="s">
        <v>38</v>
      </c>
      <c r="Q370" t="s">
        <v>52</v>
      </c>
      <c r="R370">
        <v>6380</v>
      </c>
      <c r="S370">
        <v>6110</v>
      </c>
      <c r="T370">
        <v>2</v>
      </c>
      <c r="U370" t="s">
        <v>31</v>
      </c>
      <c r="V370">
        <v>12</v>
      </c>
      <c r="W370" t="s">
        <v>43</v>
      </c>
      <c r="X370" t="s">
        <v>44</v>
      </c>
      <c r="Y370">
        <v>2</v>
      </c>
      <c r="Z370">
        <v>8</v>
      </c>
      <c r="AA370">
        <v>6</v>
      </c>
      <c r="AB370" t="s">
        <v>54</v>
      </c>
      <c r="AC370">
        <v>6</v>
      </c>
      <c r="AD370" t="str" cm="1">
        <f t="array" ref="AD370">_xlfn.IFS(AC370&lt;=5,"0-5",AC370&lt;=10,"5-10",AC370&lt;=40,"10-40")</f>
        <v>5-10</v>
      </c>
      <c r="AE370">
        <v>4</v>
      </c>
      <c r="AF370">
        <v>1</v>
      </c>
      <c r="AG370">
        <v>0</v>
      </c>
      <c r="AH370">
        <v>369</v>
      </c>
    </row>
    <row r="371" spans="1:34" x14ac:dyDescent="0.3">
      <c r="A371">
        <v>31</v>
      </c>
      <c r="B371" t="str" cm="1">
        <f t="array" ref="B371">_xlfn.IFS(A371&lt;=25,"18-25",A371&lt;=35,"26-35",A371&lt;=45,"36-45",A371&lt;=55,"46-55",A371&gt;55,"55+")</f>
        <v>26-35</v>
      </c>
      <c r="C371">
        <v>0</v>
      </c>
      <c r="D371" t="s">
        <v>32</v>
      </c>
      <c r="E371">
        <v>408</v>
      </c>
      <c r="F371" t="s">
        <v>48</v>
      </c>
      <c r="G371">
        <v>9</v>
      </c>
      <c r="H371" t="s">
        <v>58</v>
      </c>
      <c r="I371" t="s">
        <v>35</v>
      </c>
      <c r="J371" t="s">
        <v>38</v>
      </c>
      <c r="K371" t="s">
        <v>50</v>
      </c>
      <c r="L371">
        <v>42</v>
      </c>
      <c r="M371" t="s">
        <v>36</v>
      </c>
      <c r="N371" t="s">
        <v>56</v>
      </c>
      <c r="O371" t="s">
        <v>51</v>
      </c>
      <c r="P371" t="s">
        <v>36</v>
      </c>
      <c r="Q371" t="s">
        <v>42</v>
      </c>
      <c r="R371">
        <v>2657</v>
      </c>
      <c r="S371">
        <v>7551</v>
      </c>
      <c r="T371">
        <v>0</v>
      </c>
      <c r="U371" t="s">
        <v>31</v>
      </c>
      <c r="V371">
        <v>16</v>
      </c>
      <c r="W371" t="s">
        <v>43</v>
      </c>
      <c r="X371" t="s">
        <v>41</v>
      </c>
      <c r="Y371">
        <v>0</v>
      </c>
      <c r="Z371">
        <v>3</v>
      </c>
      <c r="AA371">
        <v>5</v>
      </c>
      <c r="AB371" t="s">
        <v>54</v>
      </c>
      <c r="AC371">
        <v>2</v>
      </c>
      <c r="AD371" t="str" cm="1">
        <f t="array" ref="AD371">_xlfn.IFS(AC371&lt;=5,"0-5",AC371&lt;=10,"5-10",AC371&lt;=40,"10-40")</f>
        <v>0-5</v>
      </c>
      <c r="AE371">
        <v>2</v>
      </c>
      <c r="AF371">
        <v>2</v>
      </c>
      <c r="AG371">
        <v>2</v>
      </c>
      <c r="AH371">
        <v>370</v>
      </c>
    </row>
    <row r="372" spans="1:34" x14ac:dyDescent="0.3">
      <c r="A372">
        <v>21</v>
      </c>
      <c r="B372" t="str" cm="1">
        <f t="array" ref="B372">_xlfn.IFS(A372&lt;=25,"18-25",A372&lt;=35,"26-35",A372&lt;=45,"36-45",A372&lt;=55,"46-55",A372&gt;55,"55+")</f>
        <v>18-25</v>
      </c>
      <c r="C372">
        <v>1</v>
      </c>
      <c r="D372" t="s">
        <v>32</v>
      </c>
      <c r="E372">
        <v>156</v>
      </c>
      <c r="F372" t="s">
        <v>33</v>
      </c>
      <c r="G372">
        <v>12</v>
      </c>
      <c r="H372" t="s">
        <v>61</v>
      </c>
      <c r="I372" t="s">
        <v>35</v>
      </c>
      <c r="J372" t="s">
        <v>38</v>
      </c>
      <c r="K372" t="s">
        <v>37</v>
      </c>
      <c r="L372">
        <v>90</v>
      </c>
      <c r="M372" t="s">
        <v>41</v>
      </c>
      <c r="N372" t="s">
        <v>56</v>
      </c>
      <c r="O372" t="s">
        <v>69</v>
      </c>
      <c r="P372" t="s">
        <v>36</v>
      </c>
      <c r="Q372" t="s">
        <v>42</v>
      </c>
      <c r="R372">
        <v>2716</v>
      </c>
      <c r="S372">
        <v>25422</v>
      </c>
      <c r="T372">
        <v>1</v>
      </c>
      <c r="U372" t="s">
        <v>46</v>
      </c>
      <c r="V372">
        <v>15</v>
      </c>
      <c r="W372" t="s">
        <v>43</v>
      </c>
      <c r="X372" t="s">
        <v>41</v>
      </c>
      <c r="Y372">
        <v>0</v>
      </c>
      <c r="Z372">
        <v>1</v>
      </c>
      <c r="AA372">
        <v>0</v>
      </c>
      <c r="AB372" t="s">
        <v>54</v>
      </c>
      <c r="AC372">
        <v>1</v>
      </c>
      <c r="AD372" t="str" cm="1">
        <f t="array" ref="AD372">_xlfn.IFS(AC372&lt;=5,"0-5",AC372&lt;=10,"5-10",AC372&lt;=40,"10-40")</f>
        <v>0-5</v>
      </c>
      <c r="AE372">
        <v>0</v>
      </c>
      <c r="AF372">
        <v>0</v>
      </c>
      <c r="AG372">
        <v>0</v>
      </c>
      <c r="AH372">
        <v>371</v>
      </c>
    </row>
    <row r="373" spans="1:34" x14ac:dyDescent="0.3">
      <c r="A373">
        <v>29</v>
      </c>
      <c r="B373" t="str" cm="1">
        <f t="array" ref="B373">_xlfn.IFS(A373&lt;=25,"18-25",A373&lt;=35,"26-35",A373&lt;=45,"36-45",A373&lt;=55,"46-55",A373&gt;55,"55+")</f>
        <v>26-35</v>
      </c>
      <c r="C373">
        <v>0</v>
      </c>
      <c r="D373" t="s">
        <v>32</v>
      </c>
      <c r="E373">
        <v>1283</v>
      </c>
      <c r="F373" t="s">
        <v>48</v>
      </c>
      <c r="G373">
        <v>23</v>
      </c>
      <c r="H373" t="s">
        <v>61</v>
      </c>
      <c r="I373" t="s">
        <v>35</v>
      </c>
      <c r="J373" t="s">
        <v>41</v>
      </c>
      <c r="K373" t="s">
        <v>50</v>
      </c>
      <c r="L373">
        <v>54</v>
      </c>
      <c r="M373" t="s">
        <v>38</v>
      </c>
      <c r="N373" t="s">
        <v>56</v>
      </c>
      <c r="O373" t="s">
        <v>51</v>
      </c>
      <c r="P373" t="s">
        <v>41</v>
      </c>
      <c r="Q373" t="s">
        <v>42</v>
      </c>
      <c r="R373">
        <v>2201</v>
      </c>
      <c r="S373">
        <v>18168</v>
      </c>
      <c r="T373">
        <v>9</v>
      </c>
      <c r="U373" t="s">
        <v>46</v>
      </c>
      <c r="V373">
        <v>16</v>
      </c>
      <c r="W373" t="s">
        <v>43</v>
      </c>
      <c r="X373" t="s">
        <v>41</v>
      </c>
      <c r="Y373">
        <v>0</v>
      </c>
      <c r="Z373">
        <v>6</v>
      </c>
      <c r="AA373">
        <v>4</v>
      </c>
      <c r="AB373" t="s">
        <v>54</v>
      </c>
      <c r="AC373">
        <v>3</v>
      </c>
      <c r="AD373" t="str" cm="1">
        <f t="array" ref="AD373">_xlfn.IFS(AC373&lt;=5,"0-5",AC373&lt;=10,"5-10",AC373&lt;=40,"10-40")</f>
        <v>0-5</v>
      </c>
      <c r="AE373">
        <v>2</v>
      </c>
      <c r="AF373">
        <v>1</v>
      </c>
      <c r="AG373">
        <v>2</v>
      </c>
      <c r="AH373">
        <v>372</v>
      </c>
    </row>
    <row r="374" spans="1:34" x14ac:dyDescent="0.3">
      <c r="A374">
        <v>35</v>
      </c>
      <c r="B374" t="str" cm="1">
        <f t="array" ref="B374">_xlfn.IFS(A374&lt;=25,"18-25",A374&lt;=35,"26-35",A374&lt;=45,"36-45",A374&lt;=55,"46-55",A374&gt;55,"55+")</f>
        <v>26-35</v>
      </c>
      <c r="C374">
        <v>0</v>
      </c>
      <c r="D374" t="s">
        <v>32</v>
      </c>
      <c r="E374">
        <v>755</v>
      </c>
      <c r="F374" t="s">
        <v>48</v>
      </c>
      <c r="G374">
        <v>9</v>
      </c>
      <c r="H374" t="s">
        <v>58</v>
      </c>
      <c r="I374" t="s">
        <v>35</v>
      </c>
      <c r="J374" t="s">
        <v>38</v>
      </c>
      <c r="K374" t="s">
        <v>50</v>
      </c>
      <c r="L374">
        <v>97</v>
      </c>
      <c r="M374" t="s">
        <v>36</v>
      </c>
      <c r="N374" t="s">
        <v>39</v>
      </c>
      <c r="O374" t="s">
        <v>65</v>
      </c>
      <c r="P374" t="s">
        <v>36</v>
      </c>
      <c r="Q374" t="s">
        <v>42</v>
      </c>
      <c r="R374">
        <v>6540</v>
      </c>
      <c r="S374">
        <v>19394</v>
      </c>
      <c r="T374">
        <v>9</v>
      </c>
      <c r="U374" t="s">
        <v>46</v>
      </c>
      <c r="V374">
        <v>19</v>
      </c>
      <c r="W374" t="s">
        <v>43</v>
      </c>
      <c r="X374" t="s">
        <v>38</v>
      </c>
      <c r="Y374">
        <v>0</v>
      </c>
      <c r="Z374">
        <v>10</v>
      </c>
      <c r="AA374">
        <v>5</v>
      </c>
      <c r="AB374" t="s">
        <v>54</v>
      </c>
      <c r="AC374">
        <v>1</v>
      </c>
      <c r="AD374" t="str" cm="1">
        <f t="array" ref="AD374">_xlfn.IFS(AC374&lt;=5,"0-5",AC374&lt;=10,"5-10",AC374&lt;=40,"10-40")</f>
        <v>0-5</v>
      </c>
      <c r="AE374">
        <v>1</v>
      </c>
      <c r="AF374">
        <v>0</v>
      </c>
      <c r="AG374">
        <v>0</v>
      </c>
      <c r="AH374">
        <v>373</v>
      </c>
    </row>
    <row r="375" spans="1:34" x14ac:dyDescent="0.3">
      <c r="A375">
        <v>27</v>
      </c>
      <c r="B375" t="str" cm="1">
        <f t="array" ref="B375">_xlfn.IFS(A375&lt;=25,"18-25",A375&lt;=35,"26-35",A375&lt;=45,"36-45",A375&lt;=55,"46-55",A375&gt;55,"55+")</f>
        <v>26-35</v>
      </c>
      <c r="C375">
        <v>0</v>
      </c>
      <c r="D375" t="s">
        <v>32</v>
      </c>
      <c r="E375">
        <v>1469</v>
      </c>
      <c r="F375" t="s">
        <v>48</v>
      </c>
      <c r="G375">
        <v>1</v>
      </c>
      <c r="H375" t="s">
        <v>34</v>
      </c>
      <c r="I375" t="s">
        <v>59</v>
      </c>
      <c r="J375" t="s">
        <v>41</v>
      </c>
      <c r="K375" t="s">
        <v>50</v>
      </c>
      <c r="L375">
        <v>82</v>
      </c>
      <c r="M375" t="s">
        <v>38</v>
      </c>
      <c r="N375" t="s">
        <v>56</v>
      </c>
      <c r="O375" t="s">
        <v>57</v>
      </c>
      <c r="P375" t="s">
        <v>36</v>
      </c>
      <c r="Q375" t="s">
        <v>62</v>
      </c>
      <c r="R375">
        <v>3816</v>
      </c>
      <c r="S375">
        <v>17881</v>
      </c>
      <c r="T375">
        <v>1</v>
      </c>
      <c r="U375" t="s">
        <v>46</v>
      </c>
      <c r="V375">
        <v>11</v>
      </c>
      <c r="W375" t="s">
        <v>43</v>
      </c>
      <c r="X375" t="s">
        <v>36</v>
      </c>
      <c r="Y375">
        <v>1</v>
      </c>
      <c r="Z375">
        <v>5</v>
      </c>
      <c r="AA375">
        <v>2</v>
      </c>
      <c r="AB375" t="s">
        <v>54</v>
      </c>
      <c r="AC375">
        <v>5</v>
      </c>
      <c r="AD375" t="str" cm="1">
        <f t="array" ref="AD375">_xlfn.IFS(AC375&lt;=5,"0-5",AC375&lt;=10,"5-10",AC375&lt;=40,"10-40")</f>
        <v>0-5</v>
      </c>
      <c r="AE375">
        <v>2</v>
      </c>
      <c r="AF375">
        <v>0</v>
      </c>
      <c r="AG375">
        <v>4</v>
      </c>
      <c r="AH375">
        <v>374</v>
      </c>
    </row>
    <row r="376" spans="1:34" x14ac:dyDescent="0.3">
      <c r="A376">
        <v>28</v>
      </c>
      <c r="B376" t="str" cm="1">
        <f t="array" ref="B376">_xlfn.IFS(A376&lt;=25,"18-25",A376&lt;=35,"26-35",A376&lt;=45,"36-45",A376&lt;=55,"46-55",A376&gt;55,"55+")</f>
        <v>26-35</v>
      </c>
      <c r="C376">
        <v>0</v>
      </c>
      <c r="D376" t="s">
        <v>32</v>
      </c>
      <c r="E376">
        <v>304</v>
      </c>
      <c r="F376" t="s">
        <v>33</v>
      </c>
      <c r="G376">
        <v>9</v>
      </c>
      <c r="H376" t="s">
        <v>58</v>
      </c>
      <c r="I376" t="s">
        <v>35</v>
      </c>
      <c r="J376" t="s">
        <v>36</v>
      </c>
      <c r="K376" t="s">
        <v>50</v>
      </c>
      <c r="L376">
        <v>92</v>
      </c>
      <c r="M376" t="s">
        <v>38</v>
      </c>
      <c r="N376" t="s">
        <v>39</v>
      </c>
      <c r="O376" t="s">
        <v>40</v>
      </c>
      <c r="P376" t="s">
        <v>41</v>
      </c>
      <c r="Q376" t="s">
        <v>42</v>
      </c>
      <c r="R376">
        <v>5253</v>
      </c>
      <c r="S376">
        <v>20750</v>
      </c>
      <c r="T376">
        <v>1</v>
      </c>
      <c r="U376" t="s">
        <v>46</v>
      </c>
      <c r="V376">
        <v>16</v>
      </c>
      <c r="W376" t="s">
        <v>43</v>
      </c>
      <c r="X376" t="s">
        <v>41</v>
      </c>
      <c r="Y376">
        <v>0</v>
      </c>
      <c r="Z376">
        <v>7</v>
      </c>
      <c r="AA376">
        <v>1</v>
      </c>
      <c r="AB376" t="s">
        <v>54</v>
      </c>
      <c r="AC376">
        <v>7</v>
      </c>
      <c r="AD376" t="str" cm="1">
        <f t="array" ref="AD376">_xlfn.IFS(AC376&lt;=5,"0-5",AC376&lt;=10,"5-10",AC376&lt;=40,"10-40")</f>
        <v>5-10</v>
      </c>
      <c r="AE376">
        <v>5</v>
      </c>
      <c r="AF376">
        <v>0</v>
      </c>
      <c r="AG376">
        <v>7</v>
      </c>
      <c r="AH376">
        <v>375</v>
      </c>
    </row>
    <row r="377" spans="1:34" x14ac:dyDescent="0.3">
      <c r="A377">
        <v>49</v>
      </c>
      <c r="B377" t="str" cm="1">
        <f t="array" ref="B377">_xlfn.IFS(A377&lt;=25,"18-25",A377&lt;=35,"26-35",A377&lt;=45,"36-45",A377&lt;=55,"46-55",A377&gt;55,"55+")</f>
        <v>46-55</v>
      </c>
      <c r="C377">
        <v>0</v>
      </c>
      <c r="D377" t="s">
        <v>32</v>
      </c>
      <c r="E377">
        <v>1261</v>
      </c>
      <c r="F377" t="s">
        <v>48</v>
      </c>
      <c r="G377">
        <v>7</v>
      </c>
      <c r="H377" t="s">
        <v>61</v>
      </c>
      <c r="I377" t="s">
        <v>55</v>
      </c>
      <c r="J377" t="s">
        <v>36</v>
      </c>
      <c r="K377" t="s">
        <v>50</v>
      </c>
      <c r="L377">
        <v>31</v>
      </c>
      <c r="M377" t="s">
        <v>36</v>
      </c>
      <c r="N377" t="s">
        <v>63</v>
      </c>
      <c r="O377" t="s">
        <v>65</v>
      </c>
      <c r="P377" t="s">
        <v>38</v>
      </c>
      <c r="Q377" t="s">
        <v>42</v>
      </c>
      <c r="R377">
        <v>10965</v>
      </c>
      <c r="S377">
        <v>12066</v>
      </c>
      <c r="T377">
        <v>8</v>
      </c>
      <c r="U377" t="s">
        <v>46</v>
      </c>
      <c r="V377">
        <v>24</v>
      </c>
      <c r="W377" t="s">
        <v>53</v>
      </c>
      <c r="X377" t="s">
        <v>38</v>
      </c>
      <c r="Y377">
        <v>0</v>
      </c>
      <c r="Z377">
        <v>26</v>
      </c>
      <c r="AA377">
        <v>2</v>
      </c>
      <c r="AB377" t="s">
        <v>54</v>
      </c>
      <c r="AC377">
        <v>5</v>
      </c>
      <c r="AD377" t="str" cm="1">
        <f t="array" ref="AD377">_xlfn.IFS(AC377&lt;=5,"0-5",AC377&lt;=10,"5-10",AC377&lt;=40,"10-40")</f>
        <v>0-5</v>
      </c>
      <c r="AE377">
        <v>2</v>
      </c>
      <c r="AF377">
        <v>0</v>
      </c>
      <c r="AG377">
        <v>0</v>
      </c>
      <c r="AH377">
        <v>376</v>
      </c>
    </row>
    <row r="378" spans="1:34" x14ac:dyDescent="0.3">
      <c r="A378">
        <v>51</v>
      </c>
      <c r="B378" t="str" cm="1">
        <f t="array" ref="B378">_xlfn.IFS(A378&lt;=25,"18-25",A378&lt;=35,"26-35",A378&lt;=45,"36-45",A378&lt;=55,"46-55",A378&gt;55,"55+")</f>
        <v>46-55</v>
      </c>
      <c r="C378">
        <v>0</v>
      </c>
      <c r="D378" t="s">
        <v>32</v>
      </c>
      <c r="E378">
        <v>1178</v>
      </c>
      <c r="F378" t="s">
        <v>33</v>
      </c>
      <c r="G378">
        <v>14</v>
      </c>
      <c r="H378" t="s">
        <v>34</v>
      </c>
      <c r="I378" t="s">
        <v>35</v>
      </c>
      <c r="J378" t="s">
        <v>38</v>
      </c>
      <c r="K378" t="s">
        <v>37</v>
      </c>
      <c r="L378">
        <v>87</v>
      </c>
      <c r="M378" t="s">
        <v>38</v>
      </c>
      <c r="N378" t="s">
        <v>39</v>
      </c>
      <c r="O378" t="s">
        <v>40</v>
      </c>
      <c r="P378" t="s">
        <v>41</v>
      </c>
      <c r="Q378" t="s">
        <v>52</v>
      </c>
      <c r="R378">
        <v>4936</v>
      </c>
      <c r="S378">
        <v>14862</v>
      </c>
      <c r="T378">
        <v>4</v>
      </c>
      <c r="U378" t="s">
        <v>46</v>
      </c>
      <c r="V378">
        <v>11</v>
      </c>
      <c r="W378" t="s">
        <v>43</v>
      </c>
      <c r="X378" t="s">
        <v>38</v>
      </c>
      <c r="Y378">
        <v>1</v>
      </c>
      <c r="Z378">
        <v>18</v>
      </c>
      <c r="AA378">
        <v>2</v>
      </c>
      <c r="AB378" t="s">
        <v>60</v>
      </c>
      <c r="AC378">
        <v>7</v>
      </c>
      <c r="AD378" t="str" cm="1">
        <f t="array" ref="AD378">_xlfn.IFS(AC378&lt;=5,"0-5",AC378&lt;=10,"5-10",AC378&lt;=40,"10-40")</f>
        <v>5-10</v>
      </c>
      <c r="AE378">
        <v>7</v>
      </c>
      <c r="AF378">
        <v>0</v>
      </c>
      <c r="AG378">
        <v>7</v>
      </c>
      <c r="AH378">
        <v>377</v>
      </c>
    </row>
    <row r="379" spans="1:34" x14ac:dyDescent="0.3">
      <c r="A379">
        <v>36</v>
      </c>
      <c r="B379" t="str" cm="1">
        <f t="array" ref="B379">_xlfn.IFS(A379&lt;=25,"18-25",A379&lt;=35,"26-35",A379&lt;=45,"36-45",A379&lt;=55,"46-55",A379&gt;55,"55+")</f>
        <v>36-45</v>
      </c>
      <c r="C379">
        <v>0</v>
      </c>
      <c r="D379" t="s">
        <v>32</v>
      </c>
      <c r="E379">
        <v>329</v>
      </c>
      <c r="F379" t="s">
        <v>48</v>
      </c>
      <c r="G379">
        <v>2</v>
      </c>
      <c r="H379" t="s">
        <v>61</v>
      </c>
      <c r="I379" t="s">
        <v>35</v>
      </c>
      <c r="J379" t="s">
        <v>41</v>
      </c>
      <c r="K379" t="s">
        <v>37</v>
      </c>
      <c r="L379">
        <v>96</v>
      </c>
      <c r="M379" t="s">
        <v>38</v>
      </c>
      <c r="N379" t="s">
        <v>56</v>
      </c>
      <c r="O379" t="s">
        <v>51</v>
      </c>
      <c r="P379" t="s">
        <v>38</v>
      </c>
      <c r="Q379" t="s">
        <v>52</v>
      </c>
      <c r="R379">
        <v>2543</v>
      </c>
      <c r="S379">
        <v>11868</v>
      </c>
      <c r="T379">
        <v>4</v>
      </c>
      <c r="U379" t="s">
        <v>46</v>
      </c>
      <c r="V379">
        <v>13</v>
      </c>
      <c r="W379" t="s">
        <v>43</v>
      </c>
      <c r="X379" t="s">
        <v>36</v>
      </c>
      <c r="Y379">
        <v>1</v>
      </c>
      <c r="Z379">
        <v>6</v>
      </c>
      <c r="AA379">
        <v>3</v>
      </c>
      <c r="AB379" t="s">
        <v>54</v>
      </c>
      <c r="AC379">
        <v>2</v>
      </c>
      <c r="AD379" t="str" cm="1">
        <f t="array" ref="AD379">_xlfn.IFS(AC379&lt;=5,"0-5",AC379&lt;=10,"5-10",AC379&lt;=40,"10-40")</f>
        <v>0-5</v>
      </c>
      <c r="AE379">
        <v>2</v>
      </c>
      <c r="AF379">
        <v>2</v>
      </c>
      <c r="AG379">
        <v>2</v>
      </c>
      <c r="AH379">
        <v>378</v>
      </c>
    </row>
    <row r="380" spans="1:34" x14ac:dyDescent="0.3">
      <c r="A380">
        <v>34</v>
      </c>
      <c r="B380" t="str" cm="1">
        <f t="array" ref="B380">_xlfn.IFS(A380&lt;=25,"18-25",A380&lt;=35,"26-35",A380&lt;=45,"36-45",A380&lt;=55,"46-55",A380&gt;55,"55+")</f>
        <v>26-35</v>
      </c>
      <c r="C380">
        <v>1</v>
      </c>
      <c r="D380" t="s">
        <v>66</v>
      </c>
      <c r="E380">
        <v>1362</v>
      </c>
      <c r="F380" t="s">
        <v>33</v>
      </c>
      <c r="G380">
        <v>19</v>
      </c>
      <c r="H380" t="s">
        <v>61</v>
      </c>
      <c r="I380" t="s">
        <v>72</v>
      </c>
      <c r="J380" t="s">
        <v>44</v>
      </c>
      <c r="K380" t="s">
        <v>50</v>
      </c>
      <c r="L380">
        <v>67</v>
      </c>
      <c r="M380" t="s">
        <v>41</v>
      </c>
      <c r="N380" t="s">
        <v>39</v>
      </c>
      <c r="O380" t="s">
        <v>40</v>
      </c>
      <c r="P380" t="s">
        <v>41</v>
      </c>
      <c r="Q380" t="s">
        <v>42</v>
      </c>
      <c r="R380">
        <v>5304</v>
      </c>
      <c r="S380">
        <v>4652</v>
      </c>
      <c r="T380">
        <v>8</v>
      </c>
      <c r="U380" t="s">
        <v>31</v>
      </c>
      <c r="V380">
        <v>13</v>
      </c>
      <c r="W380" t="s">
        <v>43</v>
      </c>
      <c r="X380" t="s">
        <v>36</v>
      </c>
      <c r="Y380">
        <v>0</v>
      </c>
      <c r="Z380">
        <v>9</v>
      </c>
      <c r="AA380">
        <v>3</v>
      </c>
      <c r="AB380" t="s">
        <v>60</v>
      </c>
      <c r="AC380">
        <v>5</v>
      </c>
      <c r="AD380" t="str" cm="1">
        <f t="array" ref="AD380">_xlfn.IFS(AC380&lt;=5,"0-5",AC380&lt;=10,"5-10",AC380&lt;=40,"10-40")</f>
        <v>0-5</v>
      </c>
      <c r="AE380">
        <v>2</v>
      </c>
      <c r="AF380">
        <v>0</v>
      </c>
      <c r="AG380">
        <v>4</v>
      </c>
      <c r="AH380">
        <v>379</v>
      </c>
    </row>
    <row r="381" spans="1:34" x14ac:dyDescent="0.3">
      <c r="A381">
        <v>55</v>
      </c>
      <c r="B381" t="str" cm="1">
        <f t="array" ref="B381">_xlfn.IFS(A381&lt;=25,"18-25",A381&lt;=35,"26-35",A381&lt;=45,"36-45",A381&lt;=55,"46-55",A381&gt;55,"55+")</f>
        <v>46-55</v>
      </c>
      <c r="C381">
        <v>0</v>
      </c>
      <c r="D381" t="s">
        <v>32</v>
      </c>
      <c r="E381">
        <v>1311</v>
      </c>
      <c r="F381" t="s">
        <v>48</v>
      </c>
      <c r="G381">
        <v>2</v>
      </c>
      <c r="H381" t="s">
        <v>61</v>
      </c>
      <c r="I381" t="s">
        <v>35</v>
      </c>
      <c r="J381" t="s">
        <v>38</v>
      </c>
      <c r="K381" t="s">
        <v>37</v>
      </c>
      <c r="L381">
        <v>97</v>
      </c>
      <c r="M381" t="s">
        <v>38</v>
      </c>
      <c r="N381" t="s">
        <v>67</v>
      </c>
      <c r="O381" t="s">
        <v>68</v>
      </c>
      <c r="P381" t="s">
        <v>41</v>
      </c>
      <c r="Q381" t="s">
        <v>42</v>
      </c>
      <c r="R381">
        <v>16659</v>
      </c>
      <c r="S381">
        <v>23258</v>
      </c>
      <c r="T381">
        <v>2</v>
      </c>
      <c r="U381" t="s">
        <v>31</v>
      </c>
      <c r="V381">
        <v>13</v>
      </c>
      <c r="W381" t="s">
        <v>43</v>
      </c>
      <c r="X381" t="s">
        <v>38</v>
      </c>
      <c r="Y381">
        <v>0</v>
      </c>
      <c r="Z381">
        <v>30</v>
      </c>
      <c r="AA381">
        <v>2</v>
      </c>
      <c r="AB381" t="s">
        <v>54</v>
      </c>
      <c r="AC381">
        <v>5</v>
      </c>
      <c r="AD381" t="str" cm="1">
        <f t="array" ref="AD381">_xlfn.IFS(AC381&lt;=5,"0-5",AC381&lt;=10,"5-10",AC381&lt;=40,"10-40")</f>
        <v>0-5</v>
      </c>
      <c r="AE381">
        <v>4</v>
      </c>
      <c r="AF381">
        <v>1</v>
      </c>
      <c r="AG381">
        <v>2</v>
      </c>
      <c r="AH381">
        <v>380</v>
      </c>
    </row>
    <row r="382" spans="1:34" x14ac:dyDescent="0.3">
      <c r="A382">
        <v>24</v>
      </c>
      <c r="B382" t="str" cm="1">
        <f t="array" ref="B382">_xlfn.IFS(A382&lt;=25,"18-25",A382&lt;=35,"26-35",A382&lt;=45,"36-45",A382&lt;=55,"46-55",A382&gt;55,"55+")</f>
        <v>18-25</v>
      </c>
      <c r="C382">
        <v>0</v>
      </c>
      <c r="D382" t="s">
        <v>32</v>
      </c>
      <c r="E382">
        <v>1371</v>
      </c>
      <c r="F382" t="s">
        <v>33</v>
      </c>
      <c r="G382">
        <v>10</v>
      </c>
      <c r="H382" t="s">
        <v>58</v>
      </c>
      <c r="I382" t="s">
        <v>72</v>
      </c>
      <c r="J382" t="s">
        <v>41</v>
      </c>
      <c r="K382" t="s">
        <v>37</v>
      </c>
      <c r="L382">
        <v>77</v>
      </c>
      <c r="M382" t="s">
        <v>38</v>
      </c>
      <c r="N382" t="s">
        <v>39</v>
      </c>
      <c r="O382" t="s">
        <v>40</v>
      </c>
      <c r="P382" t="s">
        <v>38</v>
      </c>
      <c r="Q382" t="s">
        <v>62</v>
      </c>
      <c r="R382">
        <v>4260</v>
      </c>
      <c r="S382">
        <v>5915</v>
      </c>
      <c r="T382">
        <v>1</v>
      </c>
      <c r="U382" t="s">
        <v>31</v>
      </c>
      <c r="V382">
        <v>12</v>
      </c>
      <c r="W382" t="s">
        <v>43</v>
      </c>
      <c r="X382" t="s">
        <v>41</v>
      </c>
      <c r="Y382">
        <v>1</v>
      </c>
      <c r="Z382">
        <v>5</v>
      </c>
      <c r="AA382">
        <v>2</v>
      </c>
      <c r="AB382" t="s">
        <v>73</v>
      </c>
      <c r="AC382">
        <v>5</v>
      </c>
      <c r="AD382" t="str" cm="1">
        <f t="array" ref="AD382">_xlfn.IFS(AC382&lt;=5,"0-5",AC382&lt;=10,"5-10",AC382&lt;=40,"10-40")</f>
        <v>0-5</v>
      </c>
      <c r="AE382">
        <v>2</v>
      </c>
      <c r="AF382">
        <v>0</v>
      </c>
      <c r="AG382">
        <v>3</v>
      </c>
      <c r="AH382">
        <v>381</v>
      </c>
    </row>
    <row r="383" spans="1:34" x14ac:dyDescent="0.3">
      <c r="A383">
        <v>30</v>
      </c>
      <c r="B383" t="str" cm="1">
        <f t="array" ref="B383">_xlfn.IFS(A383&lt;=25,"18-25",A383&lt;=35,"26-35",A383&lt;=45,"36-45",A383&lt;=55,"46-55",A383&gt;55,"55+")</f>
        <v>26-35</v>
      </c>
      <c r="C383">
        <v>0</v>
      </c>
      <c r="D383" t="s">
        <v>32</v>
      </c>
      <c r="E383">
        <v>202</v>
      </c>
      <c r="F383" t="s">
        <v>33</v>
      </c>
      <c r="G383">
        <v>2</v>
      </c>
      <c r="H383" t="s">
        <v>49</v>
      </c>
      <c r="I383" t="s">
        <v>74</v>
      </c>
      <c r="J383" t="s">
        <v>38</v>
      </c>
      <c r="K383" t="s">
        <v>50</v>
      </c>
      <c r="L383">
        <v>72</v>
      </c>
      <c r="M383" t="s">
        <v>38</v>
      </c>
      <c r="N383" t="s">
        <v>56</v>
      </c>
      <c r="O383" t="s">
        <v>69</v>
      </c>
      <c r="P383" t="s">
        <v>36</v>
      </c>
      <c r="Q383" t="s">
        <v>52</v>
      </c>
      <c r="R383">
        <v>2476</v>
      </c>
      <c r="S383">
        <v>17434</v>
      </c>
      <c r="T383">
        <v>1</v>
      </c>
      <c r="U383" t="s">
        <v>46</v>
      </c>
      <c r="V383">
        <v>18</v>
      </c>
      <c r="W383" t="s">
        <v>43</v>
      </c>
      <c r="X383" t="s">
        <v>44</v>
      </c>
      <c r="Y383">
        <v>1</v>
      </c>
      <c r="Z383">
        <v>1</v>
      </c>
      <c r="AA383">
        <v>3</v>
      </c>
      <c r="AB383" t="s">
        <v>54</v>
      </c>
      <c r="AC383">
        <v>1</v>
      </c>
      <c r="AD383" t="str" cm="1">
        <f t="array" ref="AD383">_xlfn.IFS(AC383&lt;=5,"0-5",AC383&lt;=10,"5-10",AC383&lt;=40,"10-40")</f>
        <v>0-5</v>
      </c>
      <c r="AE383">
        <v>0</v>
      </c>
      <c r="AF383">
        <v>0</v>
      </c>
      <c r="AG383">
        <v>0</v>
      </c>
      <c r="AH383">
        <v>382</v>
      </c>
    </row>
    <row r="384" spans="1:34" x14ac:dyDescent="0.3">
      <c r="A384">
        <v>26</v>
      </c>
      <c r="B384" t="str" cm="1">
        <f t="array" ref="B384">_xlfn.IFS(A384&lt;=25,"18-25",A384&lt;=35,"26-35",A384&lt;=45,"36-45",A384&lt;=55,"46-55",A384&gt;55,"55+")</f>
        <v>26-35</v>
      </c>
      <c r="C384">
        <v>1</v>
      </c>
      <c r="D384" t="s">
        <v>47</v>
      </c>
      <c r="E384">
        <v>575</v>
      </c>
      <c r="F384" t="s">
        <v>48</v>
      </c>
      <c r="G384">
        <v>3</v>
      </c>
      <c r="H384" t="s">
        <v>49</v>
      </c>
      <c r="I384" t="s">
        <v>74</v>
      </c>
      <c r="J384" t="s">
        <v>38</v>
      </c>
      <c r="K384" t="s">
        <v>50</v>
      </c>
      <c r="L384">
        <v>73</v>
      </c>
      <c r="M384" t="s">
        <v>38</v>
      </c>
      <c r="N384" t="s">
        <v>56</v>
      </c>
      <c r="O384" t="s">
        <v>51</v>
      </c>
      <c r="P384" t="s">
        <v>44</v>
      </c>
      <c r="Q384" t="s">
        <v>42</v>
      </c>
      <c r="R384">
        <v>3102</v>
      </c>
      <c r="S384">
        <v>6582</v>
      </c>
      <c r="T384">
        <v>0</v>
      </c>
      <c r="U384" t="s">
        <v>46</v>
      </c>
      <c r="V384">
        <v>22</v>
      </c>
      <c r="W384" t="s">
        <v>53</v>
      </c>
      <c r="X384" t="s">
        <v>38</v>
      </c>
      <c r="Y384">
        <v>0</v>
      </c>
      <c r="Z384">
        <v>7</v>
      </c>
      <c r="AA384">
        <v>2</v>
      </c>
      <c r="AB384" t="s">
        <v>54</v>
      </c>
      <c r="AC384">
        <v>6</v>
      </c>
      <c r="AD384" t="str" cm="1">
        <f t="array" ref="AD384">_xlfn.IFS(AC384&lt;=5,"0-5",AC384&lt;=10,"5-10",AC384&lt;=40,"10-40")</f>
        <v>5-10</v>
      </c>
      <c r="AE384">
        <v>4</v>
      </c>
      <c r="AF384">
        <v>0</v>
      </c>
      <c r="AG384">
        <v>4</v>
      </c>
      <c r="AH384">
        <v>383</v>
      </c>
    </row>
    <row r="385" spans="1:34" x14ac:dyDescent="0.3">
      <c r="A385">
        <v>22</v>
      </c>
      <c r="B385" t="str" cm="1">
        <f t="array" ref="B385">_xlfn.IFS(A385&lt;=25,"18-25",A385&lt;=35,"26-35",A385&lt;=45,"36-45",A385&lt;=55,"46-55",A385&gt;55,"55+")</f>
        <v>18-25</v>
      </c>
      <c r="C385">
        <v>0</v>
      </c>
      <c r="D385" t="s">
        <v>32</v>
      </c>
      <c r="E385">
        <v>253</v>
      </c>
      <c r="F385" t="s">
        <v>48</v>
      </c>
      <c r="G385">
        <v>11</v>
      </c>
      <c r="H385" t="s">
        <v>61</v>
      </c>
      <c r="I385" t="s">
        <v>59</v>
      </c>
      <c r="J385" t="s">
        <v>44</v>
      </c>
      <c r="K385" t="s">
        <v>37</v>
      </c>
      <c r="L385">
        <v>43</v>
      </c>
      <c r="M385" t="s">
        <v>38</v>
      </c>
      <c r="N385" t="s">
        <v>56</v>
      </c>
      <c r="O385" t="s">
        <v>51</v>
      </c>
      <c r="P385" t="s">
        <v>36</v>
      </c>
      <c r="Q385" t="s">
        <v>52</v>
      </c>
      <c r="R385">
        <v>2244</v>
      </c>
      <c r="S385">
        <v>24440</v>
      </c>
      <c r="T385">
        <v>1</v>
      </c>
      <c r="U385" t="s">
        <v>46</v>
      </c>
      <c r="V385">
        <v>13</v>
      </c>
      <c r="W385" t="s">
        <v>43</v>
      </c>
      <c r="X385" t="s">
        <v>41</v>
      </c>
      <c r="Y385">
        <v>1</v>
      </c>
      <c r="Z385">
        <v>2</v>
      </c>
      <c r="AA385">
        <v>1</v>
      </c>
      <c r="AB385" t="s">
        <v>54</v>
      </c>
      <c r="AC385">
        <v>2</v>
      </c>
      <c r="AD385" t="str" cm="1">
        <f t="array" ref="AD385">_xlfn.IFS(AC385&lt;=5,"0-5",AC385&lt;=10,"5-10",AC385&lt;=40,"10-40")</f>
        <v>0-5</v>
      </c>
      <c r="AE385">
        <v>1</v>
      </c>
      <c r="AF385">
        <v>1</v>
      </c>
      <c r="AG385">
        <v>2</v>
      </c>
      <c r="AH385">
        <v>384</v>
      </c>
    </row>
    <row r="386" spans="1:34" x14ac:dyDescent="0.3">
      <c r="A386">
        <v>36</v>
      </c>
      <c r="B386" t="str" cm="1">
        <f t="array" ref="B386">_xlfn.IFS(A386&lt;=25,"18-25",A386&lt;=35,"26-35",A386&lt;=45,"36-45",A386&lt;=55,"46-55",A386&gt;55,"55+")</f>
        <v>36-45</v>
      </c>
      <c r="C386">
        <v>0</v>
      </c>
      <c r="D386" t="s">
        <v>32</v>
      </c>
      <c r="E386">
        <v>164</v>
      </c>
      <c r="F386" t="s">
        <v>33</v>
      </c>
      <c r="G386">
        <v>2</v>
      </c>
      <c r="H386" t="s">
        <v>34</v>
      </c>
      <c r="I386" t="s">
        <v>59</v>
      </c>
      <c r="J386" t="s">
        <v>36</v>
      </c>
      <c r="K386" t="s">
        <v>50</v>
      </c>
      <c r="L386">
        <v>61</v>
      </c>
      <c r="M386" t="s">
        <v>36</v>
      </c>
      <c r="N386" t="s">
        <v>63</v>
      </c>
      <c r="O386" t="s">
        <v>40</v>
      </c>
      <c r="P386" t="s">
        <v>38</v>
      </c>
      <c r="Q386" t="s">
        <v>52</v>
      </c>
      <c r="R386">
        <v>7596</v>
      </c>
      <c r="S386">
        <v>3809</v>
      </c>
      <c r="T386">
        <v>1</v>
      </c>
      <c r="U386" t="s">
        <v>46</v>
      </c>
      <c r="V386">
        <v>13</v>
      </c>
      <c r="W386" t="s">
        <v>43</v>
      </c>
      <c r="X386" t="s">
        <v>36</v>
      </c>
      <c r="Y386">
        <v>2</v>
      </c>
      <c r="Z386">
        <v>10</v>
      </c>
      <c r="AA386">
        <v>2</v>
      </c>
      <c r="AB386" t="s">
        <v>54</v>
      </c>
      <c r="AC386">
        <v>10</v>
      </c>
      <c r="AD386" t="str" cm="1">
        <f t="array" ref="AD386">_xlfn.IFS(AC386&lt;=5,"0-5",AC386&lt;=10,"5-10",AC386&lt;=40,"10-40")</f>
        <v>5-10</v>
      </c>
      <c r="AE386">
        <v>9</v>
      </c>
      <c r="AF386">
        <v>9</v>
      </c>
      <c r="AG386">
        <v>0</v>
      </c>
      <c r="AH386">
        <v>385</v>
      </c>
    </row>
    <row r="387" spans="1:34" x14ac:dyDescent="0.3">
      <c r="A387">
        <v>30</v>
      </c>
      <c r="B387" t="str" cm="1">
        <f t="array" ref="B387">_xlfn.IFS(A387&lt;=25,"18-25",A387&lt;=35,"26-35",A387&lt;=45,"36-45",A387&lt;=55,"46-55",A387&gt;55,"55+")</f>
        <v>26-35</v>
      </c>
      <c r="C387">
        <v>1</v>
      </c>
      <c r="D387" t="s">
        <v>47</v>
      </c>
      <c r="E387">
        <v>464</v>
      </c>
      <c r="F387" t="s">
        <v>48</v>
      </c>
      <c r="G387">
        <v>4</v>
      </c>
      <c r="H387" t="s">
        <v>61</v>
      </c>
      <c r="I387" t="s">
        <v>74</v>
      </c>
      <c r="J387" t="s">
        <v>38</v>
      </c>
      <c r="K387" t="s">
        <v>50</v>
      </c>
      <c r="L387">
        <v>40</v>
      </c>
      <c r="M387" t="s">
        <v>38</v>
      </c>
      <c r="N387" t="s">
        <v>56</v>
      </c>
      <c r="O387" t="s">
        <v>51</v>
      </c>
      <c r="P387" t="s">
        <v>41</v>
      </c>
      <c r="Q387" t="s">
        <v>42</v>
      </c>
      <c r="R387">
        <v>2285</v>
      </c>
      <c r="S387">
        <v>3427</v>
      </c>
      <c r="T387">
        <v>9</v>
      </c>
      <c r="U387" t="s">
        <v>31</v>
      </c>
      <c r="V387">
        <v>23</v>
      </c>
      <c r="W387" t="s">
        <v>53</v>
      </c>
      <c r="X387" t="s">
        <v>38</v>
      </c>
      <c r="Y387">
        <v>0</v>
      </c>
      <c r="Z387">
        <v>3</v>
      </c>
      <c r="AA387">
        <v>4</v>
      </c>
      <c r="AB387" t="s">
        <v>54</v>
      </c>
      <c r="AC387">
        <v>1</v>
      </c>
      <c r="AD387" t="str" cm="1">
        <f t="array" ref="AD387">_xlfn.IFS(AC387&lt;=5,"0-5",AC387&lt;=10,"5-10",AC387&lt;=40,"10-40")</f>
        <v>0-5</v>
      </c>
      <c r="AE387">
        <v>0</v>
      </c>
      <c r="AF387">
        <v>0</v>
      </c>
      <c r="AG387">
        <v>0</v>
      </c>
      <c r="AH387">
        <v>386</v>
      </c>
    </row>
    <row r="388" spans="1:34" x14ac:dyDescent="0.3">
      <c r="A388">
        <v>37</v>
      </c>
      <c r="B388" t="str" cm="1">
        <f t="array" ref="B388">_xlfn.IFS(A388&lt;=25,"18-25",A388&lt;=35,"26-35",A388&lt;=45,"36-45",A388&lt;=55,"46-55",A388&gt;55,"55+")</f>
        <v>36-45</v>
      </c>
      <c r="C388">
        <v>0</v>
      </c>
      <c r="D388" t="s">
        <v>32</v>
      </c>
      <c r="E388">
        <v>1107</v>
      </c>
      <c r="F388" t="s">
        <v>48</v>
      </c>
      <c r="G388">
        <v>14</v>
      </c>
      <c r="H388" t="s">
        <v>61</v>
      </c>
      <c r="I388" t="s">
        <v>35</v>
      </c>
      <c r="J388" t="s">
        <v>41</v>
      </c>
      <c r="K388" t="s">
        <v>37</v>
      </c>
      <c r="L388">
        <v>95</v>
      </c>
      <c r="M388" t="s">
        <v>38</v>
      </c>
      <c r="N388" t="s">
        <v>56</v>
      </c>
      <c r="O388" t="s">
        <v>57</v>
      </c>
      <c r="P388" t="s">
        <v>44</v>
      </c>
      <c r="Q388" t="s">
        <v>62</v>
      </c>
      <c r="R388">
        <v>3034</v>
      </c>
      <c r="S388">
        <v>26914</v>
      </c>
      <c r="T388">
        <v>1</v>
      </c>
      <c r="U388" t="s">
        <v>46</v>
      </c>
      <c r="V388">
        <v>12</v>
      </c>
      <c r="W388" t="s">
        <v>43</v>
      </c>
      <c r="X388" t="s">
        <v>38</v>
      </c>
      <c r="Y388">
        <v>1</v>
      </c>
      <c r="Z388">
        <v>18</v>
      </c>
      <c r="AA388">
        <v>2</v>
      </c>
      <c r="AB388" t="s">
        <v>60</v>
      </c>
      <c r="AC388">
        <v>18</v>
      </c>
      <c r="AD388" t="str" cm="1">
        <f t="array" ref="AD388">_xlfn.IFS(AC388&lt;=5,"0-5",AC388&lt;=10,"5-10",AC388&lt;=40,"10-40")</f>
        <v>10-40</v>
      </c>
      <c r="AE388">
        <v>7</v>
      </c>
      <c r="AF388">
        <v>12</v>
      </c>
      <c r="AG388">
        <v>17</v>
      </c>
      <c r="AH388">
        <v>387</v>
      </c>
    </row>
    <row r="389" spans="1:34" x14ac:dyDescent="0.3">
      <c r="A389">
        <v>40</v>
      </c>
      <c r="B389" t="str" cm="1">
        <f t="array" ref="B389">_xlfn.IFS(A389&lt;=25,"18-25",A389&lt;=35,"26-35",A389&lt;=45,"36-45",A389&lt;=55,"46-55",A389&gt;55,"55+")</f>
        <v>36-45</v>
      </c>
      <c r="C389">
        <v>0</v>
      </c>
      <c r="D389" t="s">
        <v>32</v>
      </c>
      <c r="E389">
        <v>759</v>
      </c>
      <c r="F389" t="s">
        <v>33</v>
      </c>
      <c r="G389">
        <v>2</v>
      </c>
      <c r="H389" t="s">
        <v>34</v>
      </c>
      <c r="I389" t="s">
        <v>72</v>
      </c>
      <c r="J389" t="s">
        <v>41</v>
      </c>
      <c r="K389" t="s">
        <v>37</v>
      </c>
      <c r="L389">
        <v>46</v>
      </c>
      <c r="M389" t="s">
        <v>38</v>
      </c>
      <c r="N389" t="s">
        <v>39</v>
      </c>
      <c r="O389" t="s">
        <v>40</v>
      </c>
      <c r="P389" t="s">
        <v>36</v>
      </c>
      <c r="Q389" t="s">
        <v>62</v>
      </c>
      <c r="R389">
        <v>5715</v>
      </c>
      <c r="S389">
        <v>22553</v>
      </c>
      <c r="T389">
        <v>7</v>
      </c>
      <c r="U389" t="s">
        <v>46</v>
      </c>
      <c r="V389">
        <v>12</v>
      </c>
      <c r="W389" t="s">
        <v>43</v>
      </c>
      <c r="X389" t="s">
        <v>38</v>
      </c>
      <c r="Y389">
        <v>2</v>
      </c>
      <c r="Z389">
        <v>8</v>
      </c>
      <c r="AA389">
        <v>5</v>
      </c>
      <c r="AB389" t="s">
        <v>54</v>
      </c>
      <c r="AC389">
        <v>5</v>
      </c>
      <c r="AD389" t="str" cm="1">
        <f t="array" ref="AD389">_xlfn.IFS(AC389&lt;=5,"0-5",AC389&lt;=10,"5-10",AC389&lt;=40,"10-40")</f>
        <v>0-5</v>
      </c>
      <c r="AE389">
        <v>4</v>
      </c>
      <c r="AF389">
        <v>1</v>
      </c>
      <c r="AG389">
        <v>3</v>
      </c>
      <c r="AH389">
        <v>388</v>
      </c>
    </row>
    <row r="390" spans="1:34" x14ac:dyDescent="0.3">
      <c r="A390">
        <v>42</v>
      </c>
      <c r="B390" t="str" cm="1">
        <f t="array" ref="B390">_xlfn.IFS(A390&lt;=25,"18-25",A390&lt;=35,"26-35",A390&lt;=45,"36-45",A390&lt;=55,"46-55",A390&gt;55,"55+")</f>
        <v>36-45</v>
      </c>
      <c r="C390">
        <v>0</v>
      </c>
      <c r="D390" t="s">
        <v>32</v>
      </c>
      <c r="E390">
        <v>201</v>
      </c>
      <c r="F390" t="s">
        <v>48</v>
      </c>
      <c r="G390">
        <v>1</v>
      </c>
      <c r="H390" t="s">
        <v>58</v>
      </c>
      <c r="I390" t="s">
        <v>35</v>
      </c>
      <c r="J390" t="s">
        <v>36</v>
      </c>
      <c r="K390" t="s">
        <v>37</v>
      </c>
      <c r="L390">
        <v>95</v>
      </c>
      <c r="M390" t="s">
        <v>38</v>
      </c>
      <c r="N390" t="s">
        <v>56</v>
      </c>
      <c r="O390" t="s">
        <v>57</v>
      </c>
      <c r="P390" t="s">
        <v>44</v>
      </c>
      <c r="Q390" t="s">
        <v>62</v>
      </c>
      <c r="R390">
        <v>2576</v>
      </c>
      <c r="S390">
        <v>20490</v>
      </c>
      <c r="T390">
        <v>3</v>
      </c>
      <c r="U390" t="s">
        <v>46</v>
      </c>
      <c r="V390">
        <v>16</v>
      </c>
      <c r="W390" t="s">
        <v>43</v>
      </c>
      <c r="X390" t="s">
        <v>36</v>
      </c>
      <c r="Y390">
        <v>1</v>
      </c>
      <c r="Z390">
        <v>8</v>
      </c>
      <c r="AA390">
        <v>5</v>
      </c>
      <c r="AB390" t="s">
        <v>54</v>
      </c>
      <c r="AC390">
        <v>5</v>
      </c>
      <c r="AD390" t="str" cm="1">
        <f t="array" ref="AD390">_xlfn.IFS(AC390&lt;=5,"0-5",AC390&lt;=10,"5-10",AC390&lt;=40,"10-40")</f>
        <v>0-5</v>
      </c>
      <c r="AE390">
        <v>2</v>
      </c>
      <c r="AF390">
        <v>1</v>
      </c>
      <c r="AG390">
        <v>2</v>
      </c>
      <c r="AH390">
        <v>389</v>
      </c>
    </row>
    <row r="391" spans="1:34" x14ac:dyDescent="0.3">
      <c r="A391">
        <v>37</v>
      </c>
      <c r="B391" t="str" cm="1">
        <f t="array" ref="B391">_xlfn.IFS(A391&lt;=25,"18-25",A391&lt;=35,"26-35",A391&lt;=45,"36-45",A391&lt;=55,"46-55",A391&gt;55,"55+")</f>
        <v>36-45</v>
      </c>
      <c r="C391">
        <v>0</v>
      </c>
      <c r="D391" t="s">
        <v>32</v>
      </c>
      <c r="E391">
        <v>1305</v>
      </c>
      <c r="F391" t="s">
        <v>48</v>
      </c>
      <c r="G391">
        <v>10</v>
      </c>
      <c r="H391" t="s">
        <v>58</v>
      </c>
      <c r="I391" t="s">
        <v>35</v>
      </c>
      <c r="J391" t="s">
        <v>38</v>
      </c>
      <c r="K391" t="s">
        <v>50</v>
      </c>
      <c r="L391">
        <v>49</v>
      </c>
      <c r="M391" t="s">
        <v>38</v>
      </c>
      <c r="N391" t="s">
        <v>39</v>
      </c>
      <c r="O391" t="s">
        <v>64</v>
      </c>
      <c r="P391" t="s">
        <v>36</v>
      </c>
      <c r="Q391" t="s">
        <v>42</v>
      </c>
      <c r="R391">
        <v>4197</v>
      </c>
      <c r="S391">
        <v>21123</v>
      </c>
      <c r="T391">
        <v>2</v>
      </c>
      <c r="U391" t="s">
        <v>31</v>
      </c>
      <c r="V391">
        <v>12</v>
      </c>
      <c r="W391" t="s">
        <v>43</v>
      </c>
      <c r="X391" t="s">
        <v>41</v>
      </c>
      <c r="Y391">
        <v>0</v>
      </c>
      <c r="Z391">
        <v>18</v>
      </c>
      <c r="AA391">
        <v>2</v>
      </c>
      <c r="AB391" t="s">
        <v>60</v>
      </c>
      <c r="AC391">
        <v>1</v>
      </c>
      <c r="AD391" t="str" cm="1">
        <f t="array" ref="AD391">_xlfn.IFS(AC391&lt;=5,"0-5",AC391&lt;=10,"5-10",AC391&lt;=40,"10-40")</f>
        <v>0-5</v>
      </c>
      <c r="AE391">
        <v>0</v>
      </c>
      <c r="AF391">
        <v>0</v>
      </c>
      <c r="AG391">
        <v>1</v>
      </c>
      <c r="AH391">
        <v>390</v>
      </c>
    </row>
    <row r="392" spans="1:34" x14ac:dyDescent="0.3">
      <c r="A392">
        <v>43</v>
      </c>
      <c r="B392" t="str" cm="1">
        <f t="array" ref="B392">_xlfn.IFS(A392&lt;=25,"18-25",A392&lt;=35,"26-35",A392&lt;=45,"36-45",A392&lt;=55,"46-55",A392&gt;55,"55+")</f>
        <v>36-45</v>
      </c>
      <c r="C392">
        <v>0</v>
      </c>
      <c r="D392" t="s">
        <v>32</v>
      </c>
      <c r="E392">
        <v>982</v>
      </c>
      <c r="F392" t="s">
        <v>48</v>
      </c>
      <c r="G392">
        <v>12</v>
      </c>
      <c r="H392" t="s">
        <v>61</v>
      </c>
      <c r="I392" t="s">
        <v>35</v>
      </c>
      <c r="J392" t="s">
        <v>44</v>
      </c>
      <c r="K392" t="s">
        <v>50</v>
      </c>
      <c r="L392">
        <v>59</v>
      </c>
      <c r="M392" t="s">
        <v>36</v>
      </c>
      <c r="N392" t="s">
        <v>67</v>
      </c>
      <c r="O392" t="s">
        <v>70</v>
      </c>
      <c r="P392" t="s">
        <v>36</v>
      </c>
      <c r="Q392" t="s">
        <v>62</v>
      </c>
      <c r="R392">
        <v>14336</v>
      </c>
      <c r="S392">
        <v>4345</v>
      </c>
      <c r="T392">
        <v>1</v>
      </c>
      <c r="U392" t="s">
        <v>46</v>
      </c>
      <c r="V392">
        <v>11</v>
      </c>
      <c r="W392" t="s">
        <v>43</v>
      </c>
      <c r="X392" t="s">
        <v>38</v>
      </c>
      <c r="Y392">
        <v>1</v>
      </c>
      <c r="Z392">
        <v>25</v>
      </c>
      <c r="AA392">
        <v>3</v>
      </c>
      <c r="AB392" t="s">
        <v>54</v>
      </c>
      <c r="AC392">
        <v>25</v>
      </c>
      <c r="AD392" t="str" cm="1">
        <f t="array" ref="AD392">_xlfn.IFS(AC392&lt;=5,"0-5",AC392&lt;=10,"5-10",AC392&lt;=40,"10-40")</f>
        <v>10-40</v>
      </c>
      <c r="AE392">
        <v>10</v>
      </c>
      <c r="AF392">
        <v>3</v>
      </c>
      <c r="AG392">
        <v>9</v>
      </c>
      <c r="AH392">
        <v>391</v>
      </c>
    </row>
    <row r="393" spans="1:34" x14ac:dyDescent="0.3">
      <c r="A393">
        <v>40</v>
      </c>
      <c r="B393" t="str" cm="1">
        <f t="array" ref="B393">_xlfn.IFS(A393&lt;=25,"18-25",A393&lt;=35,"26-35",A393&lt;=45,"36-45",A393&lt;=55,"46-55",A393&gt;55,"55+")</f>
        <v>36-45</v>
      </c>
      <c r="C393">
        <v>0</v>
      </c>
      <c r="D393" t="s">
        <v>32</v>
      </c>
      <c r="E393">
        <v>555</v>
      </c>
      <c r="F393" t="s">
        <v>48</v>
      </c>
      <c r="G393">
        <v>2</v>
      </c>
      <c r="H393" t="s">
        <v>61</v>
      </c>
      <c r="I393" t="s">
        <v>59</v>
      </c>
      <c r="J393" t="s">
        <v>36</v>
      </c>
      <c r="K393" t="s">
        <v>37</v>
      </c>
      <c r="L393">
        <v>78</v>
      </c>
      <c r="M393" t="s">
        <v>36</v>
      </c>
      <c r="N393" t="s">
        <v>39</v>
      </c>
      <c r="O393" t="s">
        <v>57</v>
      </c>
      <c r="P393" t="s">
        <v>38</v>
      </c>
      <c r="Q393" t="s">
        <v>52</v>
      </c>
      <c r="R393">
        <v>3448</v>
      </c>
      <c r="S393">
        <v>13436</v>
      </c>
      <c r="T393">
        <v>6</v>
      </c>
      <c r="U393" t="s">
        <v>46</v>
      </c>
      <c r="V393">
        <v>22</v>
      </c>
      <c r="W393" t="s">
        <v>53</v>
      </c>
      <c r="X393" t="s">
        <v>36</v>
      </c>
      <c r="Y393">
        <v>1</v>
      </c>
      <c r="Z393">
        <v>20</v>
      </c>
      <c r="AA393">
        <v>3</v>
      </c>
      <c r="AB393" t="s">
        <v>54</v>
      </c>
      <c r="AC393">
        <v>1</v>
      </c>
      <c r="AD393" t="str" cm="1">
        <f t="array" ref="AD393">_xlfn.IFS(AC393&lt;=5,"0-5",AC393&lt;=10,"5-10",AC393&lt;=40,"10-40")</f>
        <v>0-5</v>
      </c>
      <c r="AE393">
        <v>0</v>
      </c>
      <c r="AF393">
        <v>0</v>
      </c>
      <c r="AG393">
        <v>0</v>
      </c>
      <c r="AH393">
        <v>392</v>
      </c>
    </row>
    <row r="394" spans="1:34" x14ac:dyDescent="0.3">
      <c r="A394">
        <v>54</v>
      </c>
      <c r="B394" t="str" cm="1">
        <f t="array" ref="B394">_xlfn.IFS(A394&lt;=25,"18-25",A394&lt;=35,"26-35",A394&lt;=45,"36-45",A394&lt;=55,"46-55",A394&gt;55,"55+")</f>
        <v>46-55</v>
      </c>
      <c r="C394">
        <v>0</v>
      </c>
      <c r="D394" t="s">
        <v>32</v>
      </c>
      <c r="E394">
        <v>821</v>
      </c>
      <c r="F394" t="s">
        <v>48</v>
      </c>
      <c r="G394">
        <v>5</v>
      </c>
      <c r="H394" t="s">
        <v>34</v>
      </c>
      <c r="I394" t="s">
        <v>59</v>
      </c>
      <c r="J394" t="s">
        <v>44</v>
      </c>
      <c r="K394" t="s">
        <v>50</v>
      </c>
      <c r="L394">
        <v>86</v>
      </c>
      <c r="M394" t="s">
        <v>38</v>
      </c>
      <c r="N394" t="s">
        <v>71</v>
      </c>
      <c r="O394" t="s">
        <v>70</v>
      </c>
      <c r="P394" t="s">
        <v>44</v>
      </c>
      <c r="Q394" t="s">
        <v>52</v>
      </c>
      <c r="R394">
        <v>19406</v>
      </c>
      <c r="S394">
        <v>8509</v>
      </c>
      <c r="T394">
        <v>4</v>
      </c>
      <c r="U394" t="s">
        <v>46</v>
      </c>
      <c r="V394">
        <v>11</v>
      </c>
      <c r="W394" t="s">
        <v>43</v>
      </c>
      <c r="X394" t="s">
        <v>38</v>
      </c>
      <c r="Y394">
        <v>1</v>
      </c>
      <c r="Z394">
        <v>24</v>
      </c>
      <c r="AA394">
        <v>4</v>
      </c>
      <c r="AB394" t="s">
        <v>60</v>
      </c>
      <c r="AC394">
        <v>4</v>
      </c>
      <c r="AD394" t="str" cm="1">
        <f t="array" ref="AD394">_xlfn.IFS(AC394&lt;=5,"0-5",AC394&lt;=10,"5-10",AC394&lt;=40,"10-40")</f>
        <v>0-5</v>
      </c>
      <c r="AE394">
        <v>2</v>
      </c>
      <c r="AF394">
        <v>1</v>
      </c>
      <c r="AG394">
        <v>2</v>
      </c>
      <c r="AH394">
        <v>393</v>
      </c>
    </row>
    <row r="395" spans="1:34" x14ac:dyDescent="0.3">
      <c r="A395">
        <v>34</v>
      </c>
      <c r="B395" t="str" cm="1">
        <f t="array" ref="B395">_xlfn.IFS(A395&lt;=25,"18-25",A395&lt;=35,"26-35",A395&lt;=45,"36-45",A395&lt;=55,"46-55",A395&gt;55,"55+")</f>
        <v>26-35</v>
      </c>
      <c r="C395">
        <v>0</v>
      </c>
      <c r="D395" t="s">
        <v>66</v>
      </c>
      <c r="E395">
        <v>1381</v>
      </c>
      <c r="F395" t="s">
        <v>33</v>
      </c>
      <c r="G395">
        <v>4</v>
      </c>
      <c r="H395" t="s">
        <v>58</v>
      </c>
      <c r="I395" t="s">
        <v>72</v>
      </c>
      <c r="J395" t="s">
        <v>38</v>
      </c>
      <c r="K395" t="s">
        <v>37</v>
      </c>
      <c r="L395">
        <v>72</v>
      </c>
      <c r="M395" t="s">
        <v>38</v>
      </c>
      <c r="N395" t="s">
        <v>39</v>
      </c>
      <c r="O395" t="s">
        <v>40</v>
      </c>
      <c r="P395" t="s">
        <v>38</v>
      </c>
      <c r="Q395" t="s">
        <v>52</v>
      </c>
      <c r="R395">
        <v>6538</v>
      </c>
      <c r="S395">
        <v>12740</v>
      </c>
      <c r="T395">
        <v>9</v>
      </c>
      <c r="U395" t="s">
        <v>46</v>
      </c>
      <c r="V395">
        <v>15</v>
      </c>
      <c r="W395" t="s">
        <v>43</v>
      </c>
      <c r="X395" t="s">
        <v>44</v>
      </c>
      <c r="Y395">
        <v>1</v>
      </c>
      <c r="Z395">
        <v>6</v>
      </c>
      <c r="AA395">
        <v>3</v>
      </c>
      <c r="AB395" t="s">
        <v>54</v>
      </c>
      <c r="AC395">
        <v>3</v>
      </c>
      <c r="AD395" t="str" cm="1">
        <f t="array" ref="AD395">_xlfn.IFS(AC395&lt;=5,"0-5",AC395&lt;=10,"5-10",AC395&lt;=40,"10-40")</f>
        <v>0-5</v>
      </c>
      <c r="AE395">
        <v>2</v>
      </c>
      <c r="AF395">
        <v>1</v>
      </c>
      <c r="AG395">
        <v>2</v>
      </c>
      <c r="AH395">
        <v>394</v>
      </c>
    </row>
    <row r="396" spans="1:34" x14ac:dyDescent="0.3">
      <c r="A396">
        <v>31</v>
      </c>
      <c r="B396" t="str" cm="1">
        <f t="array" ref="B396">_xlfn.IFS(A396&lt;=25,"18-25",A396&lt;=35,"26-35",A396&lt;=45,"36-45",A396&lt;=55,"46-55",A396&gt;55,"55+")</f>
        <v>26-35</v>
      </c>
      <c r="C396">
        <v>0</v>
      </c>
      <c r="D396" t="s">
        <v>32</v>
      </c>
      <c r="E396">
        <v>480</v>
      </c>
      <c r="F396" t="s">
        <v>48</v>
      </c>
      <c r="G396">
        <v>7</v>
      </c>
      <c r="H396" t="s">
        <v>34</v>
      </c>
      <c r="I396" t="s">
        <v>59</v>
      </c>
      <c r="J396" t="s">
        <v>36</v>
      </c>
      <c r="K396" t="s">
        <v>37</v>
      </c>
      <c r="L396">
        <v>31</v>
      </c>
      <c r="M396" t="s">
        <v>38</v>
      </c>
      <c r="N396" t="s">
        <v>39</v>
      </c>
      <c r="O396" t="s">
        <v>64</v>
      </c>
      <c r="P396" t="s">
        <v>44</v>
      </c>
      <c r="Q396" t="s">
        <v>52</v>
      </c>
      <c r="R396">
        <v>4306</v>
      </c>
      <c r="S396">
        <v>4156</v>
      </c>
      <c r="T396">
        <v>1</v>
      </c>
      <c r="U396" t="s">
        <v>46</v>
      </c>
      <c r="V396">
        <v>12</v>
      </c>
      <c r="W396" t="s">
        <v>43</v>
      </c>
      <c r="X396" t="s">
        <v>36</v>
      </c>
      <c r="Y396">
        <v>1</v>
      </c>
      <c r="Z396">
        <v>13</v>
      </c>
      <c r="AA396">
        <v>5</v>
      </c>
      <c r="AB396" t="s">
        <v>45</v>
      </c>
      <c r="AC396">
        <v>13</v>
      </c>
      <c r="AD396" t="str" cm="1">
        <f t="array" ref="AD396">_xlfn.IFS(AC396&lt;=5,"0-5",AC396&lt;=10,"5-10",AC396&lt;=40,"10-40")</f>
        <v>10-40</v>
      </c>
      <c r="AE396">
        <v>10</v>
      </c>
      <c r="AF396">
        <v>3</v>
      </c>
      <c r="AG396">
        <v>12</v>
      </c>
      <c r="AH396">
        <v>395</v>
      </c>
    </row>
    <row r="397" spans="1:34" x14ac:dyDescent="0.3">
      <c r="A397">
        <v>43</v>
      </c>
      <c r="B397" t="str" cm="1">
        <f t="array" ref="B397">_xlfn.IFS(A397&lt;=25,"18-25",A397&lt;=35,"26-35",A397&lt;=45,"36-45",A397&lt;=55,"46-55",A397&gt;55,"55+")</f>
        <v>36-45</v>
      </c>
      <c r="C397">
        <v>0</v>
      </c>
      <c r="D397" t="s">
        <v>47</v>
      </c>
      <c r="E397">
        <v>313</v>
      </c>
      <c r="F397" t="s">
        <v>48</v>
      </c>
      <c r="G397">
        <v>21</v>
      </c>
      <c r="H397" t="s">
        <v>61</v>
      </c>
      <c r="I397" t="s">
        <v>59</v>
      </c>
      <c r="J397" t="s">
        <v>41</v>
      </c>
      <c r="K397" t="s">
        <v>50</v>
      </c>
      <c r="L397">
        <v>61</v>
      </c>
      <c r="M397" t="s">
        <v>38</v>
      </c>
      <c r="N397" t="s">
        <v>56</v>
      </c>
      <c r="O397" t="s">
        <v>57</v>
      </c>
      <c r="P397" t="s">
        <v>41</v>
      </c>
      <c r="Q397" t="s">
        <v>52</v>
      </c>
      <c r="R397">
        <v>2258</v>
      </c>
      <c r="S397">
        <v>15238</v>
      </c>
      <c r="T397">
        <v>7</v>
      </c>
      <c r="U397" t="s">
        <v>46</v>
      </c>
      <c r="V397">
        <v>20</v>
      </c>
      <c r="W397" t="s">
        <v>53</v>
      </c>
      <c r="X397" t="s">
        <v>44</v>
      </c>
      <c r="Y397">
        <v>1</v>
      </c>
      <c r="Z397">
        <v>8</v>
      </c>
      <c r="AA397">
        <v>1</v>
      </c>
      <c r="AB397" t="s">
        <v>54</v>
      </c>
      <c r="AC397">
        <v>3</v>
      </c>
      <c r="AD397" t="str" cm="1">
        <f t="array" ref="AD397">_xlfn.IFS(AC397&lt;=5,"0-5",AC397&lt;=10,"5-10",AC397&lt;=40,"10-40")</f>
        <v>0-5</v>
      </c>
      <c r="AE397">
        <v>2</v>
      </c>
      <c r="AF397">
        <v>1</v>
      </c>
      <c r="AG397">
        <v>2</v>
      </c>
      <c r="AH397">
        <v>396</v>
      </c>
    </row>
    <row r="398" spans="1:34" x14ac:dyDescent="0.3">
      <c r="A398">
        <v>43</v>
      </c>
      <c r="B398" t="str" cm="1">
        <f t="array" ref="B398">_xlfn.IFS(A398&lt;=25,"18-25",A398&lt;=35,"26-35",A398&lt;=45,"36-45",A398&lt;=55,"46-55",A398&gt;55,"55+")</f>
        <v>36-45</v>
      </c>
      <c r="C398">
        <v>0</v>
      </c>
      <c r="D398" t="s">
        <v>32</v>
      </c>
      <c r="E398">
        <v>1473</v>
      </c>
      <c r="F398" t="s">
        <v>48</v>
      </c>
      <c r="G398">
        <v>8</v>
      </c>
      <c r="H398" t="s">
        <v>58</v>
      </c>
      <c r="I398" t="s">
        <v>55</v>
      </c>
      <c r="J398" t="s">
        <v>38</v>
      </c>
      <c r="K398" t="s">
        <v>37</v>
      </c>
      <c r="L398">
        <v>74</v>
      </c>
      <c r="M398" t="s">
        <v>38</v>
      </c>
      <c r="N398" t="s">
        <v>39</v>
      </c>
      <c r="O398" t="s">
        <v>65</v>
      </c>
      <c r="P398" t="s">
        <v>38</v>
      </c>
      <c r="Q398" t="s">
        <v>62</v>
      </c>
      <c r="R398">
        <v>4522</v>
      </c>
      <c r="S398">
        <v>2227</v>
      </c>
      <c r="T398">
        <v>4</v>
      </c>
      <c r="U398" t="s">
        <v>31</v>
      </c>
      <c r="V398">
        <v>14</v>
      </c>
      <c r="W398" t="s">
        <v>43</v>
      </c>
      <c r="X398" t="s">
        <v>41</v>
      </c>
      <c r="Y398">
        <v>0</v>
      </c>
      <c r="Z398">
        <v>8</v>
      </c>
      <c r="AA398">
        <v>3</v>
      </c>
      <c r="AB398" t="s">
        <v>54</v>
      </c>
      <c r="AC398">
        <v>5</v>
      </c>
      <c r="AD398" t="str" cm="1">
        <f t="array" ref="AD398">_xlfn.IFS(AC398&lt;=5,"0-5",AC398&lt;=10,"5-10",AC398&lt;=40,"10-40")</f>
        <v>0-5</v>
      </c>
      <c r="AE398">
        <v>2</v>
      </c>
      <c r="AF398">
        <v>0</v>
      </c>
      <c r="AG398">
        <v>2</v>
      </c>
      <c r="AH398">
        <v>397</v>
      </c>
    </row>
    <row r="399" spans="1:34" x14ac:dyDescent="0.3">
      <c r="A399">
        <v>25</v>
      </c>
      <c r="B399" t="str" cm="1">
        <f t="array" ref="B399">_xlfn.IFS(A399&lt;=25,"18-25",A399&lt;=35,"26-35",A399&lt;=45,"36-45",A399&lt;=55,"46-55",A399&gt;55,"55+")</f>
        <v>18-25</v>
      </c>
      <c r="C399">
        <v>0</v>
      </c>
      <c r="D399" t="s">
        <v>32</v>
      </c>
      <c r="E399">
        <v>891</v>
      </c>
      <c r="F399" t="s">
        <v>33</v>
      </c>
      <c r="G399">
        <v>4</v>
      </c>
      <c r="H399" t="s">
        <v>34</v>
      </c>
      <c r="I399" t="s">
        <v>35</v>
      </c>
      <c r="J399" t="s">
        <v>36</v>
      </c>
      <c r="K399" t="s">
        <v>37</v>
      </c>
      <c r="L399">
        <v>99</v>
      </c>
      <c r="M399" t="s">
        <v>36</v>
      </c>
      <c r="N399" t="s">
        <v>39</v>
      </c>
      <c r="O399" t="s">
        <v>40</v>
      </c>
      <c r="P399" t="s">
        <v>41</v>
      </c>
      <c r="Q399" t="s">
        <v>42</v>
      </c>
      <c r="R399">
        <v>4487</v>
      </c>
      <c r="S399">
        <v>12090</v>
      </c>
      <c r="T399">
        <v>1</v>
      </c>
      <c r="U399" t="s">
        <v>31</v>
      </c>
      <c r="V399">
        <v>11</v>
      </c>
      <c r="W399" t="s">
        <v>43</v>
      </c>
      <c r="X399" t="s">
        <v>36</v>
      </c>
      <c r="Y399">
        <v>0</v>
      </c>
      <c r="Z399">
        <v>5</v>
      </c>
      <c r="AA399">
        <v>3</v>
      </c>
      <c r="AB399" t="s">
        <v>54</v>
      </c>
      <c r="AC399">
        <v>5</v>
      </c>
      <c r="AD399" t="str" cm="1">
        <f t="array" ref="AD399">_xlfn.IFS(AC399&lt;=5,"0-5",AC399&lt;=10,"5-10",AC399&lt;=40,"10-40")</f>
        <v>0-5</v>
      </c>
      <c r="AE399">
        <v>4</v>
      </c>
      <c r="AF399">
        <v>1</v>
      </c>
      <c r="AG399">
        <v>3</v>
      </c>
      <c r="AH399">
        <v>398</v>
      </c>
    </row>
    <row r="400" spans="1:34" x14ac:dyDescent="0.3">
      <c r="A400">
        <v>37</v>
      </c>
      <c r="B400" t="str" cm="1">
        <f t="array" ref="B400">_xlfn.IFS(A400&lt;=25,"18-25",A400&lt;=35,"26-35",A400&lt;=45,"36-45",A400&lt;=55,"46-55",A400&gt;55,"55+")</f>
        <v>36-45</v>
      </c>
      <c r="C400">
        <v>0</v>
      </c>
      <c r="D400" t="s">
        <v>66</v>
      </c>
      <c r="E400">
        <v>1063</v>
      </c>
      <c r="F400" t="s">
        <v>48</v>
      </c>
      <c r="G400">
        <v>25</v>
      </c>
      <c r="H400" t="s">
        <v>75</v>
      </c>
      <c r="I400" t="s">
        <v>59</v>
      </c>
      <c r="J400" t="s">
        <v>36</v>
      </c>
      <c r="K400" t="s">
        <v>37</v>
      </c>
      <c r="L400">
        <v>72</v>
      </c>
      <c r="M400" t="s">
        <v>38</v>
      </c>
      <c r="N400" t="s">
        <v>39</v>
      </c>
      <c r="O400" t="s">
        <v>51</v>
      </c>
      <c r="P400" t="s">
        <v>38</v>
      </c>
      <c r="Q400" t="s">
        <v>52</v>
      </c>
      <c r="R400">
        <v>4449</v>
      </c>
      <c r="S400">
        <v>23866</v>
      </c>
      <c r="T400">
        <v>3</v>
      </c>
      <c r="U400" t="s">
        <v>31</v>
      </c>
      <c r="V400">
        <v>15</v>
      </c>
      <c r="W400" t="s">
        <v>43</v>
      </c>
      <c r="X400" t="s">
        <v>44</v>
      </c>
      <c r="Y400">
        <v>2</v>
      </c>
      <c r="Z400">
        <v>15</v>
      </c>
      <c r="AA400">
        <v>2</v>
      </c>
      <c r="AB400" t="s">
        <v>54</v>
      </c>
      <c r="AC400">
        <v>13</v>
      </c>
      <c r="AD400" t="str" cm="1">
        <f t="array" ref="AD400">_xlfn.IFS(AC400&lt;=5,"0-5",AC400&lt;=10,"5-10",AC400&lt;=40,"10-40")</f>
        <v>10-40</v>
      </c>
      <c r="AE400">
        <v>11</v>
      </c>
      <c r="AF400">
        <v>10</v>
      </c>
      <c r="AG400">
        <v>7</v>
      </c>
      <c r="AH400">
        <v>399</v>
      </c>
    </row>
    <row r="401" spans="1:34" x14ac:dyDescent="0.3">
      <c r="A401">
        <v>31</v>
      </c>
      <c r="B401" t="str" cm="1">
        <f t="array" ref="B401">_xlfn.IFS(A401&lt;=25,"18-25",A401&lt;=35,"26-35",A401&lt;=45,"36-45",A401&lt;=55,"46-55",A401&gt;55,"55+")</f>
        <v>26-35</v>
      </c>
      <c r="C401">
        <v>0</v>
      </c>
      <c r="D401" t="s">
        <v>32</v>
      </c>
      <c r="E401">
        <v>329</v>
      </c>
      <c r="F401" t="s">
        <v>48</v>
      </c>
      <c r="G401">
        <v>1</v>
      </c>
      <c r="H401" t="s">
        <v>34</v>
      </c>
      <c r="I401" t="s">
        <v>35</v>
      </c>
      <c r="J401" t="s">
        <v>41</v>
      </c>
      <c r="K401" t="s">
        <v>50</v>
      </c>
      <c r="L401">
        <v>98</v>
      </c>
      <c r="M401" t="s">
        <v>36</v>
      </c>
      <c r="N401" t="s">
        <v>56</v>
      </c>
      <c r="O401" t="s">
        <v>57</v>
      </c>
      <c r="P401" t="s">
        <v>44</v>
      </c>
      <c r="Q401" t="s">
        <v>52</v>
      </c>
      <c r="R401">
        <v>2218</v>
      </c>
      <c r="S401">
        <v>16193</v>
      </c>
      <c r="T401">
        <v>1</v>
      </c>
      <c r="U401" t="s">
        <v>46</v>
      </c>
      <c r="V401">
        <v>12</v>
      </c>
      <c r="W401" t="s">
        <v>43</v>
      </c>
      <c r="X401" t="s">
        <v>38</v>
      </c>
      <c r="Y401">
        <v>1</v>
      </c>
      <c r="Z401">
        <v>4</v>
      </c>
      <c r="AA401">
        <v>3</v>
      </c>
      <c r="AB401" t="s">
        <v>54</v>
      </c>
      <c r="AC401">
        <v>4</v>
      </c>
      <c r="AD401" t="str" cm="1">
        <f t="array" ref="AD401">_xlfn.IFS(AC401&lt;=5,"0-5",AC401&lt;=10,"5-10",AC401&lt;=40,"10-40")</f>
        <v>0-5</v>
      </c>
      <c r="AE401">
        <v>2</v>
      </c>
      <c r="AF401">
        <v>3</v>
      </c>
      <c r="AG401">
        <v>2</v>
      </c>
      <c r="AH401">
        <v>400</v>
      </c>
    </row>
    <row r="402" spans="1:34" x14ac:dyDescent="0.3">
      <c r="A402">
        <v>39</v>
      </c>
      <c r="B402" t="str" cm="1">
        <f t="array" ref="B402">_xlfn.IFS(A402&lt;=25,"18-25",A402&lt;=35,"26-35",A402&lt;=45,"36-45",A402&lt;=55,"46-55",A402&gt;55,"55+")</f>
        <v>36-45</v>
      </c>
      <c r="C402">
        <v>0</v>
      </c>
      <c r="D402" t="s">
        <v>47</v>
      </c>
      <c r="E402">
        <v>1218</v>
      </c>
      <c r="F402" t="s">
        <v>48</v>
      </c>
      <c r="G402">
        <v>1</v>
      </c>
      <c r="H402" t="s">
        <v>49</v>
      </c>
      <c r="I402" t="s">
        <v>35</v>
      </c>
      <c r="J402" t="s">
        <v>36</v>
      </c>
      <c r="K402" t="s">
        <v>50</v>
      </c>
      <c r="L402">
        <v>52</v>
      </c>
      <c r="M402" t="s">
        <v>38</v>
      </c>
      <c r="N402" t="s">
        <v>71</v>
      </c>
      <c r="O402" t="s">
        <v>68</v>
      </c>
      <c r="P402" t="s">
        <v>38</v>
      </c>
      <c r="Q402" t="s">
        <v>62</v>
      </c>
      <c r="R402">
        <v>19197</v>
      </c>
      <c r="S402">
        <v>8213</v>
      </c>
      <c r="T402">
        <v>1</v>
      </c>
      <c r="U402" t="s">
        <v>31</v>
      </c>
      <c r="V402">
        <v>14</v>
      </c>
      <c r="W402" t="s">
        <v>43</v>
      </c>
      <c r="X402" t="s">
        <v>38</v>
      </c>
      <c r="Y402">
        <v>1</v>
      </c>
      <c r="Z402">
        <v>21</v>
      </c>
      <c r="AA402">
        <v>3</v>
      </c>
      <c r="AB402" t="s">
        <v>54</v>
      </c>
      <c r="AC402">
        <v>21</v>
      </c>
      <c r="AD402" t="str" cm="1">
        <f t="array" ref="AD402">_xlfn.IFS(AC402&lt;=5,"0-5",AC402&lt;=10,"5-10",AC402&lt;=40,"10-40")</f>
        <v>10-40</v>
      </c>
      <c r="AE402">
        <v>8</v>
      </c>
      <c r="AF402">
        <v>1</v>
      </c>
      <c r="AG402">
        <v>6</v>
      </c>
      <c r="AH402">
        <v>401</v>
      </c>
    </row>
    <row r="403" spans="1:34" x14ac:dyDescent="0.3">
      <c r="A403">
        <v>56</v>
      </c>
      <c r="B403" t="str" cm="1">
        <f t="array" ref="B403">_xlfn.IFS(A403&lt;=25,"18-25",A403&lt;=35,"26-35",A403&lt;=45,"36-45",A403&lt;=55,"46-55",A403&gt;55,"55+")</f>
        <v>55+</v>
      </c>
      <c r="C403">
        <v>0</v>
      </c>
      <c r="D403" t="s">
        <v>47</v>
      </c>
      <c r="E403">
        <v>906</v>
      </c>
      <c r="F403" t="s">
        <v>33</v>
      </c>
      <c r="G403">
        <v>6</v>
      </c>
      <c r="H403" t="s">
        <v>61</v>
      </c>
      <c r="I403" t="s">
        <v>35</v>
      </c>
      <c r="J403" t="s">
        <v>38</v>
      </c>
      <c r="K403" t="s">
        <v>37</v>
      </c>
      <c r="L403">
        <v>86</v>
      </c>
      <c r="M403" t="s">
        <v>41</v>
      </c>
      <c r="N403" t="s">
        <v>67</v>
      </c>
      <c r="O403" t="s">
        <v>40</v>
      </c>
      <c r="P403" t="s">
        <v>44</v>
      </c>
      <c r="Q403" t="s">
        <v>52</v>
      </c>
      <c r="R403">
        <v>13212</v>
      </c>
      <c r="S403">
        <v>18256</v>
      </c>
      <c r="T403">
        <v>9</v>
      </c>
      <c r="U403" t="s">
        <v>46</v>
      </c>
      <c r="V403">
        <v>11</v>
      </c>
      <c r="W403" t="s">
        <v>43</v>
      </c>
      <c r="X403" t="s">
        <v>41</v>
      </c>
      <c r="Y403">
        <v>3</v>
      </c>
      <c r="Z403">
        <v>36</v>
      </c>
      <c r="AA403">
        <v>0</v>
      </c>
      <c r="AB403" t="s">
        <v>60</v>
      </c>
      <c r="AC403">
        <v>7</v>
      </c>
      <c r="AD403" t="str" cm="1">
        <f t="array" ref="AD403">_xlfn.IFS(AC403&lt;=5,"0-5",AC403&lt;=10,"5-10",AC403&lt;=40,"10-40")</f>
        <v>5-10</v>
      </c>
      <c r="AE403">
        <v>7</v>
      </c>
      <c r="AF403">
        <v>7</v>
      </c>
      <c r="AG403">
        <v>7</v>
      </c>
      <c r="AH403">
        <v>402</v>
      </c>
    </row>
    <row r="404" spans="1:34" x14ac:dyDescent="0.3">
      <c r="A404">
        <v>30</v>
      </c>
      <c r="B404" t="str" cm="1">
        <f t="array" ref="B404">_xlfn.IFS(A404&lt;=25,"18-25",A404&lt;=35,"26-35",A404&lt;=45,"36-45",A404&lt;=55,"46-55",A404&gt;55,"55+")</f>
        <v>26-35</v>
      </c>
      <c r="C404">
        <v>0</v>
      </c>
      <c r="D404" t="s">
        <v>32</v>
      </c>
      <c r="E404">
        <v>1082</v>
      </c>
      <c r="F404" t="s">
        <v>33</v>
      </c>
      <c r="G404">
        <v>12</v>
      </c>
      <c r="H404" t="s">
        <v>61</v>
      </c>
      <c r="I404" t="s">
        <v>74</v>
      </c>
      <c r="J404" t="s">
        <v>36</v>
      </c>
      <c r="K404" t="s">
        <v>37</v>
      </c>
      <c r="L404">
        <v>83</v>
      </c>
      <c r="M404" t="s">
        <v>38</v>
      </c>
      <c r="N404" t="s">
        <v>39</v>
      </c>
      <c r="O404" t="s">
        <v>40</v>
      </c>
      <c r="P404" t="s">
        <v>38</v>
      </c>
      <c r="Q404" t="s">
        <v>42</v>
      </c>
      <c r="R404">
        <v>6577</v>
      </c>
      <c r="S404">
        <v>19558</v>
      </c>
      <c r="T404">
        <v>0</v>
      </c>
      <c r="U404" t="s">
        <v>46</v>
      </c>
      <c r="V404">
        <v>11</v>
      </c>
      <c r="W404" t="s">
        <v>43</v>
      </c>
      <c r="X404" t="s">
        <v>36</v>
      </c>
      <c r="Y404">
        <v>0</v>
      </c>
      <c r="Z404">
        <v>6</v>
      </c>
      <c r="AA404">
        <v>6</v>
      </c>
      <c r="AB404" t="s">
        <v>54</v>
      </c>
      <c r="AC404">
        <v>5</v>
      </c>
      <c r="AD404" t="str" cm="1">
        <f t="array" ref="AD404">_xlfn.IFS(AC404&lt;=5,"0-5",AC404&lt;=10,"5-10",AC404&lt;=40,"10-40")</f>
        <v>0-5</v>
      </c>
      <c r="AE404">
        <v>4</v>
      </c>
      <c r="AF404">
        <v>4</v>
      </c>
      <c r="AG404">
        <v>4</v>
      </c>
      <c r="AH404">
        <v>403</v>
      </c>
    </row>
    <row r="405" spans="1:34" x14ac:dyDescent="0.3">
      <c r="A405">
        <v>41</v>
      </c>
      <c r="B405" t="str" cm="1">
        <f t="array" ref="B405">_xlfn.IFS(A405&lt;=25,"18-25",A405&lt;=35,"26-35",A405&lt;=45,"36-45",A405&lt;=55,"46-55",A405&gt;55,"55+")</f>
        <v>36-45</v>
      </c>
      <c r="C405">
        <v>0</v>
      </c>
      <c r="D405" t="s">
        <v>32</v>
      </c>
      <c r="E405">
        <v>645</v>
      </c>
      <c r="F405" t="s">
        <v>33</v>
      </c>
      <c r="G405">
        <v>1</v>
      </c>
      <c r="H405" t="s">
        <v>61</v>
      </c>
      <c r="I405" t="s">
        <v>72</v>
      </c>
      <c r="J405" t="s">
        <v>36</v>
      </c>
      <c r="K405" t="s">
        <v>50</v>
      </c>
      <c r="L405">
        <v>49</v>
      </c>
      <c r="M405" t="s">
        <v>41</v>
      </c>
      <c r="N405" t="s">
        <v>63</v>
      </c>
      <c r="O405" t="s">
        <v>40</v>
      </c>
      <c r="P405" t="s">
        <v>44</v>
      </c>
      <c r="Q405" t="s">
        <v>52</v>
      </c>
      <c r="R405">
        <v>8392</v>
      </c>
      <c r="S405">
        <v>19566</v>
      </c>
      <c r="T405">
        <v>1</v>
      </c>
      <c r="U405" t="s">
        <v>46</v>
      </c>
      <c r="V405">
        <v>16</v>
      </c>
      <c r="W405" t="s">
        <v>43</v>
      </c>
      <c r="X405" t="s">
        <v>38</v>
      </c>
      <c r="Y405">
        <v>1</v>
      </c>
      <c r="Z405">
        <v>10</v>
      </c>
      <c r="AA405">
        <v>2</v>
      </c>
      <c r="AB405" t="s">
        <v>54</v>
      </c>
      <c r="AC405">
        <v>10</v>
      </c>
      <c r="AD405" t="str" cm="1">
        <f t="array" ref="AD405">_xlfn.IFS(AC405&lt;=5,"0-5",AC405&lt;=10,"5-10",AC405&lt;=40,"10-40")</f>
        <v>5-10</v>
      </c>
      <c r="AE405">
        <v>7</v>
      </c>
      <c r="AF405">
        <v>0</v>
      </c>
      <c r="AG405">
        <v>7</v>
      </c>
      <c r="AH405">
        <v>404</v>
      </c>
    </row>
    <row r="406" spans="1:34" x14ac:dyDescent="0.3">
      <c r="A406">
        <v>28</v>
      </c>
      <c r="B406" t="str" cm="1">
        <f t="array" ref="B406">_xlfn.IFS(A406&lt;=25,"18-25",A406&lt;=35,"26-35",A406&lt;=45,"36-45",A406&lt;=55,"46-55",A406&gt;55,"55+")</f>
        <v>26-35</v>
      </c>
      <c r="C406">
        <v>0</v>
      </c>
      <c r="D406" t="s">
        <v>32</v>
      </c>
      <c r="E406">
        <v>1300</v>
      </c>
      <c r="F406" t="s">
        <v>48</v>
      </c>
      <c r="G406">
        <v>17</v>
      </c>
      <c r="H406" t="s">
        <v>34</v>
      </c>
      <c r="I406" t="s">
        <v>59</v>
      </c>
      <c r="J406" t="s">
        <v>38</v>
      </c>
      <c r="K406" t="s">
        <v>50</v>
      </c>
      <c r="L406">
        <v>79</v>
      </c>
      <c r="M406" t="s">
        <v>38</v>
      </c>
      <c r="N406" t="s">
        <v>39</v>
      </c>
      <c r="O406" t="s">
        <v>57</v>
      </c>
      <c r="P406" t="s">
        <v>44</v>
      </c>
      <c r="Q406" t="s">
        <v>62</v>
      </c>
      <c r="R406">
        <v>4558</v>
      </c>
      <c r="S406">
        <v>13535</v>
      </c>
      <c r="T406">
        <v>1</v>
      </c>
      <c r="U406" t="s">
        <v>46</v>
      </c>
      <c r="V406">
        <v>12</v>
      </c>
      <c r="W406" t="s">
        <v>43</v>
      </c>
      <c r="X406" t="s">
        <v>41</v>
      </c>
      <c r="Y406">
        <v>1</v>
      </c>
      <c r="Z406">
        <v>10</v>
      </c>
      <c r="AA406">
        <v>2</v>
      </c>
      <c r="AB406" t="s">
        <v>54</v>
      </c>
      <c r="AC406">
        <v>10</v>
      </c>
      <c r="AD406" t="str" cm="1">
        <f t="array" ref="AD406">_xlfn.IFS(AC406&lt;=5,"0-5",AC406&lt;=10,"5-10",AC406&lt;=40,"10-40")</f>
        <v>5-10</v>
      </c>
      <c r="AE406">
        <v>0</v>
      </c>
      <c r="AF406">
        <v>1</v>
      </c>
      <c r="AG406">
        <v>8</v>
      </c>
      <c r="AH406">
        <v>405</v>
      </c>
    </row>
    <row r="407" spans="1:34" x14ac:dyDescent="0.3">
      <c r="A407">
        <v>25</v>
      </c>
      <c r="B407" t="str" cm="1">
        <f t="array" ref="B407">_xlfn.IFS(A407&lt;=25,"18-25",A407&lt;=35,"26-35",A407&lt;=45,"36-45",A407&lt;=55,"46-55",A407&gt;55,"55+")</f>
        <v>18-25</v>
      </c>
      <c r="C407">
        <v>1</v>
      </c>
      <c r="D407" t="s">
        <v>32</v>
      </c>
      <c r="E407">
        <v>688</v>
      </c>
      <c r="F407" t="s">
        <v>48</v>
      </c>
      <c r="G407">
        <v>3</v>
      </c>
      <c r="H407" t="s">
        <v>61</v>
      </c>
      <c r="I407" t="s">
        <v>59</v>
      </c>
      <c r="J407" t="s">
        <v>44</v>
      </c>
      <c r="K407" t="s">
        <v>50</v>
      </c>
      <c r="L407">
        <v>91</v>
      </c>
      <c r="M407" t="s">
        <v>38</v>
      </c>
      <c r="N407" t="s">
        <v>56</v>
      </c>
      <c r="O407" t="s">
        <v>57</v>
      </c>
      <c r="P407" t="s">
        <v>44</v>
      </c>
      <c r="Q407" t="s">
        <v>52</v>
      </c>
      <c r="R407">
        <v>4031</v>
      </c>
      <c r="S407">
        <v>9396</v>
      </c>
      <c r="T407">
        <v>5</v>
      </c>
      <c r="U407" t="s">
        <v>46</v>
      </c>
      <c r="V407">
        <v>13</v>
      </c>
      <c r="W407" t="s">
        <v>43</v>
      </c>
      <c r="X407" t="s">
        <v>38</v>
      </c>
      <c r="Y407">
        <v>1</v>
      </c>
      <c r="Z407">
        <v>6</v>
      </c>
      <c r="AA407">
        <v>5</v>
      </c>
      <c r="AB407" t="s">
        <v>54</v>
      </c>
      <c r="AC407">
        <v>2</v>
      </c>
      <c r="AD407" t="str" cm="1">
        <f t="array" ref="AD407">_xlfn.IFS(AC407&lt;=5,"0-5",AC407&lt;=10,"5-10",AC407&lt;=40,"10-40")</f>
        <v>0-5</v>
      </c>
      <c r="AE407">
        <v>2</v>
      </c>
      <c r="AF407">
        <v>0</v>
      </c>
      <c r="AG407">
        <v>2</v>
      </c>
      <c r="AH407">
        <v>406</v>
      </c>
    </row>
    <row r="408" spans="1:34" x14ac:dyDescent="0.3">
      <c r="A408">
        <v>52</v>
      </c>
      <c r="B408" t="str" cm="1">
        <f t="array" ref="B408">_xlfn.IFS(A408&lt;=25,"18-25",A408&lt;=35,"26-35",A408&lt;=45,"36-45",A408&lt;=55,"46-55",A408&gt;55,"55+")</f>
        <v>46-55</v>
      </c>
      <c r="C408">
        <v>0</v>
      </c>
      <c r="D408" t="s">
        <v>32</v>
      </c>
      <c r="E408">
        <v>319</v>
      </c>
      <c r="F408" t="s">
        <v>48</v>
      </c>
      <c r="G408">
        <v>3</v>
      </c>
      <c r="H408" t="s">
        <v>61</v>
      </c>
      <c r="I408" t="s">
        <v>59</v>
      </c>
      <c r="J408" t="s">
        <v>41</v>
      </c>
      <c r="K408" t="s">
        <v>50</v>
      </c>
      <c r="L408">
        <v>39</v>
      </c>
      <c r="M408" t="s">
        <v>36</v>
      </c>
      <c r="N408" t="s">
        <v>63</v>
      </c>
      <c r="O408" t="s">
        <v>64</v>
      </c>
      <c r="P408" t="s">
        <v>38</v>
      </c>
      <c r="Q408" t="s">
        <v>52</v>
      </c>
      <c r="R408">
        <v>7969</v>
      </c>
      <c r="S408">
        <v>19609</v>
      </c>
      <c r="T408">
        <v>2</v>
      </c>
      <c r="U408" t="s">
        <v>31</v>
      </c>
      <c r="V408">
        <v>14</v>
      </c>
      <c r="W408" t="s">
        <v>43</v>
      </c>
      <c r="X408" t="s">
        <v>38</v>
      </c>
      <c r="Y408">
        <v>0</v>
      </c>
      <c r="Z408">
        <v>28</v>
      </c>
      <c r="AA408">
        <v>4</v>
      </c>
      <c r="AB408" t="s">
        <v>54</v>
      </c>
      <c r="AC408">
        <v>5</v>
      </c>
      <c r="AD408" t="str" cm="1">
        <f t="array" ref="AD408">_xlfn.IFS(AC408&lt;=5,"0-5",AC408&lt;=10,"5-10",AC408&lt;=40,"10-40")</f>
        <v>0-5</v>
      </c>
      <c r="AE408">
        <v>4</v>
      </c>
      <c r="AF408">
        <v>0</v>
      </c>
      <c r="AG408">
        <v>4</v>
      </c>
      <c r="AH408">
        <v>407</v>
      </c>
    </row>
    <row r="409" spans="1:34" x14ac:dyDescent="0.3">
      <c r="A409">
        <v>45</v>
      </c>
      <c r="B409" t="str" cm="1">
        <f t="array" ref="B409">_xlfn.IFS(A409&lt;=25,"18-25",A409&lt;=35,"26-35",A409&lt;=45,"36-45",A409&lt;=55,"46-55",A409&gt;55,"55+")</f>
        <v>36-45</v>
      </c>
      <c r="C409">
        <v>0</v>
      </c>
      <c r="D409" t="s">
        <v>32</v>
      </c>
      <c r="E409">
        <v>192</v>
      </c>
      <c r="F409" t="s">
        <v>48</v>
      </c>
      <c r="G409">
        <v>10</v>
      </c>
      <c r="H409" t="s">
        <v>34</v>
      </c>
      <c r="I409" t="s">
        <v>35</v>
      </c>
      <c r="J409" t="s">
        <v>44</v>
      </c>
      <c r="K409" t="s">
        <v>50</v>
      </c>
      <c r="L409">
        <v>69</v>
      </c>
      <c r="M409" t="s">
        <v>38</v>
      </c>
      <c r="N409" t="s">
        <v>56</v>
      </c>
      <c r="O409" t="s">
        <v>51</v>
      </c>
      <c r="P409" t="s">
        <v>41</v>
      </c>
      <c r="Q409" t="s">
        <v>52</v>
      </c>
      <c r="R409">
        <v>2654</v>
      </c>
      <c r="S409">
        <v>9655</v>
      </c>
      <c r="T409">
        <v>3</v>
      </c>
      <c r="U409" t="s">
        <v>46</v>
      </c>
      <c r="V409">
        <v>21</v>
      </c>
      <c r="W409" t="s">
        <v>53</v>
      </c>
      <c r="X409" t="s">
        <v>41</v>
      </c>
      <c r="Y409">
        <v>2</v>
      </c>
      <c r="Z409">
        <v>8</v>
      </c>
      <c r="AA409">
        <v>3</v>
      </c>
      <c r="AB409" t="s">
        <v>60</v>
      </c>
      <c r="AC409">
        <v>2</v>
      </c>
      <c r="AD409" t="str" cm="1">
        <f t="array" ref="AD409">_xlfn.IFS(AC409&lt;=5,"0-5",AC409&lt;=10,"5-10",AC409&lt;=40,"10-40")</f>
        <v>0-5</v>
      </c>
      <c r="AE409">
        <v>2</v>
      </c>
      <c r="AF409">
        <v>0</v>
      </c>
      <c r="AG409">
        <v>2</v>
      </c>
      <c r="AH409">
        <v>408</v>
      </c>
    </row>
    <row r="410" spans="1:34" x14ac:dyDescent="0.3">
      <c r="A410">
        <v>52</v>
      </c>
      <c r="B410" t="str" cm="1">
        <f t="array" ref="B410">_xlfn.IFS(A410&lt;=25,"18-25",A410&lt;=35,"26-35",A410&lt;=45,"36-45",A410&lt;=55,"46-55",A410&gt;55,"55+")</f>
        <v>46-55</v>
      </c>
      <c r="C410">
        <v>0</v>
      </c>
      <c r="D410" t="s">
        <v>32</v>
      </c>
      <c r="E410">
        <v>1490</v>
      </c>
      <c r="F410" t="s">
        <v>48</v>
      </c>
      <c r="G410">
        <v>4</v>
      </c>
      <c r="H410" t="s">
        <v>34</v>
      </c>
      <c r="I410" t="s">
        <v>35</v>
      </c>
      <c r="J410" t="s">
        <v>41</v>
      </c>
      <c r="K410" t="s">
        <v>37</v>
      </c>
      <c r="L410">
        <v>30</v>
      </c>
      <c r="M410" t="s">
        <v>38</v>
      </c>
      <c r="N410" t="s">
        <v>67</v>
      </c>
      <c r="O410" t="s">
        <v>68</v>
      </c>
      <c r="P410" t="s">
        <v>41</v>
      </c>
      <c r="Q410" t="s">
        <v>52</v>
      </c>
      <c r="R410">
        <v>16555</v>
      </c>
      <c r="S410">
        <v>10310</v>
      </c>
      <c r="T410">
        <v>2</v>
      </c>
      <c r="U410" t="s">
        <v>46</v>
      </c>
      <c r="V410">
        <v>13</v>
      </c>
      <c r="W410" t="s">
        <v>43</v>
      </c>
      <c r="X410" t="s">
        <v>41</v>
      </c>
      <c r="Y410">
        <v>0</v>
      </c>
      <c r="Z410">
        <v>31</v>
      </c>
      <c r="AA410">
        <v>2</v>
      </c>
      <c r="AB410" t="s">
        <v>45</v>
      </c>
      <c r="AC410">
        <v>5</v>
      </c>
      <c r="AD410" t="str" cm="1">
        <f t="array" ref="AD410">_xlfn.IFS(AC410&lt;=5,"0-5",AC410&lt;=10,"5-10",AC410&lt;=40,"10-40")</f>
        <v>0-5</v>
      </c>
      <c r="AE410">
        <v>2</v>
      </c>
      <c r="AF410">
        <v>1</v>
      </c>
      <c r="AG410">
        <v>4</v>
      </c>
      <c r="AH410">
        <v>409</v>
      </c>
    </row>
    <row r="411" spans="1:34" x14ac:dyDescent="0.3">
      <c r="A411">
        <v>42</v>
      </c>
      <c r="B411" t="str" cm="1">
        <f t="array" ref="B411">_xlfn.IFS(A411&lt;=25,"18-25",A411&lt;=35,"26-35",A411&lt;=45,"36-45",A411&lt;=55,"46-55",A411&gt;55,"55+")</f>
        <v>36-45</v>
      </c>
      <c r="C411">
        <v>0</v>
      </c>
      <c r="D411" t="s">
        <v>47</v>
      </c>
      <c r="E411">
        <v>532</v>
      </c>
      <c r="F411" t="s">
        <v>48</v>
      </c>
      <c r="G411">
        <v>29</v>
      </c>
      <c r="H411" t="s">
        <v>34</v>
      </c>
      <c r="I411" t="s">
        <v>35</v>
      </c>
      <c r="J411" t="s">
        <v>44</v>
      </c>
      <c r="K411" t="s">
        <v>37</v>
      </c>
      <c r="L411">
        <v>92</v>
      </c>
      <c r="M411" t="s">
        <v>38</v>
      </c>
      <c r="N411" t="s">
        <v>39</v>
      </c>
      <c r="O411" t="s">
        <v>51</v>
      </c>
      <c r="P411" t="s">
        <v>38</v>
      </c>
      <c r="Q411" t="s">
        <v>62</v>
      </c>
      <c r="R411">
        <v>4556</v>
      </c>
      <c r="S411">
        <v>12932</v>
      </c>
      <c r="T411">
        <v>2</v>
      </c>
      <c r="U411" t="s">
        <v>46</v>
      </c>
      <c r="V411">
        <v>11</v>
      </c>
      <c r="W411" t="s">
        <v>43</v>
      </c>
      <c r="X411" t="s">
        <v>36</v>
      </c>
      <c r="Y411">
        <v>1</v>
      </c>
      <c r="Z411">
        <v>19</v>
      </c>
      <c r="AA411">
        <v>3</v>
      </c>
      <c r="AB411" t="s">
        <v>54</v>
      </c>
      <c r="AC411">
        <v>5</v>
      </c>
      <c r="AD411" t="str" cm="1">
        <f t="array" ref="AD411">_xlfn.IFS(AC411&lt;=5,"0-5",AC411&lt;=10,"5-10",AC411&lt;=40,"10-40")</f>
        <v>0-5</v>
      </c>
      <c r="AE411">
        <v>4</v>
      </c>
      <c r="AF411">
        <v>0</v>
      </c>
      <c r="AG411">
        <v>2</v>
      </c>
      <c r="AH411">
        <v>410</v>
      </c>
    </row>
    <row r="412" spans="1:34" x14ac:dyDescent="0.3">
      <c r="A412">
        <v>30</v>
      </c>
      <c r="B412" t="str" cm="1">
        <f t="array" ref="B412">_xlfn.IFS(A412&lt;=25,"18-25",A412&lt;=35,"26-35",A412&lt;=45,"36-45",A412&lt;=55,"46-55",A412&gt;55,"55+")</f>
        <v>26-35</v>
      </c>
      <c r="C412">
        <v>0</v>
      </c>
      <c r="D412" t="s">
        <v>32</v>
      </c>
      <c r="E412">
        <v>317</v>
      </c>
      <c r="F412" t="s">
        <v>48</v>
      </c>
      <c r="G412">
        <v>2</v>
      </c>
      <c r="H412" t="s">
        <v>61</v>
      </c>
      <c r="I412" t="s">
        <v>35</v>
      </c>
      <c r="J412" t="s">
        <v>38</v>
      </c>
      <c r="K412" t="s">
        <v>37</v>
      </c>
      <c r="L412">
        <v>43</v>
      </c>
      <c r="M412" t="s">
        <v>44</v>
      </c>
      <c r="N412" t="s">
        <v>39</v>
      </c>
      <c r="O412" t="s">
        <v>64</v>
      </c>
      <c r="P412" t="s">
        <v>41</v>
      </c>
      <c r="Q412" t="s">
        <v>42</v>
      </c>
      <c r="R412">
        <v>6091</v>
      </c>
      <c r="S412">
        <v>24793</v>
      </c>
      <c r="T412">
        <v>2</v>
      </c>
      <c r="U412" t="s">
        <v>46</v>
      </c>
      <c r="V412">
        <v>20</v>
      </c>
      <c r="W412" t="s">
        <v>53</v>
      </c>
      <c r="X412" t="s">
        <v>38</v>
      </c>
      <c r="Y412">
        <v>0</v>
      </c>
      <c r="Z412">
        <v>11</v>
      </c>
      <c r="AA412">
        <v>2</v>
      </c>
      <c r="AB412" t="s">
        <v>54</v>
      </c>
      <c r="AC412">
        <v>5</v>
      </c>
      <c r="AD412" t="str" cm="1">
        <f t="array" ref="AD412">_xlfn.IFS(AC412&lt;=5,"0-5",AC412&lt;=10,"5-10",AC412&lt;=40,"10-40")</f>
        <v>0-5</v>
      </c>
      <c r="AE412">
        <v>4</v>
      </c>
      <c r="AF412">
        <v>0</v>
      </c>
      <c r="AG412">
        <v>2</v>
      </c>
      <c r="AH412">
        <v>411</v>
      </c>
    </row>
    <row r="413" spans="1:34" x14ac:dyDescent="0.3">
      <c r="A413">
        <v>60</v>
      </c>
      <c r="B413" t="str" cm="1">
        <f t="array" ref="B413">_xlfn.IFS(A413&lt;=25,"18-25",A413&lt;=35,"26-35",A413&lt;=45,"36-45",A413&lt;=55,"46-55",A413&gt;55,"55+")</f>
        <v>55+</v>
      </c>
      <c r="C413">
        <v>0</v>
      </c>
      <c r="D413" t="s">
        <v>32</v>
      </c>
      <c r="E413">
        <v>422</v>
      </c>
      <c r="F413" t="s">
        <v>48</v>
      </c>
      <c r="G413">
        <v>7</v>
      </c>
      <c r="H413" t="s">
        <v>61</v>
      </c>
      <c r="I413" t="s">
        <v>35</v>
      </c>
      <c r="J413" t="s">
        <v>44</v>
      </c>
      <c r="K413" t="s">
        <v>37</v>
      </c>
      <c r="L413">
        <v>41</v>
      </c>
      <c r="M413" t="s">
        <v>38</v>
      </c>
      <c r="N413" t="s">
        <v>71</v>
      </c>
      <c r="O413" t="s">
        <v>68</v>
      </c>
      <c r="P413" t="s">
        <v>44</v>
      </c>
      <c r="Q413" t="s">
        <v>52</v>
      </c>
      <c r="R413">
        <v>19566</v>
      </c>
      <c r="S413">
        <v>3854</v>
      </c>
      <c r="T413">
        <v>5</v>
      </c>
      <c r="U413" t="s">
        <v>46</v>
      </c>
      <c r="V413">
        <v>11</v>
      </c>
      <c r="W413" t="s">
        <v>43</v>
      </c>
      <c r="X413" t="s">
        <v>41</v>
      </c>
      <c r="Y413">
        <v>0</v>
      </c>
      <c r="Z413">
        <v>33</v>
      </c>
      <c r="AA413">
        <v>5</v>
      </c>
      <c r="AB413" t="s">
        <v>45</v>
      </c>
      <c r="AC413">
        <v>29</v>
      </c>
      <c r="AD413" t="str" cm="1">
        <f t="array" ref="AD413">_xlfn.IFS(AC413&lt;=5,"0-5",AC413&lt;=10,"5-10",AC413&lt;=40,"10-40")</f>
        <v>10-40</v>
      </c>
      <c r="AE413">
        <v>8</v>
      </c>
      <c r="AF413">
        <v>11</v>
      </c>
      <c r="AG413">
        <v>10</v>
      </c>
      <c r="AH413">
        <v>412</v>
      </c>
    </row>
    <row r="414" spans="1:34" x14ac:dyDescent="0.3">
      <c r="A414">
        <v>46</v>
      </c>
      <c r="B414" t="str" cm="1">
        <f t="array" ref="B414">_xlfn.IFS(A414&lt;=25,"18-25",A414&lt;=35,"26-35",A414&lt;=45,"36-45",A414&lt;=55,"46-55",A414&gt;55,"55+")</f>
        <v>46-55</v>
      </c>
      <c r="C414">
        <v>0</v>
      </c>
      <c r="D414" t="s">
        <v>32</v>
      </c>
      <c r="E414">
        <v>1485</v>
      </c>
      <c r="F414" t="s">
        <v>48</v>
      </c>
      <c r="G414">
        <v>18</v>
      </c>
      <c r="H414" t="s">
        <v>61</v>
      </c>
      <c r="I414" t="s">
        <v>59</v>
      </c>
      <c r="J414" t="s">
        <v>38</v>
      </c>
      <c r="K414" t="s">
        <v>37</v>
      </c>
      <c r="L414">
        <v>87</v>
      </c>
      <c r="M414" t="s">
        <v>38</v>
      </c>
      <c r="N414" t="s">
        <v>39</v>
      </c>
      <c r="O414" t="s">
        <v>64</v>
      </c>
      <c r="P414" t="s">
        <v>38</v>
      </c>
      <c r="Q414" t="s">
        <v>62</v>
      </c>
      <c r="R414">
        <v>4810</v>
      </c>
      <c r="S414">
        <v>26314</v>
      </c>
      <c r="T414">
        <v>2</v>
      </c>
      <c r="U414" t="s">
        <v>46</v>
      </c>
      <c r="V414">
        <v>14</v>
      </c>
      <c r="W414" t="s">
        <v>43</v>
      </c>
      <c r="X414" t="s">
        <v>38</v>
      </c>
      <c r="Y414">
        <v>1</v>
      </c>
      <c r="Z414">
        <v>19</v>
      </c>
      <c r="AA414">
        <v>5</v>
      </c>
      <c r="AB414" t="s">
        <v>60</v>
      </c>
      <c r="AC414">
        <v>10</v>
      </c>
      <c r="AD414" t="str" cm="1">
        <f t="array" ref="AD414">_xlfn.IFS(AC414&lt;=5,"0-5",AC414&lt;=10,"5-10",AC414&lt;=40,"10-40")</f>
        <v>5-10</v>
      </c>
      <c r="AE414">
        <v>7</v>
      </c>
      <c r="AF414">
        <v>0</v>
      </c>
      <c r="AG414">
        <v>8</v>
      </c>
      <c r="AH414">
        <v>413</v>
      </c>
    </row>
    <row r="415" spans="1:34" x14ac:dyDescent="0.3">
      <c r="A415">
        <v>42</v>
      </c>
      <c r="B415" t="str" cm="1">
        <f t="array" ref="B415">_xlfn.IFS(A415&lt;=25,"18-25",A415&lt;=35,"26-35",A415&lt;=45,"36-45",A415&lt;=55,"46-55",A415&gt;55,"55+")</f>
        <v>36-45</v>
      </c>
      <c r="C415">
        <v>0</v>
      </c>
      <c r="D415" t="s">
        <v>47</v>
      </c>
      <c r="E415">
        <v>1368</v>
      </c>
      <c r="F415" t="s">
        <v>48</v>
      </c>
      <c r="G415">
        <v>28</v>
      </c>
      <c r="H415" t="s">
        <v>58</v>
      </c>
      <c r="I415" t="s">
        <v>74</v>
      </c>
      <c r="J415" t="s">
        <v>41</v>
      </c>
      <c r="K415" t="s">
        <v>37</v>
      </c>
      <c r="L415">
        <v>88</v>
      </c>
      <c r="M415" t="s">
        <v>36</v>
      </c>
      <c r="N415" t="s">
        <v>39</v>
      </c>
      <c r="O415" t="s">
        <v>65</v>
      </c>
      <c r="P415" t="s">
        <v>41</v>
      </c>
      <c r="Q415" t="s">
        <v>52</v>
      </c>
      <c r="R415">
        <v>4523</v>
      </c>
      <c r="S415">
        <v>4386</v>
      </c>
      <c r="T415">
        <v>0</v>
      </c>
      <c r="U415" t="s">
        <v>46</v>
      </c>
      <c r="V415">
        <v>11</v>
      </c>
      <c r="W415" t="s">
        <v>43</v>
      </c>
      <c r="X415" t="s">
        <v>41</v>
      </c>
      <c r="Y415">
        <v>3</v>
      </c>
      <c r="Z415">
        <v>7</v>
      </c>
      <c r="AA415">
        <v>4</v>
      </c>
      <c r="AB415" t="s">
        <v>73</v>
      </c>
      <c r="AC415">
        <v>6</v>
      </c>
      <c r="AD415" t="str" cm="1">
        <f t="array" ref="AD415">_xlfn.IFS(AC415&lt;=5,"0-5",AC415&lt;=10,"5-10",AC415&lt;=40,"10-40")</f>
        <v>5-10</v>
      </c>
      <c r="AE415">
        <v>5</v>
      </c>
      <c r="AF415">
        <v>0</v>
      </c>
      <c r="AG415">
        <v>4</v>
      </c>
      <c r="AH415">
        <v>414</v>
      </c>
    </row>
    <row r="416" spans="1:34" x14ac:dyDescent="0.3">
      <c r="A416">
        <v>24</v>
      </c>
      <c r="B416" t="str" cm="1">
        <f t="array" ref="B416">_xlfn.IFS(A416&lt;=25,"18-25",A416&lt;=35,"26-35",A416&lt;=45,"36-45",A416&lt;=55,"46-55",A416&gt;55,"55+")</f>
        <v>18-25</v>
      </c>
      <c r="C416">
        <v>1</v>
      </c>
      <c r="D416" t="s">
        <v>32</v>
      </c>
      <c r="E416">
        <v>1448</v>
      </c>
      <c r="F416" t="s">
        <v>33</v>
      </c>
      <c r="G416">
        <v>1</v>
      </c>
      <c r="H416" t="s">
        <v>49</v>
      </c>
      <c r="I416" t="s">
        <v>74</v>
      </c>
      <c r="J416" t="s">
        <v>44</v>
      </c>
      <c r="K416" t="s">
        <v>37</v>
      </c>
      <c r="L416">
        <v>62</v>
      </c>
      <c r="M416" t="s">
        <v>38</v>
      </c>
      <c r="N416" t="s">
        <v>56</v>
      </c>
      <c r="O416" t="s">
        <v>69</v>
      </c>
      <c r="P416" t="s">
        <v>36</v>
      </c>
      <c r="Q416" t="s">
        <v>42</v>
      </c>
      <c r="R416">
        <v>3202</v>
      </c>
      <c r="S416">
        <v>21972</v>
      </c>
      <c r="T416">
        <v>1</v>
      </c>
      <c r="U416" t="s">
        <v>31</v>
      </c>
      <c r="V416">
        <v>16</v>
      </c>
      <c r="W416" t="s">
        <v>43</v>
      </c>
      <c r="X416" t="s">
        <v>36</v>
      </c>
      <c r="Y416">
        <v>0</v>
      </c>
      <c r="Z416">
        <v>6</v>
      </c>
      <c r="AA416">
        <v>4</v>
      </c>
      <c r="AB416" t="s">
        <v>54</v>
      </c>
      <c r="AC416">
        <v>5</v>
      </c>
      <c r="AD416" t="str" cm="1">
        <f t="array" ref="AD416">_xlfn.IFS(AC416&lt;=5,"0-5",AC416&lt;=10,"5-10",AC416&lt;=40,"10-40")</f>
        <v>0-5</v>
      </c>
      <c r="AE416">
        <v>3</v>
      </c>
      <c r="AF416">
        <v>1</v>
      </c>
      <c r="AG416">
        <v>4</v>
      </c>
      <c r="AH416">
        <v>415</v>
      </c>
    </row>
    <row r="417" spans="1:34" x14ac:dyDescent="0.3">
      <c r="A417">
        <v>34</v>
      </c>
      <c r="B417" t="str" cm="1">
        <f t="array" ref="B417">_xlfn.IFS(A417&lt;=25,"18-25",A417&lt;=35,"26-35",A417&lt;=45,"36-45",A417&lt;=55,"46-55",A417&gt;55,"55+")</f>
        <v>26-35</v>
      </c>
      <c r="C417">
        <v>1</v>
      </c>
      <c r="D417" t="s">
        <v>47</v>
      </c>
      <c r="E417">
        <v>296</v>
      </c>
      <c r="F417" t="s">
        <v>33</v>
      </c>
      <c r="G417">
        <v>6</v>
      </c>
      <c r="H417" t="s">
        <v>34</v>
      </c>
      <c r="I417" t="s">
        <v>72</v>
      </c>
      <c r="J417" t="s">
        <v>41</v>
      </c>
      <c r="K417" t="s">
        <v>37</v>
      </c>
      <c r="L417">
        <v>33</v>
      </c>
      <c r="M417" t="s">
        <v>44</v>
      </c>
      <c r="N417" t="s">
        <v>56</v>
      </c>
      <c r="O417" t="s">
        <v>69</v>
      </c>
      <c r="P417" t="s">
        <v>38</v>
      </c>
      <c r="Q417" t="s">
        <v>62</v>
      </c>
      <c r="R417">
        <v>2351</v>
      </c>
      <c r="S417">
        <v>12253</v>
      </c>
      <c r="T417">
        <v>0</v>
      </c>
      <c r="U417" t="s">
        <v>46</v>
      </c>
      <c r="V417">
        <v>16</v>
      </c>
      <c r="W417" t="s">
        <v>43</v>
      </c>
      <c r="X417" t="s">
        <v>41</v>
      </c>
      <c r="Y417">
        <v>1</v>
      </c>
      <c r="Z417">
        <v>3</v>
      </c>
      <c r="AA417">
        <v>3</v>
      </c>
      <c r="AB417" t="s">
        <v>60</v>
      </c>
      <c r="AC417">
        <v>2</v>
      </c>
      <c r="AD417" t="str" cm="1">
        <f t="array" ref="AD417">_xlfn.IFS(AC417&lt;=5,"0-5",AC417&lt;=10,"5-10",AC417&lt;=40,"10-40")</f>
        <v>0-5</v>
      </c>
      <c r="AE417">
        <v>2</v>
      </c>
      <c r="AF417">
        <v>1</v>
      </c>
      <c r="AG417">
        <v>0</v>
      </c>
      <c r="AH417">
        <v>416</v>
      </c>
    </row>
    <row r="418" spans="1:34" x14ac:dyDescent="0.3">
      <c r="A418">
        <v>38</v>
      </c>
      <c r="B418" t="str" cm="1">
        <f t="array" ref="B418">_xlfn.IFS(A418&lt;=25,"18-25",A418&lt;=35,"26-35",A418&lt;=45,"36-45",A418&lt;=55,"46-55",A418&gt;55,"55+")</f>
        <v>36-45</v>
      </c>
      <c r="C418">
        <v>0</v>
      </c>
      <c r="D418" t="s">
        <v>47</v>
      </c>
      <c r="E418">
        <v>1490</v>
      </c>
      <c r="F418" t="s">
        <v>48</v>
      </c>
      <c r="G418">
        <v>2</v>
      </c>
      <c r="H418" t="s">
        <v>34</v>
      </c>
      <c r="I418" t="s">
        <v>35</v>
      </c>
      <c r="J418" t="s">
        <v>41</v>
      </c>
      <c r="K418" t="s">
        <v>50</v>
      </c>
      <c r="L418">
        <v>42</v>
      </c>
      <c r="M418" t="s">
        <v>38</v>
      </c>
      <c r="N418" t="s">
        <v>56</v>
      </c>
      <c r="O418" t="s">
        <v>57</v>
      </c>
      <c r="P418" t="s">
        <v>41</v>
      </c>
      <c r="Q418" t="s">
        <v>52</v>
      </c>
      <c r="R418">
        <v>1702</v>
      </c>
      <c r="S418">
        <v>12106</v>
      </c>
      <c r="T418">
        <v>1</v>
      </c>
      <c r="U418" t="s">
        <v>31</v>
      </c>
      <c r="V418">
        <v>23</v>
      </c>
      <c r="W418" t="s">
        <v>53</v>
      </c>
      <c r="X418" t="s">
        <v>38</v>
      </c>
      <c r="Y418">
        <v>1</v>
      </c>
      <c r="Z418">
        <v>1</v>
      </c>
      <c r="AA418">
        <v>3</v>
      </c>
      <c r="AB418" t="s">
        <v>54</v>
      </c>
      <c r="AC418">
        <v>1</v>
      </c>
      <c r="AD418" t="str" cm="1">
        <f t="array" ref="AD418">_xlfn.IFS(AC418&lt;=5,"0-5",AC418&lt;=10,"5-10",AC418&lt;=40,"10-40")</f>
        <v>0-5</v>
      </c>
      <c r="AE418">
        <v>0</v>
      </c>
      <c r="AF418">
        <v>0</v>
      </c>
      <c r="AG418">
        <v>0</v>
      </c>
      <c r="AH418">
        <v>417</v>
      </c>
    </row>
    <row r="419" spans="1:34" x14ac:dyDescent="0.3">
      <c r="A419">
        <v>40</v>
      </c>
      <c r="B419" t="str" cm="1">
        <f t="array" ref="B419">_xlfn.IFS(A419&lt;=25,"18-25",A419&lt;=35,"26-35",A419&lt;=45,"36-45",A419&lt;=55,"46-55",A419&gt;55,"55+")</f>
        <v>36-45</v>
      </c>
      <c r="C419">
        <v>0</v>
      </c>
      <c r="D419" t="s">
        <v>32</v>
      </c>
      <c r="E419">
        <v>1398</v>
      </c>
      <c r="F419" t="s">
        <v>33</v>
      </c>
      <c r="G419">
        <v>2</v>
      </c>
      <c r="H419" t="s">
        <v>58</v>
      </c>
      <c r="I419" t="s">
        <v>35</v>
      </c>
      <c r="J419" t="s">
        <v>38</v>
      </c>
      <c r="K419" t="s">
        <v>37</v>
      </c>
      <c r="L419">
        <v>79</v>
      </c>
      <c r="M419" t="s">
        <v>38</v>
      </c>
      <c r="N419" t="s">
        <v>71</v>
      </c>
      <c r="O419" t="s">
        <v>68</v>
      </c>
      <c r="P419" t="s">
        <v>38</v>
      </c>
      <c r="Q419" t="s">
        <v>52</v>
      </c>
      <c r="R419">
        <v>18041</v>
      </c>
      <c r="S419">
        <v>13022</v>
      </c>
      <c r="T419">
        <v>0</v>
      </c>
      <c r="U419" t="s">
        <v>46</v>
      </c>
      <c r="V419">
        <v>14</v>
      </c>
      <c r="W419" t="s">
        <v>43</v>
      </c>
      <c r="X419" t="s">
        <v>41</v>
      </c>
      <c r="Y419">
        <v>0</v>
      </c>
      <c r="Z419">
        <v>21</v>
      </c>
      <c r="AA419">
        <v>2</v>
      </c>
      <c r="AB419" t="s">
        <v>54</v>
      </c>
      <c r="AC419">
        <v>20</v>
      </c>
      <c r="AD419" t="str" cm="1">
        <f t="array" ref="AD419">_xlfn.IFS(AC419&lt;=5,"0-5",AC419&lt;=10,"5-10",AC419&lt;=40,"10-40")</f>
        <v>10-40</v>
      </c>
      <c r="AE419">
        <v>15</v>
      </c>
      <c r="AF419">
        <v>1</v>
      </c>
      <c r="AG419">
        <v>12</v>
      </c>
      <c r="AH419">
        <v>418</v>
      </c>
    </row>
    <row r="420" spans="1:34" x14ac:dyDescent="0.3">
      <c r="A420">
        <v>26</v>
      </c>
      <c r="B420" t="str" cm="1">
        <f t="array" ref="B420">_xlfn.IFS(A420&lt;=25,"18-25",A420&lt;=35,"26-35",A420&lt;=45,"36-45",A420&lt;=55,"46-55",A420&gt;55,"55+")</f>
        <v>26-35</v>
      </c>
      <c r="C420">
        <v>0</v>
      </c>
      <c r="D420" t="s">
        <v>32</v>
      </c>
      <c r="E420">
        <v>1349</v>
      </c>
      <c r="F420" t="s">
        <v>48</v>
      </c>
      <c r="G420">
        <v>23</v>
      </c>
      <c r="H420" t="s">
        <v>61</v>
      </c>
      <c r="I420" t="s">
        <v>35</v>
      </c>
      <c r="J420" t="s">
        <v>44</v>
      </c>
      <c r="K420" t="s">
        <v>37</v>
      </c>
      <c r="L420">
        <v>90</v>
      </c>
      <c r="M420" t="s">
        <v>38</v>
      </c>
      <c r="N420" t="s">
        <v>56</v>
      </c>
      <c r="O420" t="s">
        <v>51</v>
      </c>
      <c r="P420" t="s">
        <v>41</v>
      </c>
      <c r="Q420" t="s">
        <v>62</v>
      </c>
      <c r="R420">
        <v>2886</v>
      </c>
      <c r="S420">
        <v>3032</v>
      </c>
      <c r="T420">
        <v>1</v>
      </c>
      <c r="U420" t="s">
        <v>46</v>
      </c>
      <c r="V420">
        <v>22</v>
      </c>
      <c r="W420" t="s">
        <v>53</v>
      </c>
      <c r="X420" t="s">
        <v>36</v>
      </c>
      <c r="Y420">
        <v>2</v>
      </c>
      <c r="Z420">
        <v>3</v>
      </c>
      <c r="AA420">
        <v>3</v>
      </c>
      <c r="AB420" t="s">
        <v>45</v>
      </c>
      <c r="AC420">
        <v>3</v>
      </c>
      <c r="AD420" t="str" cm="1">
        <f t="array" ref="AD420">_xlfn.IFS(AC420&lt;=5,"0-5",AC420&lt;=10,"5-10",AC420&lt;=40,"10-40")</f>
        <v>0-5</v>
      </c>
      <c r="AE420">
        <v>2</v>
      </c>
      <c r="AF420">
        <v>0</v>
      </c>
      <c r="AG420">
        <v>2</v>
      </c>
      <c r="AH420">
        <v>419</v>
      </c>
    </row>
    <row r="421" spans="1:34" x14ac:dyDescent="0.3">
      <c r="A421">
        <v>30</v>
      </c>
      <c r="B421" t="str" cm="1">
        <f t="array" ref="B421">_xlfn.IFS(A421&lt;=25,"18-25",A421&lt;=35,"26-35",A421&lt;=45,"36-45",A421&lt;=55,"46-55",A421&gt;55,"55+")</f>
        <v>26-35</v>
      </c>
      <c r="C421">
        <v>0</v>
      </c>
      <c r="D421" t="s">
        <v>66</v>
      </c>
      <c r="E421">
        <v>1400</v>
      </c>
      <c r="F421" t="s">
        <v>48</v>
      </c>
      <c r="G421">
        <v>3</v>
      </c>
      <c r="H421" t="s">
        <v>61</v>
      </c>
      <c r="I421" t="s">
        <v>35</v>
      </c>
      <c r="J421" t="s">
        <v>38</v>
      </c>
      <c r="K421" t="s">
        <v>50</v>
      </c>
      <c r="L421">
        <v>53</v>
      </c>
      <c r="M421" t="s">
        <v>38</v>
      </c>
      <c r="N421" t="s">
        <v>56</v>
      </c>
      <c r="O421" t="s">
        <v>57</v>
      </c>
      <c r="P421" t="s">
        <v>41</v>
      </c>
      <c r="Q421" t="s">
        <v>52</v>
      </c>
      <c r="R421">
        <v>2097</v>
      </c>
      <c r="S421">
        <v>16734</v>
      </c>
      <c r="T421">
        <v>4</v>
      </c>
      <c r="U421" t="s">
        <v>46</v>
      </c>
      <c r="V421">
        <v>15</v>
      </c>
      <c r="W421" t="s">
        <v>43</v>
      </c>
      <c r="X421" t="s">
        <v>38</v>
      </c>
      <c r="Y421">
        <v>1</v>
      </c>
      <c r="Z421">
        <v>9</v>
      </c>
      <c r="AA421">
        <v>3</v>
      </c>
      <c r="AB421" t="s">
        <v>45</v>
      </c>
      <c r="AC421">
        <v>5</v>
      </c>
      <c r="AD421" t="str" cm="1">
        <f t="array" ref="AD421">_xlfn.IFS(AC421&lt;=5,"0-5",AC421&lt;=10,"5-10",AC421&lt;=40,"10-40")</f>
        <v>0-5</v>
      </c>
      <c r="AE421">
        <v>3</v>
      </c>
      <c r="AF421">
        <v>1</v>
      </c>
      <c r="AG421">
        <v>4</v>
      </c>
      <c r="AH421">
        <v>420</v>
      </c>
    </row>
    <row r="422" spans="1:34" x14ac:dyDescent="0.3">
      <c r="A422">
        <v>29</v>
      </c>
      <c r="B422" t="str" cm="1">
        <f t="array" ref="B422">_xlfn.IFS(A422&lt;=25,"18-25",A422&lt;=35,"26-35",A422&lt;=45,"36-45",A422&lt;=55,"46-55",A422&gt;55,"55+")</f>
        <v>26-35</v>
      </c>
      <c r="C422">
        <v>0</v>
      </c>
      <c r="D422" t="s">
        <v>32</v>
      </c>
      <c r="E422">
        <v>986</v>
      </c>
      <c r="F422" t="s">
        <v>48</v>
      </c>
      <c r="G422">
        <v>3</v>
      </c>
      <c r="H422" t="s">
        <v>58</v>
      </c>
      <c r="I422" t="s">
        <v>59</v>
      </c>
      <c r="J422" t="s">
        <v>36</v>
      </c>
      <c r="K422" t="s">
        <v>50</v>
      </c>
      <c r="L422">
        <v>93</v>
      </c>
      <c r="M422" t="s">
        <v>36</v>
      </c>
      <c r="N422" t="s">
        <v>63</v>
      </c>
      <c r="O422" t="s">
        <v>70</v>
      </c>
      <c r="P422" t="s">
        <v>38</v>
      </c>
      <c r="Q422" t="s">
        <v>52</v>
      </c>
      <c r="R422">
        <v>11935</v>
      </c>
      <c r="S422">
        <v>21526</v>
      </c>
      <c r="T422">
        <v>1</v>
      </c>
      <c r="U422" t="s">
        <v>46</v>
      </c>
      <c r="V422">
        <v>18</v>
      </c>
      <c r="W422" t="s">
        <v>43</v>
      </c>
      <c r="X422" t="s">
        <v>38</v>
      </c>
      <c r="Y422">
        <v>0</v>
      </c>
      <c r="Z422">
        <v>10</v>
      </c>
      <c r="AA422">
        <v>2</v>
      </c>
      <c r="AB422" t="s">
        <v>54</v>
      </c>
      <c r="AC422">
        <v>10</v>
      </c>
      <c r="AD422" t="str" cm="1">
        <f t="array" ref="AD422">_xlfn.IFS(AC422&lt;=5,"0-5",AC422&lt;=10,"5-10",AC422&lt;=40,"10-40")</f>
        <v>5-10</v>
      </c>
      <c r="AE422">
        <v>2</v>
      </c>
      <c r="AF422">
        <v>0</v>
      </c>
      <c r="AG422">
        <v>7</v>
      </c>
      <c r="AH422">
        <v>421</v>
      </c>
    </row>
    <row r="423" spans="1:34" x14ac:dyDescent="0.3">
      <c r="A423">
        <v>29</v>
      </c>
      <c r="B423" t="str" cm="1">
        <f t="array" ref="B423">_xlfn.IFS(A423&lt;=25,"18-25",A423&lt;=35,"26-35",A423&lt;=45,"36-45",A423&lt;=55,"46-55",A423&gt;55,"55+")</f>
        <v>26-35</v>
      </c>
      <c r="C423">
        <v>1</v>
      </c>
      <c r="D423" t="s">
        <v>32</v>
      </c>
      <c r="E423">
        <v>408</v>
      </c>
      <c r="F423" t="s">
        <v>48</v>
      </c>
      <c r="G423">
        <v>25</v>
      </c>
      <c r="H423" t="s">
        <v>75</v>
      </c>
      <c r="I423" t="s">
        <v>74</v>
      </c>
      <c r="J423" t="s">
        <v>38</v>
      </c>
      <c r="K423" t="s">
        <v>37</v>
      </c>
      <c r="L423">
        <v>71</v>
      </c>
      <c r="M423" t="s">
        <v>36</v>
      </c>
      <c r="N423" t="s">
        <v>56</v>
      </c>
      <c r="O423" t="s">
        <v>51</v>
      </c>
      <c r="P423" t="s">
        <v>36</v>
      </c>
      <c r="Q423" t="s">
        <v>52</v>
      </c>
      <c r="R423">
        <v>2546</v>
      </c>
      <c r="S423">
        <v>18300</v>
      </c>
      <c r="T423">
        <v>5</v>
      </c>
      <c r="U423" t="s">
        <v>46</v>
      </c>
      <c r="V423">
        <v>16</v>
      </c>
      <c r="W423" t="s">
        <v>43</v>
      </c>
      <c r="X423" t="s">
        <v>36</v>
      </c>
      <c r="Y423">
        <v>0</v>
      </c>
      <c r="Z423">
        <v>6</v>
      </c>
      <c r="AA423">
        <v>2</v>
      </c>
      <c r="AB423" t="s">
        <v>73</v>
      </c>
      <c r="AC423">
        <v>2</v>
      </c>
      <c r="AD423" t="str" cm="1">
        <f t="array" ref="AD423">_xlfn.IFS(AC423&lt;=5,"0-5",AC423&lt;=10,"5-10",AC423&lt;=40,"10-40")</f>
        <v>0-5</v>
      </c>
      <c r="AE423">
        <v>2</v>
      </c>
      <c r="AF423">
        <v>1</v>
      </c>
      <c r="AG423">
        <v>1</v>
      </c>
      <c r="AH423">
        <v>422</v>
      </c>
    </row>
    <row r="424" spans="1:34" x14ac:dyDescent="0.3">
      <c r="A424">
        <v>19</v>
      </c>
      <c r="B424" t="str" cm="1">
        <f t="array" ref="B424">_xlfn.IFS(A424&lt;=25,"18-25",A424&lt;=35,"26-35",A424&lt;=45,"36-45",A424&lt;=55,"46-55",A424&gt;55,"55+")</f>
        <v>18-25</v>
      </c>
      <c r="C424">
        <v>1</v>
      </c>
      <c r="D424" t="s">
        <v>32</v>
      </c>
      <c r="E424">
        <v>489</v>
      </c>
      <c r="F424" t="s">
        <v>76</v>
      </c>
      <c r="G424">
        <v>2</v>
      </c>
      <c r="H424" t="s">
        <v>34</v>
      </c>
      <c r="I424" t="s">
        <v>74</v>
      </c>
      <c r="J424" t="s">
        <v>44</v>
      </c>
      <c r="K424" t="s">
        <v>50</v>
      </c>
      <c r="L424">
        <v>52</v>
      </c>
      <c r="M424" t="s">
        <v>36</v>
      </c>
      <c r="N424" t="s">
        <v>56</v>
      </c>
      <c r="O424" t="s">
        <v>76</v>
      </c>
      <c r="P424" t="s">
        <v>41</v>
      </c>
      <c r="Q424" t="s">
        <v>42</v>
      </c>
      <c r="R424">
        <v>2564</v>
      </c>
      <c r="S424">
        <v>18437</v>
      </c>
      <c r="T424">
        <v>1</v>
      </c>
      <c r="U424" t="s">
        <v>46</v>
      </c>
      <c r="V424">
        <v>12</v>
      </c>
      <c r="W424" t="s">
        <v>43</v>
      </c>
      <c r="X424" t="s">
        <v>38</v>
      </c>
      <c r="Y424">
        <v>0</v>
      </c>
      <c r="Z424">
        <v>1</v>
      </c>
      <c r="AA424">
        <v>3</v>
      </c>
      <c r="AB424" t="s">
        <v>73</v>
      </c>
      <c r="AC424">
        <v>1</v>
      </c>
      <c r="AD424" t="str" cm="1">
        <f t="array" ref="AD424">_xlfn.IFS(AC424&lt;=5,"0-5",AC424&lt;=10,"5-10",AC424&lt;=40,"10-40")</f>
        <v>0-5</v>
      </c>
      <c r="AE424">
        <v>0</v>
      </c>
      <c r="AF424">
        <v>0</v>
      </c>
      <c r="AG424">
        <v>0</v>
      </c>
      <c r="AH424">
        <v>423</v>
      </c>
    </row>
    <row r="425" spans="1:34" x14ac:dyDescent="0.3">
      <c r="A425">
        <v>30</v>
      </c>
      <c r="B425" t="str" cm="1">
        <f t="array" ref="B425">_xlfn.IFS(A425&lt;=25,"18-25",A425&lt;=35,"26-35",A425&lt;=45,"36-45",A425&lt;=55,"46-55",A425&gt;55,"55+")</f>
        <v>26-35</v>
      </c>
      <c r="C425">
        <v>0</v>
      </c>
      <c r="D425" t="s">
        <v>66</v>
      </c>
      <c r="E425">
        <v>1398</v>
      </c>
      <c r="F425" t="s">
        <v>33</v>
      </c>
      <c r="G425">
        <v>22</v>
      </c>
      <c r="H425" t="s">
        <v>58</v>
      </c>
      <c r="I425" t="s">
        <v>55</v>
      </c>
      <c r="J425" t="s">
        <v>38</v>
      </c>
      <c r="K425" t="s">
        <v>37</v>
      </c>
      <c r="L425">
        <v>69</v>
      </c>
      <c r="M425" t="s">
        <v>38</v>
      </c>
      <c r="N425" t="s">
        <v>63</v>
      </c>
      <c r="O425" t="s">
        <v>40</v>
      </c>
      <c r="P425" t="s">
        <v>44</v>
      </c>
      <c r="Q425" t="s">
        <v>52</v>
      </c>
      <c r="R425">
        <v>8412</v>
      </c>
      <c r="S425">
        <v>2890</v>
      </c>
      <c r="T425">
        <v>0</v>
      </c>
      <c r="U425" t="s">
        <v>46</v>
      </c>
      <c r="V425">
        <v>11</v>
      </c>
      <c r="W425" t="s">
        <v>43</v>
      </c>
      <c r="X425" t="s">
        <v>38</v>
      </c>
      <c r="Y425">
        <v>0</v>
      </c>
      <c r="Z425">
        <v>10</v>
      </c>
      <c r="AA425">
        <v>3</v>
      </c>
      <c r="AB425" t="s">
        <v>54</v>
      </c>
      <c r="AC425">
        <v>9</v>
      </c>
      <c r="AD425" t="str" cm="1">
        <f t="array" ref="AD425">_xlfn.IFS(AC425&lt;=5,"0-5",AC425&lt;=10,"5-10",AC425&lt;=40,"10-40")</f>
        <v>5-10</v>
      </c>
      <c r="AE425">
        <v>8</v>
      </c>
      <c r="AF425">
        <v>7</v>
      </c>
      <c r="AG425">
        <v>8</v>
      </c>
      <c r="AH425">
        <v>424</v>
      </c>
    </row>
    <row r="426" spans="1:34" x14ac:dyDescent="0.3">
      <c r="A426">
        <v>57</v>
      </c>
      <c r="B426" t="str" cm="1">
        <f t="array" ref="B426">_xlfn.IFS(A426&lt;=25,"18-25",A426&lt;=35,"26-35",A426&lt;=45,"36-45",A426&lt;=55,"46-55",A426&gt;55,"55+")</f>
        <v>55+</v>
      </c>
      <c r="C426">
        <v>0</v>
      </c>
      <c r="D426" t="s">
        <v>32</v>
      </c>
      <c r="E426">
        <v>210</v>
      </c>
      <c r="F426" t="s">
        <v>33</v>
      </c>
      <c r="G426">
        <v>29</v>
      </c>
      <c r="H426" t="s">
        <v>61</v>
      </c>
      <c r="I426" t="s">
        <v>72</v>
      </c>
      <c r="J426" t="s">
        <v>44</v>
      </c>
      <c r="K426" t="s">
        <v>50</v>
      </c>
      <c r="L426">
        <v>56</v>
      </c>
      <c r="M426" t="s">
        <v>36</v>
      </c>
      <c r="N426" t="s">
        <v>67</v>
      </c>
      <c r="O426" t="s">
        <v>68</v>
      </c>
      <c r="P426" t="s">
        <v>41</v>
      </c>
      <c r="Q426" t="s">
        <v>62</v>
      </c>
      <c r="R426">
        <v>14118</v>
      </c>
      <c r="S426">
        <v>22102</v>
      </c>
      <c r="T426">
        <v>3</v>
      </c>
      <c r="U426" t="s">
        <v>46</v>
      </c>
      <c r="V426">
        <v>12</v>
      </c>
      <c r="W426" t="s">
        <v>43</v>
      </c>
      <c r="X426" t="s">
        <v>38</v>
      </c>
      <c r="Y426">
        <v>1</v>
      </c>
      <c r="Z426">
        <v>32</v>
      </c>
      <c r="AA426">
        <v>3</v>
      </c>
      <c r="AB426" t="s">
        <v>60</v>
      </c>
      <c r="AC426">
        <v>1</v>
      </c>
      <c r="AD426" t="str" cm="1">
        <f t="array" ref="AD426">_xlfn.IFS(AC426&lt;=5,"0-5",AC426&lt;=10,"5-10",AC426&lt;=40,"10-40")</f>
        <v>0-5</v>
      </c>
      <c r="AE426">
        <v>0</v>
      </c>
      <c r="AF426">
        <v>0</v>
      </c>
      <c r="AG426">
        <v>0</v>
      </c>
      <c r="AH426">
        <v>425</v>
      </c>
    </row>
    <row r="427" spans="1:34" x14ac:dyDescent="0.3">
      <c r="A427">
        <v>50</v>
      </c>
      <c r="B427" t="str" cm="1">
        <f t="array" ref="B427">_xlfn.IFS(A427&lt;=25,"18-25",A427&lt;=35,"26-35",A427&lt;=45,"36-45",A427&lt;=55,"46-55",A427&gt;55,"55+")</f>
        <v>46-55</v>
      </c>
      <c r="C427">
        <v>0</v>
      </c>
      <c r="D427" t="s">
        <v>32</v>
      </c>
      <c r="E427">
        <v>1099</v>
      </c>
      <c r="F427" t="s">
        <v>48</v>
      </c>
      <c r="G427">
        <v>29</v>
      </c>
      <c r="H427" t="s">
        <v>58</v>
      </c>
      <c r="I427" t="s">
        <v>35</v>
      </c>
      <c r="J427" t="s">
        <v>36</v>
      </c>
      <c r="K427" t="s">
        <v>50</v>
      </c>
      <c r="L427">
        <v>88</v>
      </c>
      <c r="M427" t="s">
        <v>36</v>
      </c>
      <c r="N427" t="s">
        <v>67</v>
      </c>
      <c r="O427" t="s">
        <v>68</v>
      </c>
      <c r="P427" t="s">
        <v>38</v>
      </c>
      <c r="Q427" t="s">
        <v>52</v>
      </c>
      <c r="R427">
        <v>17046</v>
      </c>
      <c r="S427">
        <v>9314</v>
      </c>
      <c r="T427">
        <v>0</v>
      </c>
      <c r="U427" t="s">
        <v>46</v>
      </c>
      <c r="V427">
        <v>15</v>
      </c>
      <c r="W427" t="s">
        <v>43</v>
      </c>
      <c r="X427" t="s">
        <v>36</v>
      </c>
      <c r="Y427">
        <v>1</v>
      </c>
      <c r="Z427">
        <v>28</v>
      </c>
      <c r="AA427">
        <v>2</v>
      </c>
      <c r="AB427" t="s">
        <v>54</v>
      </c>
      <c r="AC427">
        <v>27</v>
      </c>
      <c r="AD427" t="str" cm="1">
        <f t="array" ref="AD427">_xlfn.IFS(AC427&lt;=5,"0-5",AC427&lt;=10,"5-10",AC427&lt;=40,"10-40")</f>
        <v>10-40</v>
      </c>
      <c r="AE427">
        <v>10</v>
      </c>
      <c r="AF427">
        <v>15</v>
      </c>
      <c r="AG427">
        <v>7</v>
      </c>
      <c r="AH427">
        <v>426</v>
      </c>
    </row>
    <row r="428" spans="1:34" x14ac:dyDescent="0.3">
      <c r="A428">
        <v>30</v>
      </c>
      <c r="B428" t="str" cm="1">
        <f t="array" ref="B428">_xlfn.IFS(A428&lt;=25,"18-25",A428&lt;=35,"26-35",A428&lt;=45,"36-45",A428&lt;=55,"46-55",A428&gt;55,"55+")</f>
        <v>26-35</v>
      </c>
      <c r="C428">
        <v>0</v>
      </c>
      <c r="D428" t="s">
        <v>66</v>
      </c>
      <c r="E428">
        <v>1116</v>
      </c>
      <c r="F428" t="s">
        <v>48</v>
      </c>
      <c r="G428">
        <v>2</v>
      </c>
      <c r="H428" t="s">
        <v>61</v>
      </c>
      <c r="I428" t="s">
        <v>59</v>
      </c>
      <c r="J428" t="s">
        <v>38</v>
      </c>
      <c r="K428" t="s">
        <v>37</v>
      </c>
      <c r="L428">
        <v>49</v>
      </c>
      <c r="M428" t="s">
        <v>38</v>
      </c>
      <c r="N428" t="s">
        <v>56</v>
      </c>
      <c r="O428" t="s">
        <v>57</v>
      </c>
      <c r="P428" t="s">
        <v>41</v>
      </c>
      <c r="Q428" t="s">
        <v>42</v>
      </c>
      <c r="R428">
        <v>2564</v>
      </c>
      <c r="S428">
        <v>7181</v>
      </c>
      <c r="T428">
        <v>0</v>
      </c>
      <c r="U428" t="s">
        <v>46</v>
      </c>
      <c r="V428">
        <v>14</v>
      </c>
      <c r="W428" t="s">
        <v>43</v>
      </c>
      <c r="X428" t="s">
        <v>38</v>
      </c>
      <c r="Y428">
        <v>0</v>
      </c>
      <c r="Z428">
        <v>12</v>
      </c>
      <c r="AA428">
        <v>2</v>
      </c>
      <c r="AB428" t="s">
        <v>60</v>
      </c>
      <c r="AC428">
        <v>11</v>
      </c>
      <c r="AD428" t="str" cm="1">
        <f t="array" ref="AD428">_xlfn.IFS(AC428&lt;=5,"0-5",AC428&lt;=10,"5-10",AC428&lt;=40,"10-40")</f>
        <v>10-40</v>
      </c>
      <c r="AE428">
        <v>7</v>
      </c>
      <c r="AF428">
        <v>6</v>
      </c>
      <c r="AG428">
        <v>7</v>
      </c>
      <c r="AH428">
        <v>427</v>
      </c>
    </row>
    <row r="429" spans="1:34" x14ac:dyDescent="0.3">
      <c r="A429">
        <v>60</v>
      </c>
      <c r="B429" t="str" cm="1">
        <f t="array" ref="B429">_xlfn.IFS(A429&lt;=25,"18-25",A429&lt;=35,"26-35",A429&lt;=45,"36-45",A429&lt;=55,"46-55",A429&gt;55,"55+")</f>
        <v>55+</v>
      </c>
      <c r="C429">
        <v>0</v>
      </c>
      <c r="D429" t="s">
        <v>47</v>
      </c>
      <c r="E429">
        <v>1499</v>
      </c>
      <c r="F429" t="s">
        <v>33</v>
      </c>
      <c r="G429">
        <v>28</v>
      </c>
      <c r="H429" t="s">
        <v>61</v>
      </c>
      <c r="I429" t="s">
        <v>72</v>
      </c>
      <c r="J429" t="s">
        <v>38</v>
      </c>
      <c r="K429" t="s">
        <v>37</v>
      </c>
      <c r="L429">
        <v>80</v>
      </c>
      <c r="M429" t="s">
        <v>36</v>
      </c>
      <c r="N429" t="s">
        <v>63</v>
      </c>
      <c r="O429" t="s">
        <v>40</v>
      </c>
      <c r="P429" t="s">
        <v>44</v>
      </c>
      <c r="Q429" t="s">
        <v>52</v>
      </c>
      <c r="R429">
        <v>10266</v>
      </c>
      <c r="S429">
        <v>2845</v>
      </c>
      <c r="T429">
        <v>4</v>
      </c>
      <c r="U429" t="s">
        <v>46</v>
      </c>
      <c r="V429">
        <v>19</v>
      </c>
      <c r="W429" t="s">
        <v>43</v>
      </c>
      <c r="X429" t="s">
        <v>41</v>
      </c>
      <c r="Y429">
        <v>0</v>
      </c>
      <c r="Z429">
        <v>22</v>
      </c>
      <c r="AA429">
        <v>5</v>
      </c>
      <c r="AB429" t="s">
        <v>73</v>
      </c>
      <c r="AC429">
        <v>18</v>
      </c>
      <c r="AD429" t="str" cm="1">
        <f t="array" ref="AD429">_xlfn.IFS(AC429&lt;=5,"0-5",AC429&lt;=10,"5-10",AC429&lt;=40,"10-40")</f>
        <v>10-40</v>
      </c>
      <c r="AE429">
        <v>13</v>
      </c>
      <c r="AF429">
        <v>13</v>
      </c>
      <c r="AG429">
        <v>11</v>
      </c>
      <c r="AH429">
        <v>428</v>
      </c>
    </row>
    <row r="430" spans="1:34" x14ac:dyDescent="0.3">
      <c r="A430">
        <v>47</v>
      </c>
      <c r="B430" t="str" cm="1">
        <f t="array" ref="B430">_xlfn.IFS(A430&lt;=25,"18-25",A430&lt;=35,"26-35",A430&lt;=45,"36-45",A430&lt;=55,"46-55",A430&gt;55,"55+")</f>
        <v>46-55</v>
      </c>
      <c r="C430">
        <v>0</v>
      </c>
      <c r="D430" t="s">
        <v>32</v>
      </c>
      <c r="E430">
        <v>983</v>
      </c>
      <c r="F430" t="s">
        <v>48</v>
      </c>
      <c r="G430">
        <v>2</v>
      </c>
      <c r="H430" t="s">
        <v>34</v>
      </c>
      <c r="I430" t="s">
        <v>59</v>
      </c>
      <c r="J430" t="s">
        <v>44</v>
      </c>
      <c r="K430" t="s">
        <v>37</v>
      </c>
      <c r="L430">
        <v>65</v>
      </c>
      <c r="M430" t="s">
        <v>38</v>
      </c>
      <c r="N430" t="s">
        <v>39</v>
      </c>
      <c r="O430" t="s">
        <v>64</v>
      </c>
      <c r="P430" t="s">
        <v>41</v>
      </c>
      <c r="Q430" t="s">
        <v>62</v>
      </c>
      <c r="R430">
        <v>5070</v>
      </c>
      <c r="S430">
        <v>7389</v>
      </c>
      <c r="T430">
        <v>5</v>
      </c>
      <c r="U430" t="s">
        <v>46</v>
      </c>
      <c r="V430">
        <v>13</v>
      </c>
      <c r="W430" t="s">
        <v>43</v>
      </c>
      <c r="X430" t="s">
        <v>38</v>
      </c>
      <c r="Y430">
        <v>3</v>
      </c>
      <c r="Z430">
        <v>20</v>
      </c>
      <c r="AA430">
        <v>2</v>
      </c>
      <c r="AB430" t="s">
        <v>54</v>
      </c>
      <c r="AC430">
        <v>5</v>
      </c>
      <c r="AD430" t="str" cm="1">
        <f t="array" ref="AD430">_xlfn.IFS(AC430&lt;=5,"0-5",AC430&lt;=10,"5-10",AC430&lt;=40,"10-40")</f>
        <v>0-5</v>
      </c>
      <c r="AE430">
        <v>0</v>
      </c>
      <c r="AF430">
        <v>0</v>
      </c>
      <c r="AG430">
        <v>4</v>
      </c>
      <c r="AH430">
        <v>429</v>
      </c>
    </row>
    <row r="431" spans="1:34" x14ac:dyDescent="0.3">
      <c r="A431">
        <v>46</v>
      </c>
      <c r="B431" t="str" cm="1">
        <f t="array" ref="B431">_xlfn.IFS(A431&lt;=25,"18-25",A431&lt;=35,"26-35",A431&lt;=45,"36-45",A431&lt;=55,"46-55",A431&gt;55,"55+")</f>
        <v>46-55</v>
      </c>
      <c r="C431">
        <v>0</v>
      </c>
      <c r="D431" t="s">
        <v>32</v>
      </c>
      <c r="E431">
        <v>1009</v>
      </c>
      <c r="F431" t="s">
        <v>48</v>
      </c>
      <c r="G431">
        <v>2</v>
      </c>
      <c r="H431" t="s">
        <v>61</v>
      </c>
      <c r="I431" t="s">
        <v>35</v>
      </c>
      <c r="J431" t="s">
        <v>44</v>
      </c>
      <c r="K431" t="s">
        <v>50</v>
      </c>
      <c r="L431">
        <v>51</v>
      </c>
      <c r="M431" t="s">
        <v>38</v>
      </c>
      <c r="N431" t="s">
        <v>67</v>
      </c>
      <c r="O431" t="s">
        <v>70</v>
      </c>
      <c r="P431" t="s">
        <v>38</v>
      </c>
      <c r="Q431" t="s">
        <v>52</v>
      </c>
      <c r="R431">
        <v>17861</v>
      </c>
      <c r="S431">
        <v>2288</v>
      </c>
      <c r="T431">
        <v>6</v>
      </c>
      <c r="U431" t="s">
        <v>46</v>
      </c>
      <c r="V431">
        <v>13</v>
      </c>
      <c r="W431" t="s">
        <v>43</v>
      </c>
      <c r="X431" t="s">
        <v>38</v>
      </c>
      <c r="Y431">
        <v>0</v>
      </c>
      <c r="Z431">
        <v>26</v>
      </c>
      <c r="AA431">
        <v>2</v>
      </c>
      <c r="AB431" t="s">
        <v>45</v>
      </c>
      <c r="AC431">
        <v>3</v>
      </c>
      <c r="AD431" t="str" cm="1">
        <f t="array" ref="AD431">_xlfn.IFS(AC431&lt;=5,"0-5",AC431&lt;=10,"5-10",AC431&lt;=40,"10-40")</f>
        <v>0-5</v>
      </c>
      <c r="AE431">
        <v>2</v>
      </c>
      <c r="AF431">
        <v>0</v>
      </c>
      <c r="AG431">
        <v>1</v>
      </c>
      <c r="AH431">
        <v>430</v>
      </c>
    </row>
    <row r="432" spans="1:34" x14ac:dyDescent="0.3">
      <c r="A432">
        <v>35</v>
      </c>
      <c r="B432" t="str" cm="1">
        <f t="array" ref="B432">_xlfn.IFS(A432&lt;=25,"18-25",A432&lt;=35,"26-35",A432&lt;=45,"36-45",A432&lt;=55,"46-55",A432&gt;55,"55+")</f>
        <v>26-35</v>
      </c>
      <c r="C432">
        <v>0</v>
      </c>
      <c r="D432" t="s">
        <v>32</v>
      </c>
      <c r="E432">
        <v>144</v>
      </c>
      <c r="F432" t="s">
        <v>48</v>
      </c>
      <c r="G432">
        <v>22</v>
      </c>
      <c r="H432" t="s">
        <v>61</v>
      </c>
      <c r="I432" t="s">
        <v>35</v>
      </c>
      <c r="J432" t="s">
        <v>41</v>
      </c>
      <c r="K432" t="s">
        <v>50</v>
      </c>
      <c r="L432">
        <v>46</v>
      </c>
      <c r="M432" t="s">
        <v>44</v>
      </c>
      <c r="N432" t="s">
        <v>56</v>
      </c>
      <c r="O432" t="s">
        <v>57</v>
      </c>
      <c r="P432" t="s">
        <v>38</v>
      </c>
      <c r="Q432" t="s">
        <v>42</v>
      </c>
      <c r="R432">
        <v>4230</v>
      </c>
      <c r="S432">
        <v>19225</v>
      </c>
      <c r="T432">
        <v>0</v>
      </c>
      <c r="U432" t="s">
        <v>46</v>
      </c>
      <c r="V432">
        <v>15</v>
      </c>
      <c r="W432" t="s">
        <v>43</v>
      </c>
      <c r="X432" t="s">
        <v>38</v>
      </c>
      <c r="Y432">
        <v>0</v>
      </c>
      <c r="Z432">
        <v>6</v>
      </c>
      <c r="AA432">
        <v>2</v>
      </c>
      <c r="AB432" t="s">
        <v>54</v>
      </c>
      <c r="AC432">
        <v>5</v>
      </c>
      <c r="AD432" t="str" cm="1">
        <f t="array" ref="AD432">_xlfn.IFS(AC432&lt;=5,"0-5",AC432&lt;=10,"5-10",AC432&lt;=40,"10-40")</f>
        <v>0-5</v>
      </c>
      <c r="AE432">
        <v>4</v>
      </c>
      <c r="AF432">
        <v>4</v>
      </c>
      <c r="AG432">
        <v>3</v>
      </c>
      <c r="AH432">
        <v>431</v>
      </c>
    </row>
    <row r="433" spans="1:34" x14ac:dyDescent="0.3">
      <c r="A433">
        <v>54</v>
      </c>
      <c r="B433" t="str" cm="1">
        <f t="array" ref="B433">_xlfn.IFS(A433&lt;=25,"18-25",A433&lt;=35,"26-35",A433&lt;=45,"36-45",A433&lt;=55,"46-55",A433&gt;55,"55+")</f>
        <v>46-55</v>
      </c>
      <c r="C433">
        <v>0</v>
      </c>
      <c r="D433" t="s">
        <v>32</v>
      </c>
      <c r="E433">
        <v>548</v>
      </c>
      <c r="F433" t="s">
        <v>48</v>
      </c>
      <c r="G433">
        <v>8</v>
      </c>
      <c r="H433" t="s">
        <v>58</v>
      </c>
      <c r="I433" t="s">
        <v>35</v>
      </c>
      <c r="J433" t="s">
        <v>38</v>
      </c>
      <c r="K433" t="s">
        <v>37</v>
      </c>
      <c r="L433">
        <v>42</v>
      </c>
      <c r="M433" t="s">
        <v>38</v>
      </c>
      <c r="N433" t="s">
        <v>39</v>
      </c>
      <c r="O433" t="s">
        <v>57</v>
      </c>
      <c r="P433" t="s">
        <v>38</v>
      </c>
      <c r="Q433" t="s">
        <v>42</v>
      </c>
      <c r="R433">
        <v>3780</v>
      </c>
      <c r="S433">
        <v>23428</v>
      </c>
      <c r="T433">
        <v>7</v>
      </c>
      <c r="U433" t="s">
        <v>46</v>
      </c>
      <c r="V433">
        <v>11</v>
      </c>
      <c r="W433" t="s">
        <v>43</v>
      </c>
      <c r="X433" t="s">
        <v>38</v>
      </c>
      <c r="Y433">
        <v>0</v>
      </c>
      <c r="Z433">
        <v>19</v>
      </c>
      <c r="AA433">
        <v>3</v>
      </c>
      <c r="AB433" t="s">
        <v>54</v>
      </c>
      <c r="AC433">
        <v>1</v>
      </c>
      <c r="AD433" t="str" cm="1">
        <f t="array" ref="AD433">_xlfn.IFS(AC433&lt;=5,"0-5",AC433&lt;=10,"5-10",AC433&lt;=40,"10-40")</f>
        <v>0-5</v>
      </c>
      <c r="AE433">
        <v>0</v>
      </c>
      <c r="AF433">
        <v>0</v>
      </c>
      <c r="AG433">
        <v>0</v>
      </c>
      <c r="AH433">
        <v>432</v>
      </c>
    </row>
    <row r="434" spans="1:34" x14ac:dyDescent="0.3">
      <c r="A434">
        <v>34</v>
      </c>
      <c r="B434" t="str" cm="1">
        <f t="array" ref="B434">_xlfn.IFS(A434&lt;=25,"18-25",A434&lt;=35,"26-35",A434&lt;=45,"36-45",A434&lt;=55,"46-55",A434&gt;55,"55+")</f>
        <v>26-35</v>
      </c>
      <c r="C434">
        <v>0</v>
      </c>
      <c r="D434" t="s">
        <v>32</v>
      </c>
      <c r="E434">
        <v>1303</v>
      </c>
      <c r="F434" t="s">
        <v>48</v>
      </c>
      <c r="G434">
        <v>2</v>
      </c>
      <c r="H434" t="s">
        <v>58</v>
      </c>
      <c r="I434" t="s">
        <v>35</v>
      </c>
      <c r="J434" t="s">
        <v>41</v>
      </c>
      <c r="K434" t="s">
        <v>50</v>
      </c>
      <c r="L434">
        <v>62</v>
      </c>
      <c r="M434" t="s">
        <v>36</v>
      </c>
      <c r="N434" t="s">
        <v>56</v>
      </c>
      <c r="O434" t="s">
        <v>51</v>
      </c>
      <c r="P434" t="s">
        <v>38</v>
      </c>
      <c r="Q434" t="s">
        <v>62</v>
      </c>
      <c r="R434">
        <v>2768</v>
      </c>
      <c r="S434">
        <v>8416</v>
      </c>
      <c r="T434">
        <v>3</v>
      </c>
      <c r="U434" t="s">
        <v>46</v>
      </c>
      <c r="V434">
        <v>12</v>
      </c>
      <c r="W434" t="s">
        <v>43</v>
      </c>
      <c r="X434" t="s">
        <v>38</v>
      </c>
      <c r="Y434">
        <v>1</v>
      </c>
      <c r="Z434">
        <v>14</v>
      </c>
      <c r="AA434">
        <v>3</v>
      </c>
      <c r="AB434" t="s">
        <v>54</v>
      </c>
      <c r="AC434">
        <v>7</v>
      </c>
      <c r="AD434" t="str" cm="1">
        <f t="array" ref="AD434">_xlfn.IFS(AC434&lt;=5,"0-5",AC434&lt;=10,"5-10",AC434&lt;=40,"10-40")</f>
        <v>5-10</v>
      </c>
      <c r="AE434">
        <v>3</v>
      </c>
      <c r="AF434">
        <v>5</v>
      </c>
      <c r="AG434">
        <v>7</v>
      </c>
      <c r="AH434">
        <v>433</v>
      </c>
    </row>
    <row r="435" spans="1:34" x14ac:dyDescent="0.3">
      <c r="A435">
        <v>46</v>
      </c>
      <c r="B435" t="str" cm="1">
        <f t="array" ref="B435">_xlfn.IFS(A435&lt;=25,"18-25",A435&lt;=35,"26-35",A435&lt;=45,"36-45",A435&lt;=55,"46-55",A435&gt;55,"55+")</f>
        <v>46-55</v>
      </c>
      <c r="C435">
        <v>0</v>
      </c>
      <c r="D435" t="s">
        <v>32</v>
      </c>
      <c r="E435">
        <v>1125</v>
      </c>
      <c r="F435" t="s">
        <v>33</v>
      </c>
      <c r="G435">
        <v>10</v>
      </c>
      <c r="H435" t="s">
        <v>61</v>
      </c>
      <c r="I435" t="s">
        <v>72</v>
      </c>
      <c r="J435" t="s">
        <v>38</v>
      </c>
      <c r="K435" t="s">
        <v>37</v>
      </c>
      <c r="L435">
        <v>94</v>
      </c>
      <c r="M435" t="s">
        <v>36</v>
      </c>
      <c r="N435" t="s">
        <v>63</v>
      </c>
      <c r="O435" t="s">
        <v>40</v>
      </c>
      <c r="P435" t="s">
        <v>41</v>
      </c>
      <c r="Q435" t="s">
        <v>52</v>
      </c>
      <c r="R435">
        <v>9071</v>
      </c>
      <c r="S435">
        <v>11563</v>
      </c>
      <c r="T435">
        <v>2</v>
      </c>
      <c r="U435" t="s">
        <v>31</v>
      </c>
      <c r="V435">
        <v>19</v>
      </c>
      <c r="W435" t="s">
        <v>43</v>
      </c>
      <c r="X435" t="s">
        <v>38</v>
      </c>
      <c r="Y435">
        <v>1</v>
      </c>
      <c r="Z435">
        <v>15</v>
      </c>
      <c r="AA435">
        <v>3</v>
      </c>
      <c r="AB435" t="s">
        <v>54</v>
      </c>
      <c r="AC435">
        <v>3</v>
      </c>
      <c r="AD435" t="str" cm="1">
        <f t="array" ref="AD435">_xlfn.IFS(AC435&lt;=5,"0-5",AC435&lt;=10,"5-10",AC435&lt;=40,"10-40")</f>
        <v>0-5</v>
      </c>
      <c r="AE435">
        <v>2</v>
      </c>
      <c r="AF435">
        <v>1</v>
      </c>
      <c r="AG435">
        <v>2</v>
      </c>
      <c r="AH435">
        <v>434</v>
      </c>
    </row>
    <row r="436" spans="1:34" x14ac:dyDescent="0.3">
      <c r="A436">
        <v>31</v>
      </c>
      <c r="B436" t="str" cm="1">
        <f t="array" ref="B436">_xlfn.IFS(A436&lt;=25,"18-25",A436&lt;=35,"26-35",A436&lt;=45,"36-45",A436&lt;=55,"46-55",A436&gt;55,"55+")</f>
        <v>26-35</v>
      </c>
      <c r="C436">
        <v>0</v>
      </c>
      <c r="D436" t="s">
        <v>32</v>
      </c>
      <c r="E436">
        <v>1274</v>
      </c>
      <c r="F436" t="s">
        <v>48</v>
      </c>
      <c r="G436">
        <v>9</v>
      </c>
      <c r="H436" t="s">
        <v>49</v>
      </c>
      <c r="I436" t="s">
        <v>35</v>
      </c>
      <c r="J436" t="s">
        <v>38</v>
      </c>
      <c r="K436" t="s">
        <v>50</v>
      </c>
      <c r="L436">
        <v>33</v>
      </c>
      <c r="M436" t="s">
        <v>38</v>
      </c>
      <c r="N436" t="s">
        <v>63</v>
      </c>
      <c r="O436" t="s">
        <v>64</v>
      </c>
      <c r="P436" t="s">
        <v>36</v>
      </c>
      <c r="Q436" t="s">
        <v>62</v>
      </c>
      <c r="R436">
        <v>10648</v>
      </c>
      <c r="S436">
        <v>14394</v>
      </c>
      <c r="T436">
        <v>1</v>
      </c>
      <c r="U436" t="s">
        <v>46</v>
      </c>
      <c r="V436">
        <v>25</v>
      </c>
      <c r="W436" t="s">
        <v>53</v>
      </c>
      <c r="X436" t="s">
        <v>41</v>
      </c>
      <c r="Y436">
        <v>1</v>
      </c>
      <c r="Z436">
        <v>13</v>
      </c>
      <c r="AA436">
        <v>6</v>
      </c>
      <c r="AB436" t="s">
        <v>73</v>
      </c>
      <c r="AC436">
        <v>13</v>
      </c>
      <c r="AD436" t="str" cm="1">
        <f t="array" ref="AD436">_xlfn.IFS(AC436&lt;=5,"0-5",AC436&lt;=10,"5-10",AC436&lt;=40,"10-40")</f>
        <v>10-40</v>
      </c>
      <c r="AE436">
        <v>8</v>
      </c>
      <c r="AF436">
        <v>0</v>
      </c>
      <c r="AG436">
        <v>8</v>
      </c>
      <c r="AH436">
        <v>435</v>
      </c>
    </row>
    <row r="437" spans="1:34" x14ac:dyDescent="0.3">
      <c r="A437">
        <v>33</v>
      </c>
      <c r="B437" t="str" cm="1">
        <f t="array" ref="B437">_xlfn.IFS(A437&lt;=25,"18-25",A437&lt;=35,"26-35",A437&lt;=45,"36-45",A437&lt;=55,"46-55",A437&gt;55,"55+")</f>
        <v>26-35</v>
      </c>
      <c r="C437">
        <v>1</v>
      </c>
      <c r="D437" t="s">
        <v>32</v>
      </c>
      <c r="E437">
        <v>1277</v>
      </c>
      <c r="F437" t="s">
        <v>48</v>
      </c>
      <c r="G437">
        <v>15</v>
      </c>
      <c r="H437" t="s">
        <v>49</v>
      </c>
      <c r="I437" t="s">
        <v>59</v>
      </c>
      <c r="J437" t="s">
        <v>36</v>
      </c>
      <c r="K437" t="s">
        <v>50</v>
      </c>
      <c r="L437">
        <v>56</v>
      </c>
      <c r="M437" t="s">
        <v>38</v>
      </c>
      <c r="N437" t="s">
        <v>63</v>
      </c>
      <c r="O437" t="s">
        <v>68</v>
      </c>
      <c r="P437" t="s">
        <v>38</v>
      </c>
      <c r="Q437" t="s">
        <v>52</v>
      </c>
      <c r="R437">
        <v>13610</v>
      </c>
      <c r="S437">
        <v>24619</v>
      </c>
      <c r="T437">
        <v>7</v>
      </c>
      <c r="U437" t="s">
        <v>31</v>
      </c>
      <c r="V437">
        <v>12</v>
      </c>
      <c r="W437" t="s">
        <v>43</v>
      </c>
      <c r="X437" t="s">
        <v>41</v>
      </c>
      <c r="Y437">
        <v>0</v>
      </c>
      <c r="Z437">
        <v>15</v>
      </c>
      <c r="AA437">
        <v>2</v>
      </c>
      <c r="AB437" t="s">
        <v>73</v>
      </c>
      <c r="AC437">
        <v>7</v>
      </c>
      <c r="AD437" t="str" cm="1">
        <f t="array" ref="AD437">_xlfn.IFS(AC437&lt;=5,"0-5",AC437&lt;=10,"5-10",AC437&lt;=40,"10-40")</f>
        <v>5-10</v>
      </c>
      <c r="AE437">
        <v>6</v>
      </c>
      <c r="AF437">
        <v>7</v>
      </c>
      <c r="AG437">
        <v>7</v>
      </c>
      <c r="AH437">
        <v>436</v>
      </c>
    </row>
    <row r="438" spans="1:34" x14ac:dyDescent="0.3">
      <c r="A438">
        <v>33</v>
      </c>
      <c r="B438" t="str" cm="1">
        <f t="array" ref="B438">_xlfn.IFS(A438&lt;=25,"18-25",A438&lt;=35,"26-35",A438&lt;=45,"36-45",A438&lt;=55,"46-55",A438&gt;55,"55+")</f>
        <v>26-35</v>
      </c>
      <c r="C438">
        <v>1</v>
      </c>
      <c r="D438" t="s">
        <v>32</v>
      </c>
      <c r="E438">
        <v>587</v>
      </c>
      <c r="F438" t="s">
        <v>48</v>
      </c>
      <c r="G438">
        <v>10</v>
      </c>
      <c r="H438" t="s">
        <v>49</v>
      </c>
      <c r="I438" t="s">
        <v>59</v>
      </c>
      <c r="J438" t="s">
        <v>44</v>
      </c>
      <c r="K438" t="s">
        <v>50</v>
      </c>
      <c r="L438">
        <v>38</v>
      </c>
      <c r="M438" t="s">
        <v>44</v>
      </c>
      <c r="N438" t="s">
        <v>56</v>
      </c>
      <c r="O438" t="s">
        <v>57</v>
      </c>
      <c r="P438" t="s">
        <v>41</v>
      </c>
      <c r="Q438" t="s">
        <v>62</v>
      </c>
      <c r="R438">
        <v>3408</v>
      </c>
      <c r="S438">
        <v>6705</v>
      </c>
      <c r="T438">
        <v>7</v>
      </c>
      <c r="U438" t="s">
        <v>46</v>
      </c>
      <c r="V438">
        <v>13</v>
      </c>
      <c r="W438" t="s">
        <v>43</v>
      </c>
      <c r="X438" t="s">
        <v>44</v>
      </c>
      <c r="Y438">
        <v>3</v>
      </c>
      <c r="Z438">
        <v>8</v>
      </c>
      <c r="AA438">
        <v>2</v>
      </c>
      <c r="AB438" t="s">
        <v>54</v>
      </c>
      <c r="AC438">
        <v>4</v>
      </c>
      <c r="AD438" t="str" cm="1">
        <f t="array" ref="AD438">_xlfn.IFS(AC438&lt;=5,"0-5",AC438&lt;=10,"5-10",AC438&lt;=40,"10-40")</f>
        <v>0-5</v>
      </c>
      <c r="AE438">
        <v>3</v>
      </c>
      <c r="AF438">
        <v>1</v>
      </c>
      <c r="AG438">
        <v>3</v>
      </c>
      <c r="AH438">
        <v>437</v>
      </c>
    </row>
    <row r="439" spans="1:34" x14ac:dyDescent="0.3">
      <c r="A439">
        <v>30</v>
      </c>
      <c r="B439" t="str" cm="1">
        <f t="array" ref="B439">_xlfn.IFS(A439&lt;=25,"18-25",A439&lt;=35,"26-35",A439&lt;=45,"36-45",A439&lt;=55,"46-55",A439&gt;55,"55+")</f>
        <v>26-35</v>
      </c>
      <c r="C439">
        <v>0</v>
      </c>
      <c r="D439" t="s">
        <v>32</v>
      </c>
      <c r="E439">
        <v>413</v>
      </c>
      <c r="F439" t="s">
        <v>33</v>
      </c>
      <c r="G439">
        <v>7</v>
      </c>
      <c r="H439" t="s">
        <v>49</v>
      </c>
      <c r="I439" t="s">
        <v>72</v>
      </c>
      <c r="J439" t="s">
        <v>41</v>
      </c>
      <c r="K439" t="s">
        <v>50</v>
      </c>
      <c r="L439">
        <v>57</v>
      </c>
      <c r="M439" t="s">
        <v>38</v>
      </c>
      <c r="N439" t="s">
        <v>56</v>
      </c>
      <c r="O439" t="s">
        <v>69</v>
      </c>
      <c r="P439" t="s">
        <v>36</v>
      </c>
      <c r="Q439" t="s">
        <v>42</v>
      </c>
      <c r="R439">
        <v>2983</v>
      </c>
      <c r="S439">
        <v>18398</v>
      </c>
      <c r="T439">
        <v>0</v>
      </c>
      <c r="U439" t="s">
        <v>46</v>
      </c>
      <c r="V439">
        <v>14</v>
      </c>
      <c r="W439" t="s">
        <v>43</v>
      </c>
      <c r="X439" t="s">
        <v>44</v>
      </c>
      <c r="Y439">
        <v>0</v>
      </c>
      <c r="Z439">
        <v>4</v>
      </c>
      <c r="AA439">
        <v>3</v>
      </c>
      <c r="AB439" t="s">
        <v>54</v>
      </c>
      <c r="AC439">
        <v>3</v>
      </c>
      <c r="AD439" t="str" cm="1">
        <f t="array" ref="AD439">_xlfn.IFS(AC439&lt;=5,"0-5",AC439&lt;=10,"5-10",AC439&lt;=40,"10-40")</f>
        <v>0-5</v>
      </c>
      <c r="AE439">
        <v>2</v>
      </c>
      <c r="AF439">
        <v>1</v>
      </c>
      <c r="AG439">
        <v>2</v>
      </c>
      <c r="AH439">
        <v>438</v>
      </c>
    </row>
    <row r="440" spans="1:34" x14ac:dyDescent="0.3">
      <c r="A440">
        <v>35</v>
      </c>
      <c r="B440" t="str" cm="1">
        <f t="array" ref="B440">_xlfn.IFS(A440&lt;=25,"18-25",A440&lt;=35,"26-35",A440&lt;=45,"36-45",A440&lt;=55,"46-55",A440&gt;55,"55+")</f>
        <v>26-35</v>
      </c>
      <c r="C440">
        <v>0</v>
      </c>
      <c r="D440" t="s">
        <v>32</v>
      </c>
      <c r="E440">
        <v>1276</v>
      </c>
      <c r="F440" t="s">
        <v>48</v>
      </c>
      <c r="G440">
        <v>16</v>
      </c>
      <c r="H440" t="s">
        <v>61</v>
      </c>
      <c r="I440" t="s">
        <v>35</v>
      </c>
      <c r="J440" t="s">
        <v>41</v>
      </c>
      <c r="K440" t="s">
        <v>50</v>
      </c>
      <c r="L440">
        <v>72</v>
      </c>
      <c r="M440" t="s">
        <v>38</v>
      </c>
      <c r="N440" t="s">
        <v>63</v>
      </c>
      <c r="O440" t="s">
        <v>65</v>
      </c>
      <c r="P440" t="s">
        <v>38</v>
      </c>
      <c r="Q440" t="s">
        <v>52</v>
      </c>
      <c r="R440">
        <v>7632</v>
      </c>
      <c r="S440">
        <v>14295</v>
      </c>
      <c r="T440">
        <v>4</v>
      </c>
      <c r="U440" t="s">
        <v>31</v>
      </c>
      <c r="V440">
        <v>12</v>
      </c>
      <c r="W440" t="s">
        <v>43</v>
      </c>
      <c r="X440" t="s">
        <v>38</v>
      </c>
      <c r="Y440">
        <v>0</v>
      </c>
      <c r="Z440">
        <v>10</v>
      </c>
      <c r="AA440">
        <v>2</v>
      </c>
      <c r="AB440" t="s">
        <v>54</v>
      </c>
      <c r="AC440">
        <v>8</v>
      </c>
      <c r="AD440" t="str" cm="1">
        <f t="array" ref="AD440">_xlfn.IFS(AC440&lt;=5,"0-5",AC440&lt;=10,"5-10",AC440&lt;=40,"10-40")</f>
        <v>5-10</v>
      </c>
      <c r="AE440">
        <v>7</v>
      </c>
      <c r="AF440">
        <v>0</v>
      </c>
      <c r="AG440">
        <v>0</v>
      </c>
      <c r="AH440">
        <v>439</v>
      </c>
    </row>
    <row r="441" spans="1:34" x14ac:dyDescent="0.3">
      <c r="A441">
        <v>31</v>
      </c>
      <c r="B441" t="str" cm="1">
        <f t="array" ref="B441">_xlfn.IFS(A441&lt;=25,"18-25",A441&lt;=35,"26-35",A441&lt;=45,"36-45",A441&lt;=55,"46-55",A441&gt;55,"55+")</f>
        <v>26-35</v>
      </c>
      <c r="C441">
        <v>1</v>
      </c>
      <c r="D441" t="s">
        <v>47</v>
      </c>
      <c r="E441">
        <v>534</v>
      </c>
      <c r="F441" t="s">
        <v>48</v>
      </c>
      <c r="G441">
        <v>20</v>
      </c>
      <c r="H441" t="s">
        <v>61</v>
      </c>
      <c r="I441" t="s">
        <v>35</v>
      </c>
      <c r="J441" t="s">
        <v>44</v>
      </c>
      <c r="K441" t="s">
        <v>50</v>
      </c>
      <c r="L441">
        <v>66</v>
      </c>
      <c r="M441" t="s">
        <v>38</v>
      </c>
      <c r="N441" t="s">
        <v>63</v>
      </c>
      <c r="O441" t="s">
        <v>65</v>
      </c>
      <c r="P441" t="s">
        <v>38</v>
      </c>
      <c r="Q441" t="s">
        <v>52</v>
      </c>
      <c r="R441">
        <v>9824</v>
      </c>
      <c r="S441">
        <v>22908</v>
      </c>
      <c r="T441">
        <v>3</v>
      </c>
      <c r="U441" t="s">
        <v>46</v>
      </c>
      <c r="V441">
        <v>12</v>
      </c>
      <c r="W441" t="s">
        <v>43</v>
      </c>
      <c r="X441" t="s">
        <v>44</v>
      </c>
      <c r="Y441">
        <v>0</v>
      </c>
      <c r="Z441">
        <v>12</v>
      </c>
      <c r="AA441">
        <v>2</v>
      </c>
      <c r="AB441" t="s">
        <v>54</v>
      </c>
      <c r="AC441">
        <v>1</v>
      </c>
      <c r="AD441" t="str" cm="1">
        <f t="array" ref="AD441">_xlfn.IFS(AC441&lt;=5,"0-5",AC441&lt;=10,"5-10",AC441&lt;=40,"10-40")</f>
        <v>0-5</v>
      </c>
      <c r="AE441">
        <v>0</v>
      </c>
      <c r="AF441">
        <v>0</v>
      </c>
      <c r="AG441">
        <v>0</v>
      </c>
      <c r="AH441">
        <v>440</v>
      </c>
    </row>
    <row r="442" spans="1:34" x14ac:dyDescent="0.3">
      <c r="A442">
        <v>34</v>
      </c>
      <c r="B442" t="str" cm="1">
        <f t="array" ref="B442">_xlfn.IFS(A442&lt;=25,"18-25",A442&lt;=35,"26-35",A442&lt;=45,"36-45",A442&lt;=55,"46-55",A442&gt;55,"55+")</f>
        <v>26-35</v>
      </c>
      <c r="C442">
        <v>1</v>
      </c>
      <c r="D442" t="s">
        <v>47</v>
      </c>
      <c r="E442">
        <v>988</v>
      </c>
      <c r="F442" t="s">
        <v>76</v>
      </c>
      <c r="G442">
        <v>23</v>
      </c>
      <c r="H442" t="s">
        <v>61</v>
      </c>
      <c r="I442" t="s">
        <v>76</v>
      </c>
      <c r="J442" t="s">
        <v>36</v>
      </c>
      <c r="K442" t="s">
        <v>37</v>
      </c>
      <c r="L442">
        <v>43</v>
      </c>
      <c r="M442" t="s">
        <v>38</v>
      </c>
      <c r="N442" t="s">
        <v>63</v>
      </c>
      <c r="O442" t="s">
        <v>76</v>
      </c>
      <c r="P442" t="s">
        <v>44</v>
      </c>
      <c r="Q442" t="s">
        <v>62</v>
      </c>
      <c r="R442">
        <v>9950</v>
      </c>
      <c r="S442">
        <v>11533</v>
      </c>
      <c r="T442">
        <v>9</v>
      </c>
      <c r="U442" t="s">
        <v>31</v>
      </c>
      <c r="V442">
        <v>15</v>
      </c>
      <c r="W442" t="s">
        <v>43</v>
      </c>
      <c r="X442" t="s">
        <v>38</v>
      </c>
      <c r="Y442">
        <v>3</v>
      </c>
      <c r="Z442">
        <v>11</v>
      </c>
      <c r="AA442">
        <v>2</v>
      </c>
      <c r="AB442" t="s">
        <v>54</v>
      </c>
      <c r="AC442">
        <v>3</v>
      </c>
      <c r="AD442" t="str" cm="1">
        <f t="array" ref="AD442">_xlfn.IFS(AC442&lt;=5,"0-5",AC442&lt;=10,"5-10",AC442&lt;=40,"10-40")</f>
        <v>0-5</v>
      </c>
      <c r="AE442">
        <v>2</v>
      </c>
      <c r="AF442">
        <v>0</v>
      </c>
      <c r="AG442">
        <v>2</v>
      </c>
      <c r="AH442">
        <v>441</v>
      </c>
    </row>
    <row r="443" spans="1:34" x14ac:dyDescent="0.3">
      <c r="A443">
        <v>42</v>
      </c>
      <c r="B443" t="str" cm="1">
        <f t="array" ref="B443">_xlfn.IFS(A443&lt;=25,"18-25",A443&lt;=35,"26-35",A443&lt;=45,"36-45",A443&lt;=55,"46-55",A443&gt;55,"55+")</f>
        <v>36-45</v>
      </c>
      <c r="C443">
        <v>0</v>
      </c>
      <c r="D443" t="s">
        <v>47</v>
      </c>
      <c r="E443">
        <v>1474</v>
      </c>
      <c r="F443" t="s">
        <v>48</v>
      </c>
      <c r="G443">
        <v>5</v>
      </c>
      <c r="H443" t="s">
        <v>34</v>
      </c>
      <c r="I443" t="s">
        <v>55</v>
      </c>
      <c r="J443" t="s">
        <v>36</v>
      </c>
      <c r="K443" t="s">
        <v>50</v>
      </c>
      <c r="L443">
        <v>97</v>
      </c>
      <c r="M443" t="s">
        <v>38</v>
      </c>
      <c r="N443" t="s">
        <v>56</v>
      </c>
      <c r="O443" t="s">
        <v>57</v>
      </c>
      <c r="P443" t="s">
        <v>38</v>
      </c>
      <c r="Q443" t="s">
        <v>52</v>
      </c>
      <c r="R443">
        <v>2093</v>
      </c>
      <c r="S443">
        <v>9260</v>
      </c>
      <c r="T443">
        <v>4</v>
      </c>
      <c r="U443" t="s">
        <v>46</v>
      </c>
      <c r="V443">
        <v>17</v>
      </c>
      <c r="W443" t="s">
        <v>43</v>
      </c>
      <c r="X443" t="s">
        <v>41</v>
      </c>
      <c r="Y443">
        <v>1</v>
      </c>
      <c r="Z443">
        <v>8</v>
      </c>
      <c r="AA443">
        <v>4</v>
      </c>
      <c r="AB443" t="s">
        <v>54</v>
      </c>
      <c r="AC443">
        <v>2</v>
      </c>
      <c r="AD443" t="str" cm="1">
        <f t="array" ref="AD443">_xlfn.IFS(AC443&lt;=5,"0-5",AC443&lt;=10,"5-10",AC443&lt;=40,"10-40")</f>
        <v>0-5</v>
      </c>
      <c r="AE443">
        <v>2</v>
      </c>
      <c r="AF443">
        <v>2</v>
      </c>
      <c r="AG443">
        <v>0</v>
      </c>
      <c r="AH443">
        <v>442</v>
      </c>
    </row>
    <row r="444" spans="1:34" x14ac:dyDescent="0.3">
      <c r="A444">
        <v>36</v>
      </c>
      <c r="B444" t="str" cm="1">
        <f t="array" ref="B444">_xlfn.IFS(A444&lt;=25,"18-25",A444&lt;=35,"26-35",A444&lt;=45,"36-45",A444&lt;=55,"46-55",A444&gt;55,"55+")</f>
        <v>36-45</v>
      </c>
      <c r="C444">
        <v>0</v>
      </c>
      <c r="D444" t="s">
        <v>66</v>
      </c>
      <c r="E444">
        <v>635</v>
      </c>
      <c r="F444" t="s">
        <v>33</v>
      </c>
      <c r="G444">
        <v>10</v>
      </c>
      <c r="H444" t="s">
        <v>58</v>
      </c>
      <c r="I444" t="s">
        <v>59</v>
      </c>
      <c r="J444" t="s">
        <v>36</v>
      </c>
      <c r="K444" t="s">
        <v>50</v>
      </c>
      <c r="L444">
        <v>32</v>
      </c>
      <c r="M444" t="s">
        <v>38</v>
      </c>
      <c r="N444" t="s">
        <v>63</v>
      </c>
      <c r="O444" t="s">
        <v>40</v>
      </c>
      <c r="P444" t="s">
        <v>41</v>
      </c>
      <c r="Q444" t="s">
        <v>42</v>
      </c>
      <c r="R444">
        <v>9980</v>
      </c>
      <c r="S444">
        <v>15318</v>
      </c>
      <c r="T444">
        <v>1</v>
      </c>
      <c r="U444" t="s">
        <v>46</v>
      </c>
      <c r="V444">
        <v>14</v>
      </c>
      <c r="W444" t="s">
        <v>43</v>
      </c>
      <c r="X444" t="s">
        <v>41</v>
      </c>
      <c r="Y444">
        <v>0</v>
      </c>
      <c r="Z444">
        <v>10</v>
      </c>
      <c r="AA444">
        <v>3</v>
      </c>
      <c r="AB444" t="s">
        <v>60</v>
      </c>
      <c r="AC444">
        <v>10</v>
      </c>
      <c r="AD444" t="str" cm="1">
        <f t="array" ref="AD444">_xlfn.IFS(AC444&lt;=5,"0-5",AC444&lt;=10,"5-10",AC444&lt;=40,"10-40")</f>
        <v>5-10</v>
      </c>
      <c r="AE444">
        <v>3</v>
      </c>
      <c r="AF444">
        <v>9</v>
      </c>
      <c r="AG444">
        <v>7</v>
      </c>
      <c r="AH444">
        <v>443</v>
      </c>
    </row>
    <row r="445" spans="1:34" x14ac:dyDescent="0.3">
      <c r="A445">
        <v>22</v>
      </c>
      <c r="B445" t="str" cm="1">
        <f t="array" ref="B445">_xlfn.IFS(A445&lt;=25,"18-25",A445&lt;=35,"26-35",A445&lt;=45,"36-45",A445&lt;=55,"46-55",A445&gt;55,"55+")</f>
        <v>18-25</v>
      </c>
      <c r="C445">
        <v>1</v>
      </c>
      <c r="D445" t="s">
        <v>47</v>
      </c>
      <c r="E445">
        <v>1368</v>
      </c>
      <c r="F445" t="s">
        <v>48</v>
      </c>
      <c r="G445">
        <v>4</v>
      </c>
      <c r="H445" t="s">
        <v>49</v>
      </c>
      <c r="I445" t="s">
        <v>74</v>
      </c>
      <c r="J445" t="s">
        <v>38</v>
      </c>
      <c r="K445" t="s">
        <v>50</v>
      </c>
      <c r="L445">
        <v>99</v>
      </c>
      <c r="M445" t="s">
        <v>36</v>
      </c>
      <c r="N445" t="s">
        <v>56</v>
      </c>
      <c r="O445" t="s">
        <v>57</v>
      </c>
      <c r="P445" t="s">
        <v>38</v>
      </c>
      <c r="Q445" t="s">
        <v>42</v>
      </c>
      <c r="R445">
        <v>3894</v>
      </c>
      <c r="S445">
        <v>9129</v>
      </c>
      <c r="T445">
        <v>5</v>
      </c>
      <c r="U445" t="s">
        <v>46</v>
      </c>
      <c r="V445">
        <v>16</v>
      </c>
      <c r="W445" t="s">
        <v>43</v>
      </c>
      <c r="X445" t="s">
        <v>38</v>
      </c>
      <c r="Y445">
        <v>0</v>
      </c>
      <c r="Z445">
        <v>4</v>
      </c>
      <c r="AA445">
        <v>3</v>
      </c>
      <c r="AB445" t="s">
        <v>54</v>
      </c>
      <c r="AC445">
        <v>2</v>
      </c>
      <c r="AD445" t="str" cm="1">
        <f t="array" ref="AD445">_xlfn.IFS(AC445&lt;=5,"0-5",AC445&lt;=10,"5-10",AC445&lt;=40,"10-40")</f>
        <v>0-5</v>
      </c>
      <c r="AE445">
        <v>2</v>
      </c>
      <c r="AF445">
        <v>1</v>
      </c>
      <c r="AG445">
        <v>2</v>
      </c>
      <c r="AH445">
        <v>444</v>
      </c>
    </row>
    <row r="446" spans="1:34" x14ac:dyDescent="0.3">
      <c r="A446">
        <v>48</v>
      </c>
      <c r="B446" t="str" cm="1">
        <f t="array" ref="B446">_xlfn.IFS(A446&lt;=25,"18-25",A446&lt;=35,"26-35",A446&lt;=45,"36-45",A446&lt;=55,"46-55",A446&gt;55,"55+")</f>
        <v>46-55</v>
      </c>
      <c r="C446">
        <v>0</v>
      </c>
      <c r="D446" t="s">
        <v>32</v>
      </c>
      <c r="E446">
        <v>163</v>
      </c>
      <c r="F446" t="s">
        <v>33</v>
      </c>
      <c r="G446">
        <v>2</v>
      </c>
      <c r="H446" t="s">
        <v>75</v>
      </c>
      <c r="I446" t="s">
        <v>72</v>
      </c>
      <c r="J446" t="s">
        <v>36</v>
      </c>
      <c r="K446" t="s">
        <v>37</v>
      </c>
      <c r="L446">
        <v>37</v>
      </c>
      <c r="M446" t="s">
        <v>38</v>
      </c>
      <c r="N446" t="s">
        <v>39</v>
      </c>
      <c r="O446" t="s">
        <v>40</v>
      </c>
      <c r="P446" t="s">
        <v>41</v>
      </c>
      <c r="Q446" t="s">
        <v>52</v>
      </c>
      <c r="R446">
        <v>4051</v>
      </c>
      <c r="S446">
        <v>19658</v>
      </c>
      <c r="T446">
        <v>2</v>
      </c>
      <c r="U446" t="s">
        <v>46</v>
      </c>
      <c r="V446">
        <v>14</v>
      </c>
      <c r="W446" t="s">
        <v>43</v>
      </c>
      <c r="X446" t="s">
        <v>44</v>
      </c>
      <c r="Y446">
        <v>1</v>
      </c>
      <c r="Z446">
        <v>14</v>
      </c>
      <c r="AA446">
        <v>2</v>
      </c>
      <c r="AB446" t="s">
        <v>54</v>
      </c>
      <c r="AC446">
        <v>9</v>
      </c>
      <c r="AD446" t="str" cm="1">
        <f t="array" ref="AD446">_xlfn.IFS(AC446&lt;=5,"0-5",AC446&lt;=10,"5-10",AC446&lt;=40,"10-40")</f>
        <v>5-10</v>
      </c>
      <c r="AE446">
        <v>7</v>
      </c>
      <c r="AF446">
        <v>6</v>
      </c>
      <c r="AG446">
        <v>7</v>
      </c>
      <c r="AH446">
        <v>445</v>
      </c>
    </row>
    <row r="447" spans="1:34" x14ac:dyDescent="0.3">
      <c r="A447">
        <v>55</v>
      </c>
      <c r="B447" t="str" cm="1">
        <f t="array" ref="B447">_xlfn.IFS(A447&lt;=25,"18-25",A447&lt;=35,"26-35",A447&lt;=45,"36-45",A447&lt;=55,"46-55",A447&gt;55,"55+")</f>
        <v>46-55</v>
      </c>
      <c r="C447">
        <v>0</v>
      </c>
      <c r="D447" t="s">
        <v>32</v>
      </c>
      <c r="E447">
        <v>1117</v>
      </c>
      <c r="F447" t="s">
        <v>33</v>
      </c>
      <c r="G447">
        <v>18</v>
      </c>
      <c r="H447" t="s">
        <v>75</v>
      </c>
      <c r="I447" t="s">
        <v>35</v>
      </c>
      <c r="J447" t="s">
        <v>44</v>
      </c>
      <c r="K447" t="s">
        <v>37</v>
      </c>
      <c r="L447">
        <v>83</v>
      </c>
      <c r="M447" t="s">
        <v>38</v>
      </c>
      <c r="N447" t="s">
        <v>67</v>
      </c>
      <c r="O447" t="s">
        <v>68</v>
      </c>
      <c r="P447" t="s">
        <v>36</v>
      </c>
      <c r="Q447" t="s">
        <v>42</v>
      </c>
      <c r="R447">
        <v>16835</v>
      </c>
      <c r="S447">
        <v>9873</v>
      </c>
      <c r="T447">
        <v>3</v>
      </c>
      <c r="U447" t="s">
        <v>46</v>
      </c>
      <c r="V447">
        <v>23</v>
      </c>
      <c r="W447" t="s">
        <v>53</v>
      </c>
      <c r="X447" t="s">
        <v>41</v>
      </c>
      <c r="Y447">
        <v>0</v>
      </c>
      <c r="Z447">
        <v>37</v>
      </c>
      <c r="AA447">
        <v>2</v>
      </c>
      <c r="AB447" t="s">
        <v>54</v>
      </c>
      <c r="AC447">
        <v>10</v>
      </c>
      <c r="AD447" t="str" cm="1">
        <f t="array" ref="AD447">_xlfn.IFS(AC447&lt;=5,"0-5",AC447&lt;=10,"5-10",AC447&lt;=40,"10-40")</f>
        <v>5-10</v>
      </c>
      <c r="AE447">
        <v>9</v>
      </c>
      <c r="AF447">
        <v>7</v>
      </c>
      <c r="AG447">
        <v>7</v>
      </c>
      <c r="AH447">
        <v>446</v>
      </c>
    </row>
    <row r="448" spans="1:34" x14ac:dyDescent="0.3">
      <c r="A448">
        <v>41</v>
      </c>
      <c r="B448" t="str" cm="1">
        <f t="array" ref="B448">_xlfn.IFS(A448&lt;=25,"18-25",A448&lt;=35,"26-35",A448&lt;=45,"36-45",A448&lt;=55,"46-55",A448&gt;55,"55+")</f>
        <v>36-45</v>
      </c>
      <c r="C448">
        <v>0</v>
      </c>
      <c r="D448" t="s">
        <v>66</v>
      </c>
      <c r="E448">
        <v>267</v>
      </c>
      <c r="F448" t="s">
        <v>33</v>
      </c>
      <c r="G448">
        <v>10</v>
      </c>
      <c r="H448" t="s">
        <v>34</v>
      </c>
      <c r="I448" t="s">
        <v>35</v>
      </c>
      <c r="J448" t="s">
        <v>41</v>
      </c>
      <c r="K448" t="s">
        <v>50</v>
      </c>
      <c r="L448">
        <v>56</v>
      </c>
      <c r="M448" t="s">
        <v>38</v>
      </c>
      <c r="N448" t="s">
        <v>39</v>
      </c>
      <c r="O448" t="s">
        <v>40</v>
      </c>
      <c r="P448" t="s">
        <v>41</v>
      </c>
      <c r="Q448" t="s">
        <v>42</v>
      </c>
      <c r="R448">
        <v>6230</v>
      </c>
      <c r="S448">
        <v>13430</v>
      </c>
      <c r="T448">
        <v>7</v>
      </c>
      <c r="U448" t="s">
        <v>46</v>
      </c>
      <c r="V448">
        <v>14</v>
      </c>
      <c r="W448" t="s">
        <v>43</v>
      </c>
      <c r="X448" t="s">
        <v>41</v>
      </c>
      <c r="Y448">
        <v>0</v>
      </c>
      <c r="Z448">
        <v>16</v>
      </c>
      <c r="AA448">
        <v>3</v>
      </c>
      <c r="AB448" t="s">
        <v>54</v>
      </c>
      <c r="AC448">
        <v>14</v>
      </c>
      <c r="AD448" t="str" cm="1">
        <f t="array" ref="AD448">_xlfn.IFS(AC448&lt;=5,"0-5",AC448&lt;=10,"5-10",AC448&lt;=40,"10-40")</f>
        <v>10-40</v>
      </c>
      <c r="AE448">
        <v>3</v>
      </c>
      <c r="AF448">
        <v>1</v>
      </c>
      <c r="AG448">
        <v>10</v>
      </c>
      <c r="AH448">
        <v>447</v>
      </c>
    </row>
    <row r="449" spans="1:34" x14ac:dyDescent="0.3">
      <c r="A449">
        <v>35</v>
      </c>
      <c r="B449" t="str" cm="1">
        <f t="array" ref="B449">_xlfn.IFS(A449&lt;=25,"18-25",A449&lt;=35,"26-35",A449&lt;=45,"36-45",A449&lt;=55,"46-55",A449&gt;55,"55+")</f>
        <v>26-35</v>
      </c>
      <c r="C449">
        <v>0</v>
      </c>
      <c r="D449" t="s">
        <v>32</v>
      </c>
      <c r="E449">
        <v>619</v>
      </c>
      <c r="F449" t="s">
        <v>33</v>
      </c>
      <c r="G449">
        <v>1</v>
      </c>
      <c r="H449" t="s">
        <v>61</v>
      </c>
      <c r="I449" t="s">
        <v>72</v>
      </c>
      <c r="J449" t="s">
        <v>36</v>
      </c>
      <c r="K449" t="s">
        <v>50</v>
      </c>
      <c r="L449">
        <v>85</v>
      </c>
      <c r="M449" t="s">
        <v>38</v>
      </c>
      <c r="N449" t="s">
        <v>39</v>
      </c>
      <c r="O449" t="s">
        <v>40</v>
      </c>
      <c r="P449" t="s">
        <v>38</v>
      </c>
      <c r="Q449" t="s">
        <v>52</v>
      </c>
      <c r="R449">
        <v>4717</v>
      </c>
      <c r="S449">
        <v>18659</v>
      </c>
      <c r="T449">
        <v>9</v>
      </c>
      <c r="U449" t="s">
        <v>46</v>
      </c>
      <c r="V449">
        <v>11</v>
      </c>
      <c r="W449" t="s">
        <v>43</v>
      </c>
      <c r="X449" t="s">
        <v>38</v>
      </c>
      <c r="Y449">
        <v>0</v>
      </c>
      <c r="Z449">
        <v>15</v>
      </c>
      <c r="AA449">
        <v>2</v>
      </c>
      <c r="AB449" t="s">
        <v>54</v>
      </c>
      <c r="AC449">
        <v>11</v>
      </c>
      <c r="AD449" t="str" cm="1">
        <f t="array" ref="AD449">_xlfn.IFS(AC449&lt;=5,"0-5",AC449&lt;=10,"5-10",AC449&lt;=40,"10-40")</f>
        <v>10-40</v>
      </c>
      <c r="AE449">
        <v>9</v>
      </c>
      <c r="AF449">
        <v>6</v>
      </c>
      <c r="AG449">
        <v>9</v>
      </c>
      <c r="AH449">
        <v>448</v>
      </c>
    </row>
    <row r="450" spans="1:34" x14ac:dyDescent="0.3">
      <c r="A450">
        <v>40</v>
      </c>
      <c r="B450" t="str" cm="1">
        <f t="array" ref="B450">_xlfn.IFS(A450&lt;=25,"18-25",A450&lt;=35,"26-35",A450&lt;=45,"36-45",A450&lt;=55,"46-55",A450&gt;55,"55+")</f>
        <v>36-45</v>
      </c>
      <c r="C450">
        <v>0</v>
      </c>
      <c r="D450" t="s">
        <v>32</v>
      </c>
      <c r="E450">
        <v>302</v>
      </c>
      <c r="F450" t="s">
        <v>48</v>
      </c>
      <c r="G450">
        <v>6</v>
      </c>
      <c r="H450" t="s">
        <v>61</v>
      </c>
      <c r="I450" t="s">
        <v>35</v>
      </c>
      <c r="J450" t="s">
        <v>36</v>
      </c>
      <c r="K450" t="s">
        <v>37</v>
      </c>
      <c r="L450">
        <v>75</v>
      </c>
      <c r="M450" t="s">
        <v>38</v>
      </c>
      <c r="N450" t="s">
        <v>67</v>
      </c>
      <c r="O450" t="s">
        <v>64</v>
      </c>
      <c r="P450" t="s">
        <v>38</v>
      </c>
      <c r="Q450" t="s">
        <v>42</v>
      </c>
      <c r="R450">
        <v>13237</v>
      </c>
      <c r="S450">
        <v>20364</v>
      </c>
      <c r="T450">
        <v>7</v>
      </c>
      <c r="U450" t="s">
        <v>46</v>
      </c>
      <c r="V450">
        <v>15</v>
      </c>
      <c r="W450" t="s">
        <v>43</v>
      </c>
      <c r="X450" t="s">
        <v>38</v>
      </c>
      <c r="Y450">
        <v>0</v>
      </c>
      <c r="Z450">
        <v>22</v>
      </c>
      <c r="AA450">
        <v>3</v>
      </c>
      <c r="AB450" t="s">
        <v>54</v>
      </c>
      <c r="AC450">
        <v>20</v>
      </c>
      <c r="AD450" t="str" cm="1">
        <f t="array" ref="AD450">_xlfn.IFS(AC450&lt;=5,"0-5",AC450&lt;=10,"5-10",AC450&lt;=40,"10-40")</f>
        <v>10-40</v>
      </c>
      <c r="AE450">
        <v>6</v>
      </c>
      <c r="AF450">
        <v>5</v>
      </c>
      <c r="AG450">
        <v>13</v>
      </c>
      <c r="AH450">
        <v>449</v>
      </c>
    </row>
    <row r="451" spans="1:34" x14ac:dyDescent="0.3">
      <c r="A451">
        <v>39</v>
      </c>
      <c r="B451" t="str" cm="1">
        <f t="array" ref="B451">_xlfn.IFS(A451&lt;=25,"18-25",A451&lt;=35,"26-35",A451&lt;=45,"36-45",A451&lt;=55,"46-55",A451&gt;55,"55+")</f>
        <v>36-45</v>
      </c>
      <c r="C451">
        <v>0</v>
      </c>
      <c r="D451" t="s">
        <v>47</v>
      </c>
      <c r="E451">
        <v>443</v>
      </c>
      <c r="F451" t="s">
        <v>48</v>
      </c>
      <c r="G451">
        <v>8</v>
      </c>
      <c r="H451" t="s">
        <v>49</v>
      </c>
      <c r="I451" t="s">
        <v>35</v>
      </c>
      <c r="J451" t="s">
        <v>38</v>
      </c>
      <c r="K451" t="s">
        <v>37</v>
      </c>
      <c r="L451">
        <v>48</v>
      </c>
      <c r="M451" t="s">
        <v>38</v>
      </c>
      <c r="N451" t="s">
        <v>56</v>
      </c>
      <c r="O451" t="s">
        <v>57</v>
      </c>
      <c r="P451" t="s">
        <v>38</v>
      </c>
      <c r="Q451" t="s">
        <v>52</v>
      </c>
      <c r="R451">
        <v>3755</v>
      </c>
      <c r="S451">
        <v>17872</v>
      </c>
      <c r="T451">
        <v>1</v>
      </c>
      <c r="U451" t="s">
        <v>46</v>
      </c>
      <c r="V451">
        <v>11</v>
      </c>
      <c r="W451" t="s">
        <v>43</v>
      </c>
      <c r="X451" t="s">
        <v>44</v>
      </c>
      <c r="Y451">
        <v>1</v>
      </c>
      <c r="Z451">
        <v>8</v>
      </c>
      <c r="AA451">
        <v>3</v>
      </c>
      <c r="AB451" t="s">
        <v>54</v>
      </c>
      <c r="AC451">
        <v>8</v>
      </c>
      <c r="AD451" t="str" cm="1">
        <f t="array" ref="AD451">_xlfn.IFS(AC451&lt;=5,"0-5",AC451&lt;=10,"5-10",AC451&lt;=40,"10-40")</f>
        <v>5-10</v>
      </c>
      <c r="AE451">
        <v>3</v>
      </c>
      <c r="AF451">
        <v>0</v>
      </c>
      <c r="AG451">
        <v>7</v>
      </c>
      <c r="AH451">
        <v>450</v>
      </c>
    </row>
    <row r="452" spans="1:34" x14ac:dyDescent="0.3">
      <c r="A452">
        <v>31</v>
      </c>
      <c r="B452" t="str" cm="1">
        <f t="array" ref="B452">_xlfn.IFS(A452&lt;=25,"18-25",A452&lt;=35,"26-35",A452&lt;=45,"36-45",A452&lt;=55,"46-55",A452&gt;55,"55+")</f>
        <v>26-35</v>
      </c>
      <c r="C452">
        <v>0</v>
      </c>
      <c r="D452" t="s">
        <v>32</v>
      </c>
      <c r="E452">
        <v>828</v>
      </c>
      <c r="F452" t="s">
        <v>33</v>
      </c>
      <c r="G452">
        <v>2</v>
      </c>
      <c r="H452" t="s">
        <v>49</v>
      </c>
      <c r="I452" t="s">
        <v>35</v>
      </c>
      <c r="J452" t="s">
        <v>36</v>
      </c>
      <c r="K452" t="s">
        <v>50</v>
      </c>
      <c r="L452">
        <v>77</v>
      </c>
      <c r="M452" t="s">
        <v>38</v>
      </c>
      <c r="N452" t="s">
        <v>39</v>
      </c>
      <c r="O452" t="s">
        <v>40</v>
      </c>
      <c r="P452" t="s">
        <v>41</v>
      </c>
      <c r="Q452" t="s">
        <v>42</v>
      </c>
      <c r="R452">
        <v>6582</v>
      </c>
      <c r="S452">
        <v>8346</v>
      </c>
      <c r="T452">
        <v>4</v>
      </c>
      <c r="U452" t="s">
        <v>31</v>
      </c>
      <c r="V452">
        <v>13</v>
      </c>
      <c r="W452" t="s">
        <v>43</v>
      </c>
      <c r="X452" t="s">
        <v>38</v>
      </c>
      <c r="Y452">
        <v>0</v>
      </c>
      <c r="Z452">
        <v>10</v>
      </c>
      <c r="AA452">
        <v>2</v>
      </c>
      <c r="AB452" t="s">
        <v>73</v>
      </c>
      <c r="AC452">
        <v>6</v>
      </c>
      <c r="AD452" t="str" cm="1">
        <f t="array" ref="AD452">_xlfn.IFS(AC452&lt;=5,"0-5",AC452&lt;=10,"5-10",AC452&lt;=40,"10-40")</f>
        <v>5-10</v>
      </c>
      <c r="AE452">
        <v>5</v>
      </c>
      <c r="AF452">
        <v>0</v>
      </c>
      <c r="AG452">
        <v>5</v>
      </c>
      <c r="AH452">
        <v>451</v>
      </c>
    </row>
    <row r="453" spans="1:34" x14ac:dyDescent="0.3">
      <c r="A453">
        <v>42</v>
      </c>
      <c r="B453" t="str" cm="1">
        <f t="array" ref="B453">_xlfn.IFS(A453&lt;=25,"18-25",A453&lt;=35,"26-35",A453&lt;=45,"36-45",A453&lt;=55,"46-55",A453&gt;55,"55+")</f>
        <v>36-45</v>
      </c>
      <c r="C453">
        <v>0</v>
      </c>
      <c r="D453" t="s">
        <v>32</v>
      </c>
      <c r="E453">
        <v>319</v>
      </c>
      <c r="F453" t="s">
        <v>48</v>
      </c>
      <c r="G453">
        <v>24</v>
      </c>
      <c r="H453" t="s">
        <v>61</v>
      </c>
      <c r="I453" t="s">
        <v>59</v>
      </c>
      <c r="J453" t="s">
        <v>41</v>
      </c>
      <c r="K453" t="s">
        <v>50</v>
      </c>
      <c r="L453">
        <v>56</v>
      </c>
      <c r="M453" t="s">
        <v>38</v>
      </c>
      <c r="N453" t="s">
        <v>63</v>
      </c>
      <c r="O453" t="s">
        <v>64</v>
      </c>
      <c r="P453" t="s">
        <v>44</v>
      </c>
      <c r="Q453" t="s">
        <v>52</v>
      </c>
      <c r="R453">
        <v>7406</v>
      </c>
      <c r="S453">
        <v>6950</v>
      </c>
      <c r="T453">
        <v>1</v>
      </c>
      <c r="U453" t="s">
        <v>31</v>
      </c>
      <c r="V453">
        <v>21</v>
      </c>
      <c r="W453" t="s">
        <v>53</v>
      </c>
      <c r="X453" t="s">
        <v>41</v>
      </c>
      <c r="Y453">
        <v>1</v>
      </c>
      <c r="Z453">
        <v>10</v>
      </c>
      <c r="AA453">
        <v>5</v>
      </c>
      <c r="AB453" t="s">
        <v>60</v>
      </c>
      <c r="AC453">
        <v>10</v>
      </c>
      <c r="AD453" t="str" cm="1">
        <f t="array" ref="AD453">_xlfn.IFS(AC453&lt;=5,"0-5",AC453&lt;=10,"5-10",AC453&lt;=40,"10-40")</f>
        <v>5-10</v>
      </c>
      <c r="AE453">
        <v>9</v>
      </c>
      <c r="AF453">
        <v>5</v>
      </c>
      <c r="AG453">
        <v>8</v>
      </c>
      <c r="AH453">
        <v>452</v>
      </c>
    </row>
    <row r="454" spans="1:34" x14ac:dyDescent="0.3">
      <c r="A454">
        <v>45</v>
      </c>
      <c r="B454" t="str" cm="1">
        <f t="array" ref="B454">_xlfn.IFS(A454&lt;=25,"18-25",A454&lt;=35,"26-35",A454&lt;=45,"36-45",A454&lt;=55,"46-55",A454&gt;55,"55+")</f>
        <v>36-45</v>
      </c>
      <c r="C454">
        <v>0</v>
      </c>
      <c r="D454" t="s">
        <v>32</v>
      </c>
      <c r="E454">
        <v>561</v>
      </c>
      <c r="F454" t="s">
        <v>33</v>
      </c>
      <c r="G454">
        <v>2</v>
      </c>
      <c r="H454" t="s">
        <v>61</v>
      </c>
      <c r="I454" t="s">
        <v>55</v>
      </c>
      <c r="J454" t="s">
        <v>41</v>
      </c>
      <c r="K454" t="s">
        <v>50</v>
      </c>
      <c r="L454">
        <v>61</v>
      </c>
      <c r="M454" t="s">
        <v>38</v>
      </c>
      <c r="N454" t="s">
        <v>39</v>
      </c>
      <c r="O454" t="s">
        <v>40</v>
      </c>
      <c r="P454" t="s">
        <v>36</v>
      </c>
      <c r="Q454" t="s">
        <v>52</v>
      </c>
      <c r="R454">
        <v>4805</v>
      </c>
      <c r="S454">
        <v>16177</v>
      </c>
      <c r="T454">
        <v>0</v>
      </c>
      <c r="U454" t="s">
        <v>46</v>
      </c>
      <c r="V454">
        <v>19</v>
      </c>
      <c r="W454" t="s">
        <v>43</v>
      </c>
      <c r="X454" t="s">
        <v>36</v>
      </c>
      <c r="Y454">
        <v>1</v>
      </c>
      <c r="Z454">
        <v>9</v>
      </c>
      <c r="AA454">
        <v>3</v>
      </c>
      <c r="AB454" t="s">
        <v>73</v>
      </c>
      <c r="AC454">
        <v>8</v>
      </c>
      <c r="AD454" t="str" cm="1">
        <f t="array" ref="AD454">_xlfn.IFS(AC454&lt;=5,"0-5",AC454&lt;=10,"5-10",AC454&lt;=40,"10-40")</f>
        <v>5-10</v>
      </c>
      <c r="AE454">
        <v>7</v>
      </c>
      <c r="AF454">
        <v>3</v>
      </c>
      <c r="AG454">
        <v>7</v>
      </c>
      <c r="AH454">
        <v>453</v>
      </c>
    </row>
    <row r="455" spans="1:34" x14ac:dyDescent="0.3">
      <c r="A455">
        <v>26</v>
      </c>
      <c r="B455" t="str" cm="1">
        <f t="array" ref="B455">_xlfn.IFS(A455&lt;=25,"18-25",A455&lt;=35,"26-35",A455&lt;=45,"36-45",A455&lt;=55,"46-55",A455&gt;55,"55+")</f>
        <v>26-35</v>
      </c>
      <c r="C455">
        <v>1</v>
      </c>
      <c r="D455" t="s">
        <v>47</v>
      </c>
      <c r="E455">
        <v>426</v>
      </c>
      <c r="F455" t="s">
        <v>76</v>
      </c>
      <c r="G455">
        <v>17</v>
      </c>
      <c r="H455" t="s">
        <v>58</v>
      </c>
      <c r="I455" t="s">
        <v>35</v>
      </c>
      <c r="J455" t="s">
        <v>36</v>
      </c>
      <c r="K455" t="s">
        <v>37</v>
      </c>
      <c r="L455">
        <v>58</v>
      </c>
      <c r="M455" t="s">
        <v>38</v>
      </c>
      <c r="N455" t="s">
        <v>56</v>
      </c>
      <c r="O455" t="s">
        <v>76</v>
      </c>
      <c r="P455" t="s">
        <v>38</v>
      </c>
      <c r="Q455" t="s">
        <v>62</v>
      </c>
      <c r="R455">
        <v>2741</v>
      </c>
      <c r="S455">
        <v>22808</v>
      </c>
      <c r="T455">
        <v>0</v>
      </c>
      <c r="U455" t="s">
        <v>31</v>
      </c>
      <c r="V455">
        <v>11</v>
      </c>
      <c r="W455" t="s">
        <v>43</v>
      </c>
      <c r="X455" t="s">
        <v>36</v>
      </c>
      <c r="Y455">
        <v>1</v>
      </c>
      <c r="Z455">
        <v>8</v>
      </c>
      <c r="AA455">
        <v>2</v>
      </c>
      <c r="AB455" t="s">
        <v>60</v>
      </c>
      <c r="AC455">
        <v>7</v>
      </c>
      <c r="AD455" t="str" cm="1">
        <f t="array" ref="AD455">_xlfn.IFS(AC455&lt;=5,"0-5",AC455&lt;=10,"5-10",AC455&lt;=40,"10-40")</f>
        <v>5-10</v>
      </c>
      <c r="AE455">
        <v>7</v>
      </c>
      <c r="AF455">
        <v>1</v>
      </c>
      <c r="AG455">
        <v>0</v>
      </c>
      <c r="AH455">
        <v>454</v>
      </c>
    </row>
    <row r="456" spans="1:34" x14ac:dyDescent="0.3">
      <c r="A456">
        <v>29</v>
      </c>
      <c r="B456" t="str" cm="1">
        <f t="array" ref="B456">_xlfn.IFS(A456&lt;=25,"18-25",A456&lt;=35,"26-35",A456&lt;=45,"36-45",A456&lt;=55,"46-55",A456&gt;55,"55+")</f>
        <v>26-35</v>
      </c>
      <c r="C456">
        <v>0</v>
      </c>
      <c r="D456" t="s">
        <v>32</v>
      </c>
      <c r="E456">
        <v>232</v>
      </c>
      <c r="F456" t="s">
        <v>48</v>
      </c>
      <c r="G456">
        <v>19</v>
      </c>
      <c r="H456" t="s">
        <v>61</v>
      </c>
      <c r="I456" t="s">
        <v>74</v>
      </c>
      <c r="J456" t="s">
        <v>41</v>
      </c>
      <c r="K456" t="s">
        <v>50</v>
      </c>
      <c r="L456">
        <v>34</v>
      </c>
      <c r="M456" t="s">
        <v>38</v>
      </c>
      <c r="N456" t="s">
        <v>39</v>
      </c>
      <c r="O456" t="s">
        <v>64</v>
      </c>
      <c r="P456" t="s">
        <v>41</v>
      </c>
      <c r="Q456" t="s">
        <v>62</v>
      </c>
      <c r="R456">
        <v>4262</v>
      </c>
      <c r="S456">
        <v>22645</v>
      </c>
      <c r="T456">
        <v>4</v>
      </c>
      <c r="U456" t="s">
        <v>46</v>
      </c>
      <c r="V456">
        <v>12</v>
      </c>
      <c r="W456" t="s">
        <v>43</v>
      </c>
      <c r="X456" t="s">
        <v>36</v>
      </c>
      <c r="Y456">
        <v>2</v>
      </c>
      <c r="Z456">
        <v>8</v>
      </c>
      <c r="AA456">
        <v>2</v>
      </c>
      <c r="AB456" t="s">
        <v>73</v>
      </c>
      <c r="AC456">
        <v>3</v>
      </c>
      <c r="AD456" t="str" cm="1">
        <f t="array" ref="AD456">_xlfn.IFS(AC456&lt;=5,"0-5",AC456&lt;=10,"5-10",AC456&lt;=40,"10-40")</f>
        <v>0-5</v>
      </c>
      <c r="AE456">
        <v>2</v>
      </c>
      <c r="AF456">
        <v>1</v>
      </c>
      <c r="AG456">
        <v>2</v>
      </c>
      <c r="AH456">
        <v>455</v>
      </c>
    </row>
    <row r="457" spans="1:34" x14ac:dyDescent="0.3">
      <c r="A457">
        <v>33</v>
      </c>
      <c r="B457" t="str" cm="1">
        <f t="array" ref="B457">_xlfn.IFS(A457&lt;=25,"18-25",A457&lt;=35,"26-35",A457&lt;=45,"36-45",A457&lt;=55,"46-55",A457&gt;55,"55+")</f>
        <v>26-35</v>
      </c>
      <c r="C457">
        <v>0</v>
      </c>
      <c r="D457" t="s">
        <v>32</v>
      </c>
      <c r="E457">
        <v>922</v>
      </c>
      <c r="F457" t="s">
        <v>48</v>
      </c>
      <c r="G457">
        <v>1</v>
      </c>
      <c r="H457" t="s">
        <v>75</v>
      </c>
      <c r="I457" t="s">
        <v>59</v>
      </c>
      <c r="J457" t="s">
        <v>44</v>
      </c>
      <c r="K457" t="s">
        <v>37</v>
      </c>
      <c r="L457">
        <v>95</v>
      </c>
      <c r="M457" t="s">
        <v>41</v>
      </c>
      <c r="N457" t="s">
        <v>67</v>
      </c>
      <c r="O457" t="s">
        <v>70</v>
      </c>
      <c r="P457" t="s">
        <v>38</v>
      </c>
      <c r="Q457" t="s">
        <v>62</v>
      </c>
      <c r="R457">
        <v>16184</v>
      </c>
      <c r="S457">
        <v>22578</v>
      </c>
      <c r="T457">
        <v>4</v>
      </c>
      <c r="U457" t="s">
        <v>46</v>
      </c>
      <c r="V457">
        <v>19</v>
      </c>
      <c r="W457" t="s">
        <v>43</v>
      </c>
      <c r="X457" t="s">
        <v>38</v>
      </c>
      <c r="Y457">
        <v>1</v>
      </c>
      <c r="Z457">
        <v>10</v>
      </c>
      <c r="AA457">
        <v>2</v>
      </c>
      <c r="AB457" t="s">
        <v>54</v>
      </c>
      <c r="AC457">
        <v>6</v>
      </c>
      <c r="AD457" t="str" cm="1">
        <f t="array" ref="AD457">_xlfn.IFS(AC457&lt;=5,"0-5",AC457&lt;=10,"5-10",AC457&lt;=40,"10-40")</f>
        <v>5-10</v>
      </c>
      <c r="AE457">
        <v>1</v>
      </c>
      <c r="AF457">
        <v>0</v>
      </c>
      <c r="AG457">
        <v>5</v>
      </c>
      <c r="AH457">
        <v>456</v>
      </c>
    </row>
    <row r="458" spans="1:34" x14ac:dyDescent="0.3">
      <c r="A458">
        <v>31</v>
      </c>
      <c r="B458" t="str" cm="1">
        <f t="array" ref="B458">_xlfn.IFS(A458&lt;=25,"18-25",A458&lt;=35,"26-35",A458&lt;=45,"36-45",A458&lt;=55,"46-55",A458&gt;55,"55+")</f>
        <v>26-35</v>
      </c>
      <c r="C458">
        <v>0</v>
      </c>
      <c r="D458" t="s">
        <v>32</v>
      </c>
      <c r="E458">
        <v>688</v>
      </c>
      <c r="F458" t="s">
        <v>33</v>
      </c>
      <c r="G458">
        <v>7</v>
      </c>
      <c r="H458" t="s">
        <v>61</v>
      </c>
      <c r="I458" t="s">
        <v>35</v>
      </c>
      <c r="J458" t="s">
        <v>38</v>
      </c>
      <c r="K458" t="s">
        <v>50</v>
      </c>
      <c r="L458">
        <v>44</v>
      </c>
      <c r="M458" t="s">
        <v>36</v>
      </c>
      <c r="N458" t="s">
        <v>63</v>
      </c>
      <c r="O458" t="s">
        <v>68</v>
      </c>
      <c r="P458" t="s">
        <v>41</v>
      </c>
      <c r="Q458" t="s">
        <v>62</v>
      </c>
      <c r="R458">
        <v>11557</v>
      </c>
      <c r="S458">
        <v>25291</v>
      </c>
      <c r="T458">
        <v>9</v>
      </c>
      <c r="U458" t="s">
        <v>46</v>
      </c>
      <c r="V458">
        <v>21</v>
      </c>
      <c r="W458" t="s">
        <v>53</v>
      </c>
      <c r="X458" t="s">
        <v>38</v>
      </c>
      <c r="Y458">
        <v>1</v>
      </c>
      <c r="Z458">
        <v>10</v>
      </c>
      <c r="AA458">
        <v>3</v>
      </c>
      <c r="AB458" t="s">
        <v>60</v>
      </c>
      <c r="AC458">
        <v>5</v>
      </c>
      <c r="AD458" t="str" cm="1">
        <f t="array" ref="AD458">_xlfn.IFS(AC458&lt;=5,"0-5",AC458&lt;=10,"5-10",AC458&lt;=40,"10-40")</f>
        <v>0-5</v>
      </c>
      <c r="AE458">
        <v>4</v>
      </c>
      <c r="AF458">
        <v>0</v>
      </c>
      <c r="AG458">
        <v>1</v>
      </c>
      <c r="AH458">
        <v>457</v>
      </c>
    </row>
    <row r="459" spans="1:34" x14ac:dyDescent="0.3">
      <c r="A459">
        <v>18</v>
      </c>
      <c r="B459" t="str" cm="1">
        <f t="array" ref="B459">_xlfn.IFS(A459&lt;=25,"18-25",A459&lt;=35,"26-35",A459&lt;=45,"36-45",A459&lt;=55,"46-55",A459&gt;55,"55+")</f>
        <v>18-25</v>
      </c>
      <c r="C459">
        <v>1</v>
      </c>
      <c r="D459" t="s">
        <v>47</v>
      </c>
      <c r="E459">
        <v>1306</v>
      </c>
      <c r="F459" t="s">
        <v>33</v>
      </c>
      <c r="G459">
        <v>5</v>
      </c>
      <c r="H459" t="s">
        <v>61</v>
      </c>
      <c r="I459" t="s">
        <v>72</v>
      </c>
      <c r="J459" t="s">
        <v>36</v>
      </c>
      <c r="K459" t="s">
        <v>50</v>
      </c>
      <c r="L459">
        <v>69</v>
      </c>
      <c r="M459" t="s">
        <v>38</v>
      </c>
      <c r="N459" t="s">
        <v>56</v>
      </c>
      <c r="O459" t="s">
        <v>69</v>
      </c>
      <c r="P459" t="s">
        <v>36</v>
      </c>
      <c r="Q459" t="s">
        <v>42</v>
      </c>
      <c r="R459">
        <v>1878</v>
      </c>
      <c r="S459">
        <v>8059</v>
      </c>
      <c r="T459">
        <v>1</v>
      </c>
      <c r="U459" t="s">
        <v>31</v>
      </c>
      <c r="V459">
        <v>14</v>
      </c>
      <c r="W459" t="s">
        <v>43</v>
      </c>
      <c r="X459" t="s">
        <v>41</v>
      </c>
      <c r="Y459">
        <v>0</v>
      </c>
      <c r="Z459">
        <v>0</v>
      </c>
      <c r="AA459">
        <v>3</v>
      </c>
      <c r="AB459" t="s">
        <v>54</v>
      </c>
      <c r="AC459">
        <v>0</v>
      </c>
      <c r="AD459" t="str" cm="1">
        <f t="array" ref="AD459">_xlfn.IFS(AC459&lt;=5,"0-5",AC459&lt;=10,"5-10",AC459&lt;=40,"10-40")</f>
        <v>0-5</v>
      </c>
      <c r="AE459">
        <v>0</v>
      </c>
      <c r="AF459">
        <v>0</v>
      </c>
      <c r="AG459">
        <v>0</v>
      </c>
      <c r="AH459">
        <v>458</v>
      </c>
    </row>
    <row r="460" spans="1:34" x14ac:dyDescent="0.3">
      <c r="A460">
        <v>40</v>
      </c>
      <c r="B460" t="str" cm="1">
        <f t="array" ref="B460">_xlfn.IFS(A460&lt;=25,"18-25",A460&lt;=35,"26-35",A460&lt;=45,"36-45",A460&lt;=55,"46-55",A460&gt;55,"55+")</f>
        <v>36-45</v>
      </c>
      <c r="C460">
        <v>0</v>
      </c>
      <c r="D460" t="s">
        <v>66</v>
      </c>
      <c r="E460">
        <v>1094</v>
      </c>
      <c r="F460" t="s">
        <v>33</v>
      </c>
      <c r="G460">
        <v>28</v>
      </c>
      <c r="H460" t="s">
        <v>61</v>
      </c>
      <c r="I460" t="s">
        <v>55</v>
      </c>
      <c r="J460" t="s">
        <v>38</v>
      </c>
      <c r="K460" t="s">
        <v>50</v>
      </c>
      <c r="L460">
        <v>58</v>
      </c>
      <c r="M460" t="s">
        <v>44</v>
      </c>
      <c r="N460" t="s">
        <v>63</v>
      </c>
      <c r="O460" t="s">
        <v>40</v>
      </c>
      <c r="P460" t="s">
        <v>44</v>
      </c>
      <c r="Q460" t="s">
        <v>62</v>
      </c>
      <c r="R460">
        <v>10932</v>
      </c>
      <c r="S460">
        <v>11373</v>
      </c>
      <c r="T460">
        <v>3</v>
      </c>
      <c r="U460" t="s">
        <v>46</v>
      </c>
      <c r="V460">
        <v>15</v>
      </c>
      <c r="W460" t="s">
        <v>43</v>
      </c>
      <c r="X460" t="s">
        <v>38</v>
      </c>
      <c r="Y460">
        <v>1</v>
      </c>
      <c r="Z460">
        <v>20</v>
      </c>
      <c r="AA460">
        <v>2</v>
      </c>
      <c r="AB460" t="s">
        <v>54</v>
      </c>
      <c r="AC460">
        <v>1</v>
      </c>
      <c r="AD460" t="str" cm="1">
        <f t="array" ref="AD460">_xlfn.IFS(AC460&lt;=5,"0-5",AC460&lt;=10,"5-10",AC460&lt;=40,"10-40")</f>
        <v>0-5</v>
      </c>
      <c r="AE460">
        <v>0</v>
      </c>
      <c r="AF460">
        <v>0</v>
      </c>
      <c r="AG460">
        <v>1</v>
      </c>
      <c r="AH460">
        <v>459</v>
      </c>
    </row>
    <row r="461" spans="1:34" x14ac:dyDescent="0.3">
      <c r="A461">
        <v>41</v>
      </c>
      <c r="B461" t="str" cm="1">
        <f t="array" ref="B461">_xlfn.IFS(A461&lt;=25,"18-25",A461&lt;=35,"26-35",A461&lt;=45,"36-45",A461&lt;=55,"46-55",A461&gt;55,"55+")</f>
        <v>36-45</v>
      </c>
      <c r="C461">
        <v>0</v>
      </c>
      <c r="D461" t="s">
        <v>66</v>
      </c>
      <c r="E461">
        <v>509</v>
      </c>
      <c r="F461" t="s">
        <v>48</v>
      </c>
      <c r="G461">
        <v>2</v>
      </c>
      <c r="H461" t="s">
        <v>58</v>
      </c>
      <c r="I461" t="s">
        <v>55</v>
      </c>
      <c r="J461" t="s">
        <v>44</v>
      </c>
      <c r="K461" t="s">
        <v>37</v>
      </c>
      <c r="L461">
        <v>62</v>
      </c>
      <c r="M461" t="s">
        <v>36</v>
      </c>
      <c r="N461" t="s">
        <v>39</v>
      </c>
      <c r="O461" t="s">
        <v>65</v>
      </c>
      <c r="P461" t="s">
        <v>38</v>
      </c>
      <c r="Q461" t="s">
        <v>42</v>
      </c>
      <c r="R461">
        <v>6811</v>
      </c>
      <c r="S461">
        <v>2112</v>
      </c>
      <c r="T461">
        <v>2</v>
      </c>
      <c r="U461" t="s">
        <v>31</v>
      </c>
      <c r="V461">
        <v>17</v>
      </c>
      <c r="W461" t="s">
        <v>43</v>
      </c>
      <c r="X461" t="s">
        <v>44</v>
      </c>
      <c r="Y461">
        <v>0</v>
      </c>
      <c r="Z461">
        <v>10</v>
      </c>
      <c r="AA461">
        <v>3</v>
      </c>
      <c r="AB461" t="s">
        <v>54</v>
      </c>
      <c r="AC461">
        <v>8</v>
      </c>
      <c r="AD461" t="str" cm="1">
        <f t="array" ref="AD461">_xlfn.IFS(AC461&lt;=5,"0-5",AC461&lt;=10,"5-10",AC461&lt;=40,"10-40")</f>
        <v>5-10</v>
      </c>
      <c r="AE461">
        <v>7</v>
      </c>
      <c r="AF461">
        <v>0</v>
      </c>
      <c r="AG461">
        <v>7</v>
      </c>
      <c r="AH461">
        <v>460</v>
      </c>
    </row>
    <row r="462" spans="1:34" x14ac:dyDescent="0.3">
      <c r="A462">
        <v>26</v>
      </c>
      <c r="B462" t="str" cm="1">
        <f t="array" ref="B462">_xlfn.IFS(A462&lt;=25,"18-25",A462&lt;=35,"26-35",A462&lt;=45,"36-45",A462&lt;=55,"46-55",A462&gt;55,"55+")</f>
        <v>26-35</v>
      </c>
      <c r="C462">
        <v>0</v>
      </c>
      <c r="D462" t="s">
        <v>32</v>
      </c>
      <c r="E462">
        <v>775</v>
      </c>
      <c r="F462" t="s">
        <v>33</v>
      </c>
      <c r="G462">
        <v>29</v>
      </c>
      <c r="H462" t="s">
        <v>34</v>
      </c>
      <c r="I462" t="s">
        <v>59</v>
      </c>
      <c r="J462" t="s">
        <v>44</v>
      </c>
      <c r="K462" t="s">
        <v>50</v>
      </c>
      <c r="L462">
        <v>45</v>
      </c>
      <c r="M462" t="s">
        <v>38</v>
      </c>
      <c r="N462" t="s">
        <v>39</v>
      </c>
      <c r="O462" t="s">
        <v>40</v>
      </c>
      <c r="P462" t="s">
        <v>38</v>
      </c>
      <c r="Q462" t="s">
        <v>62</v>
      </c>
      <c r="R462">
        <v>4306</v>
      </c>
      <c r="S462">
        <v>4267</v>
      </c>
      <c r="T462">
        <v>5</v>
      </c>
      <c r="U462" t="s">
        <v>46</v>
      </c>
      <c r="V462">
        <v>12</v>
      </c>
      <c r="W462" t="s">
        <v>43</v>
      </c>
      <c r="X462" t="s">
        <v>44</v>
      </c>
      <c r="Y462">
        <v>2</v>
      </c>
      <c r="Z462">
        <v>8</v>
      </c>
      <c r="AA462">
        <v>5</v>
      </c>
      <c r="AB462" t="s">
        <v>54</v>
      </c>
      <c r="AC462">
        <v>0</v>
      </c>
      <c r="AD462" t="str" cm="1">
        <f t="array" ref="AD462">_xlfn.IFS(AC462&lt;=5,"0-5",AC462&lt;=10,"5-10",AC462&lt;=40,"10-40")</f>
        <v>0-5</v>
      </c>
      <c r="AE462">
        <v>0</v>
      </c>
      <c r="AF462">
        <v>0</v>
      </c>
      <c r="AG462">
        <v>0</v>
      </c>
      <c r="AH462">
        <v>461</v>
      </c>
    </row>
    <row r="463" spans="1:34" x14ac:dyDescent="0.3">
      <c r="A463">
        <v>35</v>
      </c>
      <c r="B463" t="str" cm="1">
        <f t="array" ref="B463">_xlfn.IFS(A463&lt;=25,"18-25",A463&lt;=35,"26-35",A463&lt;=45,"36-45",A463&lt;=55,"46-55",A463&gt;55,"55+")</f>
        <v>26-35</v>
      </c>
      <c r="C463">
        <v>0</v>
      </c>
      <c r="D463" t="s">
        <v>32</v>
      </c>
      <c r="E463">
        <v>195</v>
      </c>
      <c r="F463" t="s">
        <v>33</v>
      </c>
      <c r="G463">
        <v>1</v>
      </c>
      <c r="H463" t="s">
        <v>61</v>
      </c>
      <c r="I463" t="s">
        <v>59</v>
      </c>
      <c r="J463" t="s">
        <v>44</v>
      </c>
      <c r="K463" t="s">
        <v>37</v>
      </c>
      <c r="L463">
        <v>80</v>
      </c>
      <c r="M463" t="s">
        <v>38</v>
      </c>
      <c r="N463" t="s">
        <v>39</v>
      </c>
      <c r="O463" t="s">
        <v>40</v>
      </c>
      <c r="P463" t="s">
        <v>38</v>
      </c>
      <c r="Q463" t="s">
        <v>42</v>
      </c>
      <c r="R463">
        <v>4859</v>
      </c>
      <c r="S463">
        <v>6698</v>
      </c>
      <c r="T463">
        <v>1</v>
      </c>
      <c r="U463" t="s">
        <v>46</v>
      </c>
      <c r="V463">
        <v>16</v>
      </c>
      <c r="W463" t="s">
        <v>43</v>
      </c>
      <c r="X463" t="s">
        <v>41</v>
      </c>
      <c r="Y463">
        <v>0</v>
      </c>
      <c r="Z463">
        <v>5</v>
      </c>
      <c r="AA463">
        <v>3</v>
      </c>
      <c r="AB463" t="s">
        <v>54</v>
      </c>
      <c r="AC463">
        <v>5</v>
      </c>
      <c r="AD463" t="str" cm="1">
        <f t="array" ref="AD463">_xlfn.IFS(AC463&lt;=5,"0-5",AC463&lt;=10,"5-10",AC463&lt;=40,"10-40")</f>
        <v>0-5</v>
      </c>
      <c r="AE463">
        <v>4</v>
      </c>
      <c r="AF463">
        <v>0</v>
      </c>
      <c r="AG463">
        <v>3</v>
      </c>
      <c r="AH463">
        <v>462</v>
      </c>
    </row>
    <row r="464" spans="1:34" x14ac:dyDescent="0.3">
      <c r="A464">
        <v>34</v>
      </c>
      <c r="B464" t="str" cm="1">
        <f t="array" ref="B464">_xlfn.IFS(A464&lt;=25,"18-25",A464&lt;=35,"26-35",A464&lt;=45,"36-45",A464&lt;=55,"46-55",A464&gt;55,"55+")</f>
        <v>26-35</v>
      </c>
      <c r="C464">
        <v>0</v>
      </c>
      <c r="D464" t="s">
        <v>32</v>
      </c>
      <c r="E464">
        <v>258</v>
      </c>
      <c r="F464" t="s">
        <v>33</v>
      </c>
      <c r="G464">
        <v>21</v>
      </c>
      <c r="H464" t="s">
        <v>58</v>
      </c>
      <c r="I464" t="s">
        <v>35</v>
      </c>
      <c r="J464" t="s">
        <v>41</v>
      </c>
      <c r="K464" t="s">
        <v>50</v>
      </c>
      <c r="L464">
        <v>74</v>
      </c>
      <c r="M464" t="s">
        <v>41</v>
      </c>
      <c r="N464" t="s">
        <v>39</v>
      </c>
      <c r="O464" t="s">
        <v>40</v>
      </c>
      <c r="P464" t="s">
        <v>41</v>
      </c>
      <c r="Q464" t="s">
        <v>42</v>
      </c>
      <c r="R464">
        <v>5337</v>
      </c>
      <c r="S464">
        <v>19921</v>
      </c>
      <c r="T464">
        <v>1</v>
      </c>
      <c r="U464" t="s">
        <v>46</v>
      </c>
      <c r="V464">
        <v>12</v>
      </c>
      <c r="W464" t="s">
        <v>43</v>
      </c>
      <c r="X464" t="s">
        <v>41</v>
      </c>
      <c r="Y464">
        <v>0</v>
      </c>
      <c r="Z464">
        <v>10</v>
      </c>
      <c r="AA464">
        <v>3</v>
      </c>
      <c r="AB464" t="s">
        <v>54</v>
      </c>
      <c r="AC464">
        <v>10</v>
      </c>
      <c r="AD464" t="str" cm="1">
        <f t="array" ref="AD464">_xlfn.IFS(AC464&lt;=5,"0-5",AC464&lt;=10,"5-10",AC464&lt;=40,"10-40")</f>
        <v>5-10</v>
      </c>
      <c r="AE464">
        <v>7</v>
      </c>
      <c r="AF464">
        <v>5</v>
      </c>
      <c r="AG464">
        <v>7</v>
      </c>
      <c r="AH464">
        <v>463</v>
      </c>
    </row>
    <row r="465" spans="1:34" x14ac:dyDescent="0.3">
      <c r="A465">
        <v>26</v>
      </c>
      <c r="B465" t="str" cm="1">
        <f t="array" ref="B465">_xlfn.IFS(A465&lt;=25,"18-25",A465&lt;=35,"26-35",A465&lt;=45,"36-45",A465&lt;=55,"46-55",A465&gt;55,"55+")</f>
        <v>26-35</v>
      </c>
      <c r="C465">
        <v>1</v>
      </c>
      <c r="D465" t="s">
        <v>32</v>
      </c>
      <c r="E465">
        <v>471</v>
      </c>
      <c r="F465" t="s">
        <v>48</v>
      </c>
      <c r="G465">
        <v>24</v>
      </c>
      <c r="H465" t="s">
        <v>61</v>
      </c>
      <c r="I465" t="s">
        <v>74</v>
      </c>
      <c r="J465" t="s">
        <v>38</v>
      </c>
      <c r="K465" t="s">
        <v>50</v>
      </c>
      <c r="L465">
        <v>66</v>
      </c>
      <c r="M465" t="s">
        <v>44</v>
      </c>
      <c r="N465" t="s">
        <v>56</v>
      </c>
      <c r="O465" t="s">
        <v>57</v>
      </c>
      <c r="P465" t="s">
        <v>41</v>
      </c>
      <c r="Q465" t="s">
        <v>42</v>
      </c>
      <c r="R465">
        <v>2340</v>
      </c>
      <c r="S465">
        <v>23213</v>
      </c>
      <c r="T465">
        <v>1</v>
      </c>
      <c r="U465" t="s">
        <v>31</v>
      </c>
      <c r="V465">
        <v>18</v>
      </c>
      <c r="W465" t="s">
        <v>43</v>
      </c>
      <c r="X465" t="s">
        <v>36</v>
      </c>
      <c r="Y465">
        <v>0</v>
      </c>
      <c r="Z465">
        <v>1</v>
      </c>
      <c r="AA465">
        <v>3</v>
      </c>
      <c r="AB465" t="s">
        <v>45</v>
      </c>
      <c r="AC465">
        <v>1</v>
      </c>
      <c r="AD465" t="str" cm="1">
        <f t="array" ref="AD465">_xlfn.IFS(AC465&lt;=5,"0-5",AC465&lt;=10,"5-10",AC465&lt;=40,"10-40")</f>
        <v>0-5</v>
      </c>
      <c r="AE465">
        <v>0</v>
      </c>
      <c r="AF465">
        <v>0</v>
      </c>
      <c r="AG465">
        <v>0</v>
      </c>
      <c r="AH465">
        <v>464</v>
      </c>
    </row>
    <row r="466" spans="1:34" x14ac:dyDescent="0.3">
      <c r="A466">
        <v>37</v>
      </c>
      <c r="B466" t="str" cm="1">
        <f t="array" ref="B466">_xlfn.IFS(A466&lt;=25,"18-25",A466&lt;=35,"26-35",A466&lt;=45,"36-45",A466&lt;=55,"46-55",A466&gt;55,"55+")</f>
        <v>36-45</v>
      </c>
      <c r="C466">
        <v>0</v>
      </c>
      <c r="D466" t="s">
        <v>32</v>
      </c>
      <c r="E466">
        <v>799</v>
      </c>
      <c r="F466" t="s">
        <v>48</v>
      </c>
      <c r="G466">
        <v>1</v>
      </c>
      <c r="H466" t="s">
        <v>61</v>
      </c>
      <c r="I466" t="s">
        <v>74</v>
      </c>
      <c r="J466" t="s">
        <v>36</v>
      </c>
      <c r="K466" t="s">
        <v>37</v>
      </c>
      <c r="L466">
        <v>59</v>
      </c>
      <c r="M466" t="s">
        <v>38</v>
      </c>
      <c r="N466" t="s">
        <v>63</v>
      </c>
      <c r="O466" t="s">
        <v>64</v>
      </c>
      <c r="P466" t="s">
        <v>41</v>
      </c>
      <c r="Q466" t="s">
        <v>42</v>
      </c>
      <c r="R466">
        <v>7491</v>
      </c>
      <c r="S466">
        <v>23848</v>
      </c>
      <c r="T466">
        <v>4</v>
      </c>
      <c r="U466" t="s">
        <v>46</v>
      </c>
      <c r="V466">
        <v>17</v>
      </c>
      <c r="W466" t="s">
        <v>43</v>
      </c>
      <c r="X466" t="s">
        <v>41</v>
      </c>
      <c r="Y466">
        <v>0</v>
      </c>
      <c r="Z466">
        <v>12</v>
      </c>
      <c r="AA466">
        <v>3</v>
      </c>
      <c r="AB466" t="s">
        <v>73</v>
      </c>
      <c r="AC466">
        <v>6</v>
      </c>
      <c r="AD466" t="str" cm="1">
        <f t="array" ref="AD466">_xlfn.IFS(AC466&lt;=5,"0-5",AC466&lt;=10,"5-10",AC466&lt;=40,"10-40")</f>
        <v>5-10</v>
      </c>
      <c r="AE466">
        <v>5</v>
      </c>
      <c r="AF466">
        <v>1</v>
      </c>
      <c r="AG466">
        <v>2</v>
      </c>
      <c r="AH466">
        <v>465</v>
      </c>
    </row>
    <row r="467" spans="1:34" x14ac:dyDescent="0.3">
      <c r="A467">
        <v>46</v>
      </c>
      <c r="B467" t="str" cm="1">
        <f t="array" ref="B467">_xlfn.IFS(A467&lt;=25,"18-25",A467&lt;=35,"26-35",A467&lt;=45,"36-45",A467&lt;=55,"46-55",A467&gt;55,"55+")</f>
        <v>46-55</v>
      </c>
      <c r="C467">
        <v>0</v>
      </c>
      <c r="D467" t="s">
        <v>47</v>
      </c>
      <c r="E467">
        <v>1034</v>
      </c>
      <c r="F467" t="s">
        <v>48</v>
      </c>
      <c r="G467">
        <v>18</v>
      </c>
      <c r="H467" t="s">
        <v>49</v>
      </c>
      <c r="I467" t="s">
        <v>59</v>
      </c>
      <c r="J467" t="s">
        <v>44</v>
      </c>
      <c r="K467" t="s">
        <v>37</v>
      </c>
      <c r="L467">
        <v>86</v>
      </c>
      <c r="M467" t="s">
        <v>38</v>
      </c>
      <c r="N467" t="s">
        <v>63</v>
      </c>
      <c r="O467" t="s">
        <v>65</v>
      </c>
      <c r="P467" t="s">
        <v>38</v>
      </c>
      <c r="Q467" t="s">
        <v>52</v>
      </c>
      <c r="R467">
        <v>10527</v>
      </c>
      <c r="S467">
        <v>8984</v>
      </c>
      <c r="T467">
        <v>5</v>
      </c>
      <c r="U467" t="s">
        <v>46</v>
      </c>
      <c r="V467">
        <v>11</v>
      </c>
      <c r="W467" t="s">
        <v>43</v>
      </c>
      <c r="X467" t="s">
        <v>41</v>
      </c>
      <c r="Y467">
        <v>0</v>
      </c>
      <c r="Z467">
        <v>28</v>
      </c>
      <c r="AA467">
        <v>3</v>
      </c>
      <c r="AB467" t="s">
        <v>60</v>
      </c>
      <c r="AC467">
        <v>2</v>
      </c>
      <c r="AD467" t="str" cm="1">
        <f t="array" ref="AD467">_xlfn.IFS(AC467&lt;=5,"0-5",AC467&lt;=10,"5-10",AC467&lt;=40,"10-40")</f>
        <v>0-5</v>
      </c>
      <c r="AE467">
        <v>2</v>
      </c>
      <c r="AF467">
        <v>1</v>
      </c>
      <c r="AG467">
        <v>2</v>
      </c>
      <c r="AH467">
        <v>466</v>
      </c>
    </row>
    <row r="468" spans="1:34" x14ac:dyDescent="0.3">
      <c r="A468">
        <v>41</v>
      </c>
      <c r="B468" t="str" cm="1">
        <f t="array" ref="B468">_xlfn.IFS(A468&lt;=25,"18-25",A468&lt;=35,"26-35",A468&lt;=45,"36-45",A468&lt;=55,"46-55",A468&gt;55,"55+")</f>
        <v>36-45</v>
      </c>
      <c r="C468">
        <v>0</v>
      </c>
      <c r="D468" t="s">
        <v>32</v>
      </c>
      <c r="E468">
        <v>1276</v>
      </c>
      <c r="F468" t="s">
        <v>33</v>
      </c>
      <c r="G468">
        <v>2</v>
      </c>
      <c r="H468" t="s">
        <v>75</v>
      </c>
      <c r="I468" t="s">
        <v>35</v>
      </c>
      <c r="J468" t="s">
        <v>36</v>
      </c>
      <c r="K468" t="s">
        <v>37</v>
      </c>
      <c r="L468">
        <v>91</v>
      </c>
      <c r="M468" t="s">
        <v>38</v>
      </c>
      <c r="N468" t="s">
        <v>67</v>
      </c>
      <c r="O468" t="s">
        <v>68</v>
      </c>
      <c r="P468" t="s">
        <v>44</v>
      </c>
      <c r="Q468" t="s">
        <v>52</v>
      </c>
      <c r="R468">
        <v>16595</v>
      </c>
      <c r="S468">
        <v>5626</v>
      </c>
      <c r="T468">
        <v>7</v>
      </c>
      <c r="U468" t="s">
        <v>46</v>
      </c>
      <c r="V468">
        <v>16</v>
      </c>
      <c r="W468" t="s">
        <v>43</v>
      </c>
      <c r="X468" t="s">
        <v>36</v>
      </c>
      <c r="Y468">
        <v>1</v>
      </c>
      <c r="Z468">
        <v>22</v>
      </c>
      <c r="AA468">
        <v>2</v>
      </c>
      <c r="AB468" t="s">
        <v>54</v>
      </c>
      <c r="AC468">
        <v>18</v>
      </c>
      <c r="AD468" t="str" cm="1">
        <f t="array" ref="AD468">_xlfn.IFS(AC468&lt;=5,"0-5",AC468&lt;=10,"5-10",AC468&lt;=40,"10-40")</f>
        <v>10-40</v>
      </c>
      <c r="AE468">
        <v>16</v>
      </c>
      <c r="AF468">
        <v>11</v>
      </c>
      <c r="AG468">
        <v>8</v>
      </c>
      <c r="AH468">
        <v>467</v>
      </c>
    </row>
    <row r="469" spans="1:34" x14ac:dyDescent="0.3">
      <c r="A469">
        <v>37</v>
      </c>
      <c r="B469" t="str" cm="1">
        <f t="array" ref="B469">_xlfn.IFS(A469&lt;=25,"18-25",A469&lt;=35,"26-35",A469&lt;=45,"36-45",A469&lt;=55,"46-55",A469&gt;55,"55+")</f>
        <v>36-45</v>
      </c>
      <c r="C469">
        <v>0</v>
      </c>
      <c r="D469" t="s">
        <v>66</v>
      </c>
      <c r="E469">
        <v>142</v>
      </c>
      <c r="F469" t="s">
        <v>33</v>
      </c>
      <c r="G469">
        <v>9</v>
      </c>
      <c r="H469" t="s">
        <v>58</v>
      </c>
      <c r="I469" t="s">
        <v>59</v>
      </c>
      <c r="J469" t="s">
        <v>44</v>
      </c>
      <c r="K469" t="s">
        <v>50</v>
      </c>
      <c r="L469">
        <v>69</v>
      </c>
      <c r="M469" t="s">
        <v>38</v>
      </c>
      <c r="N469" t="s">
        <v>63</v>
      </c>
      <c r="O469" t="s">
        <v>40</v>
      </c>
      <c r="P469" t="s">
        <v>36</v>
      </c>
      <c r="Q469" t="s">
        <v>62</v>
      </c>
      <c r="R469">
        <v>8834</v>
      </c>
      <c r="S469">
        <v>24666</v>
      </c>
      <c r="T469">
        <v>1</v>
      </c>
      <c r="U469" t="s">
        <v>46</v>
      </c>
      <c r="V469">
        <v>13</v>
      </c>
      <c r="W469" t="s">
        <v>43</v>
      </c>
      <c r="X469" t="s">
        <v>41</v>
      </c>
      <c r="Y469">
        <v>1</v>
      </c>
      <c r="Z469">
        <v>9</v>
      </c>
      <c r="AA469">
        <v>6</v>
      </c>
      <c r="AB469" t="s">
        <v>54</v>
      </c>
      <c r="AC469">
        <v>9</v>
      </c>
      <c r="AD469" t="str" cm="1">
        <f t="array" ref="AD469">_xlfn.IFS(AC469&lt;=5,"0-5",AC469&lt;=10,"5-10",AC469&lt;=40,"10-40")</f>
        <v>5-10</v>
      </c>
      <c r="AE469">
        <v>5</v>
      </c>
      <c r="AF469">
        <v>7</v>
      </c>
      <c r="AG469">
        <v>7</v>
      </c>
      <c r="AH469">
        <v>468</v>
      </c>
    </row>
    <row r="470" spans="1:34" x14ac:dyDescent="0.3">
      <c r="A470">
        <v>52</v>
      </c>
      <c r="B470" t="str" cm="1">
        <f t="array" ref="B470">_xlfn.IFS(A470&lt;=25,"18-25",A470&lt;=35,"26-35",A470&lt;=45,"36-45",A470&lt;=55,"46-55",A470&gt;55,"55+")</f>
        <v>46-55</v>
      </c>
      <c r="C470">
        <v>0</v>
      </c>
      <c r="D470" t="s">
        <v>32</v>
      </c>
      <c r="E470">
        <v>956</v>
      </c>
      <c r="F470" t="s">
        <v>48</v>
      </c>
      <c r="G470">
        <v>6</v>
      </c>
      <c r="H470" t="s">
        <v>34</v>
      </c>
      <c r="I470" t="s">
        <v>74</v>
      </c>
      <c r="J470" t="s">
        <v>41</v>
      </c>
      <c r="K470" t="s">
        <v>50</v>
      </c>
      <c r="L470">
        <v>78</v>
      </c>
      <c r="M470" t="s">
        <v>38</v>
      </c>
      <c r="N470" t="s">
        <v>39</v>
      </c>
      <c r="O470" t="s">
        <v>51</v>
      </c>
      <c r="P470" t="s">
        <v>44</v>
      </c>
      <c r="Q470" t="s">
        <v>62</v>
      </c>
      <c r="R470">
        <v>5577</v>
      </c>
      <c r="S470">
        <v>22087</v>
      </c>
      <c r="T470">
        <v>3</v>
      </c>
      <c r="U470" t="s">
        <v>31</v>
      </c>
      <c r="V470">
        <v>12</v>
      </c>
      <c r="W470" t="s">
        <v>43</v>
      </c>
      <c r="X470" t="s">
        <v>36</v>
      </c>
      <c r="Y470">
        <v>2</v>
      </c>
      <c r="Z470">
        <v>18</v>
      </c>
      <c r="AA470">
        <v>3</v>
      </c>
      <c r="AB470" t="s">
        <v>54</v>
      </c>
      <c r="AC470">
        <v>10</v>
      </c>
      <c r="AD470" t="str" cm="1">
        <f t="array" ref="AD470">_xlfn.IFS(AC470&lt;=5,"0-5",AC470&lt;=10,"5-10",AC470&lt;=40,"10-40")</f>
        <v>5-10</v>
      </c>
      <c r="AE470">
        <v>9</v>
      </c>
      <c r="AF470">
        <v>6</v>
      </c>
      <c r="AG470">
        <v>9</v>
      </c>
      <c r="AH470">
        <v>469</v>
      </c>
    </row>
    <row r="471" spans="1:34" x14ac:dyDescent="0.3">
      <c r="A471">
        <v>32</v>
      </c>
      <c r="B471" t="str" cm="1">
        <f t="array" ref="B471">_xlfn.IFS(A471&lt;=25,"18-25",A471&lt;=35,"26-35",A471&lt;=45,"36-45",A471&lt;=55,"46-55",A471&gt;55,"55+")</f>
        <v>26-35</v>
      </c>
      <c r="C471">
        <v>1</v>
      </c>
      <c r="D471" t="s">
        <v>66</v>
      </c>
      <c r="E471">
        <v>1474</v>
      </c>
      <c r="F471" t="s">
        <v>33</v>
      </c>
      <c r="G471">
        <v>11</v>
      </c>
      <c r="H471" t="s">
        <v>58</v>
      </c>
      <c r="I471" t="s">
        <v>55</v>
      </c>
      <c r="J471" t="s">
        <v>41</v>
      </c>
      <c r="K471" t="s">
        <v>50</v>
      </c>
      <c r="L471">
        <v>60</v>
      </c>
      <c r="M471" t="s">
        <v>41</v>
      </c>
      <c r="N471" t="s">
        <v>39</v>
      </c>
      <c r="O471" t="s">
        <v>40</v>
      </c>
      <c r="P471" t="s">
        <v>38</v>
      </c>
      <c r="Q471" t="s">
        <v>52</v>
      </c>
      <c r="R471">
        <v>4707</v>
      </c>
      <c r="S471">
        <v>23914</v>
      </c>
      <c r="T471">
        <v>8</v>
      </c>
      <c r="U471" t="s">
        <v>46</v>
      </c>
      <c r="V471">
        <v>12</v>
      </c>
      <c r="W471" t="s">
        <v>43</v>
      </c>
      <c r="X471" t="s">
        <v>41</v>
      </c>
      <c r="Y471">
        <v>0</v>
      </c>
      <c r="Z471">
        <v>6</v>
      </c>
      <c r="AA471">
        <v>2</v>
      </c>
      <c r="AB471" t="s">
        <v>54</v>
      </c>
      <c r="AC471">
        <v>4</v>
      </c>
      <c r="AD471" t="str" cm="1">
        <f t="array" ref="AD471">_xlfn.IFS(AC471&lt;=5,"0-5",AC471&lt;=10,"5-10",AC471&lt;=40,"10-40")</f>
        <v>0-5</v>
      </c>
      <c r="AE471">
        <v>2</v>
      </c>
      <c r="AF471">
        <v>1</v>
      </c>
      <c r="AG471">
        <v>2</v>
      </c>
      <c r="AH471">
        <v>470</v>
      </c>
    </row>
    <row r="472" spans="1:34" x14ac:dyDescent="0.3">
      <c r="A472">
        <v>24</v>
      </c>
      <c r="B472" t="str" cm="1">
        <f t="array" ref="B472">_xlfn.IFS(A472&lt;=25,"18-25",A472&lt;=35,"26-35",A472&lt;=45,"36-45",A472&lt;=55,"46-55",A472&gt;55,"55+")</f>
        <v>18-25</v>
      </c>
      <c r="C472">
        <v>0</v>
      </c>
      <c r="D472" t="s">
        <v>47</v>
      </c>
      <c r="E472">
        <v>535</v>
      </c>
      <c r="F472" t="s">
        <v>33</v>
      </c>
      <c r="G472">
        <v>24</v>
      </c>
      <c r="H472" t="s">
        <v>61</v>
      </c>
      <c r="I472" t="s">
        <v>59</v>
      </c>
      <c r="J472" t="s">
        <v>41</v>
      </c>
      <c r="K472" t="s">
        <v>50</v>
      </c>
      <c r="L472">
        <v>38</v>
      </c>
      <c r="M472" t="s">
        <v>38</v>
      </c>
      <c r="N472" t="s">
        <v>56</v>
      </c>
      <c r="O472" t="s">
        <v>69</v>
      </c>
      <c r="P472" t="s">
        <v>41</v>
      </c>
      <c r="Q472" t="s">
        <v>52</v>
      </c>
      <c r="R472">
        <v>2400</v>
      </c>
      <c r="S472">
        <v>5530</v>
      </c>
      <c r="T472">
        <v>0</v>
      </c>
      <c r="U472" t="s">
        <v>46</v>
      </c>
      <c r="V472">
        <v>13</v>
      </c>
      <c r="W472" t="s">
        <v>43</v>
      </c>
      <c r="X472" t="s">
        <v>38</v>
      </c>
      <c r="Y472">
        <v>2</v>
      </c>
      <c r="Z472">
        <v>3</v>
      </c>
      <c r="AA472">
        <v>3</v>
      </c>
      <c r="AB472" t="s">
        <v>54</v>
      </c>
      <c r="AC472">
        <v>2</v>
      </c>
      <c r="AD472" t="str" cm="1">
        <f t="array" ref="AD472">_xlfn.IFS(AC472&lt;=5,"0-5",AC472&lt;=10,"5-10",AC472&lt;=40,"10-40")</f>
        <v>0-5</v>
      </c>
      <c r="AE472">
        <v>2</v>
      </c>
      <c r="AF472">
        <v>2</v>
      </c>
      <c r="AG472">
        <v>1</v>
      </c>
      <c r="AH472">
        <v>471</v>
      </c>
    </row>
    <row r="473" spans="1:34" x14ac:dyDescent="0.3">
      <c r="A473">
        <v>38</v>
      </c>
      <c r="B473" t="str" cm="1">
        <f t="array" ref="B473">_xlfn.IFS(A473&lt;=25,"18-25",A473&lt;=35,"26-35",A473&lt;=45,"36-45",A473&lt;=55,"46-55",A473&gt;55,"55+")</f>
        <v>36-45</v>
      </c>
      <c r="C473">
        <v>0</v>
      </c>
      <c r="D473" t="s">
        <v>32</v>
      </c>
      <c r="E473">
        <v>1495</v>
      </c>
      <c r="F473" t="s">
        <v>48</v>
      </c>
      <c r="G473">
        <v>10</v>
      </c>
      <c r="H473" t="s">
        <v>61</v>
      </c>
      <c r="I473" t="s">
        <v>59</v>
      </c>
      <c r="J473" t="s">
        <v>38</v>
      </c>
      <c r="K473" t="s">
        <v>37</v>
      </c>
      <c r="L473">
        <v>76</v>
      </c>
      <c r="M473" t="s">
        <v>38</v>
      </c>
      <c r="N473" t="s">
        <v>39</v>
      </c>
      <c r="O473" t="s">
        <v>65</v>
      </c>
      <c r="P473" t="s">
        <v>38</v>
      </c>
      <c r="Q473" t="s">
        <v>52</v>
      </c>
      <c r="R473">
        <v>9824</v>
      </c>
      <c r="S473">
        <v>22174</v>
      </c>
      <c r="T473">
        <v>3</v>
      </c>
      <c r="U473" t="s">
        <v>46</v>
      </c>
      <c r="V473">
        <v>19</v>
      </c>
      <c r="W473" t="s">
        <v>43</v>
      </c>
      <c r="X473" t="s">
        <v>38</v>
      </c>
      <c r="Y473">
        <v>1</v>
      </c>
      <c r="Z473">
        <v>18</v>
      </c>
      <c r="AA473">
        <v>4</v>
      </c>
      <c r="AB473" t="s">
        <v>54</v>
      </c>
      <c r="AC473">
        <v>1</v>
      </c>
      <c r="AD473" t="str" cm="1">
        <f t="array" ref="AD473">_xlfn.IFS(AC473&lt;=5,"0-5",AC473&lt;=10,"5-10",AC473&lt;=40,"10-40")</f>
        <v>0-5</v>
      </c>
      <c r="AE473">
        <v>0</v>
      </c>
      <c r="AF473">
        <v>0</v>
      </c>
      <c r="AG473">
        <v>0</v>
      </c>
      <c r="AH473">
        <v>472</v>
      </c>
    </row>
    <row r="474" spans="1:34" x14ac:dyDescent="0.3">
      <c r="A474">
        <v>37</v>
      </c>
      <c r="B474" t="str" cm="1">
        <f t="array" ref="B474">_xlfn.IFS(A474&lt;=25,"18-25",A474&lt;=35,"26-35",A474&lt;=45,"36-45",A474&lt;=55,"46-55",A474&gt;55,"55+")</f>
        <v>36-45</v>
      </c>
      <c r="C474">
        <v>0</v>
      </c>
      <c r="D474" t="s">
        <v>32</v>
      </c>
      <c r="E474">
        <v>446</v>
      </c>
      <c r="F474" t="s">
        <v>48</v>
      </c>
      <c r="G474">
        <v>1</v>
      </c>
      <c r="H474" t="s">
        <v>58</v>
      </c>
      <c r="I474" t="s">
        <v>35</v>
      </c>
      <c r="J474" t="s">
        <v>36</v>
      </c>
      <c r="K474" t="s">
        <v>37</v>
      </c>
      <c r="L474">
        <v>65</v>
      </c>
      <c r="M474" t="s">
        <v>38</v>
      </c>
      <c r="N474" t="s">
        <v>39</v>
      </c>
      <c r="O474" t="s">
        <v>64</v>
      </c>
      <c r="P474" t="s">
        <v>36</v>
      </c>
      <c r="Q474" t="s">
        <v>52</v>
      </c>
      <c r="R474">
        <v>6447</v>
      </c>
      <c r="S474">
        <v>15701</v>
      </c>
      <c r="T474">
        <v>6</v>
      </c>
      <c r="U474" t="s">
        <v>46</v>
      </c>
      <c r="V474">
        <v>12</v>
      </c>
      <c r="W474" t="s">
        <v>43</v>
      </c>
      <c r="X474" t="s">
        <v>36</v>
      </c>
      <c r="Y474">
        <v>1</v>
      </c>
      <c r="Z474">
        <v>8</v>
      </c>
      <c r="AA474">
        <v>2</v>
      </c>
      <c r="AB474" t="s">
        <v>60</v>
      </c>
      <c r="AC474">
        <v>6</v>
      </c>
      <c r="AD474" t="str" cm="1">
        <f t="array" ref="AD474">_xlfn.IFS(AC474&lt;=5,"0-5",AC474&lt;=10,"5-10",AC474&lt;=40,"10-40")</f>
        <v>5-10</v>
      </c>
      <c r="AE474">
        <v>5</v>
      </c>
      <c r="AF474">
        <v>4</v>
      </c>
      <c r="AG474">
        <v>3</v>
      </c>
      <c r="AH474">
        <v>473</v>
      </c>
    </row>
    <row r="475" spans="1:34" x14ac:dyDescent="0.3">
      <c r="A475">
        <v>49</v>
      </c>
      <c r="B475" t="str" cm="1">
        <f t="array" ref="B475">_xlfn.IFS(A475&lt;=25,"18-25",A475&lt;=35,"26-35",A475&lt;=45,"36-45",A475&lt;=55,"46-55",A475&gt;55,"55+")</f>
        <v>46-55</v>
      </c>
      <c r="C475">
        <v>0</v>
      </c>
      <c r="D475" t="s">
        <v>32</v>
      </c>
      <c r="E475">
        <v>1245</v>
      </c>
      <c r="F475" t="s">
        <v>48</v>
      </c>
      <c r="G475">
        <v>18</v>
      </c>
      <c r="H475" t="s">
        <v>58</v>
      </c>
      <c r="I475" t="s">
        <v>35</v>
      </c>
      <c r="J475" t="s">
        <v>41</v>
      </c>
      <c r="K475" t="s">
        <v>50</v>
      </c>
      <c r="L475">
        <v>58</v>
      </c>
      <c r="M475" t="s">
        <v>36</v>
      </c>
      <c r="N475" t="s">
        <v>71</v>
      </c>
      <c r="O475" t="s">
        <v>70</v>
      </c>
      <c r="P475" t="s">
        <v>38</v>
      </c>
      <c r="Q475" t="s">
        <v>62</v>
      </c>
      <c r="R475">
        <v>19502</v>
      </c>
      <c r="S475">
        <v>2125</v>
      </c>
      <c r="T475">
        <v>1</v>
      </c>
      <c r="U475" t="s">
        <v>31</v>
      </c>
      <c r="V475">
        <v>17</v>
      </c>
      <c r="W475" t="s">
        <v>43</v>
      </c>
      <c r="X475" t="s">
        <v>38</v>
      </c>
      <c r="Y475">
        <v>1</v>
      </c>
      <c r="Z475">
        <v>31</v>
      </c>
      <c r="AA475">
        <v>5</v>
      </c>
      <c r="AB475" t="s">
        <v>54</v>
      </c>
      <c r="AC475">
        <v>31</v>
      </c>
      <c r="AD475" t="str" cm="1">
        <f t="array" ref="AD475">_xlfn.IFS(AC475&lt;=5,"0-5",AC475&lt;=10,"5-10",AC475&lt;=40,"10-40")</f>
        <v>10-40</v>
      </c>
      <c r="AE475">
        <v>9</v>
      </c>
      <c r="AF475">
        <v>0</v>
      </c>
      <c r="AG475">
        <v>9</v>
      </c>
      <c r="AH475">
        <v>474</v>
      </c>
    </row>
    <row r="476" spans="1:34" x14ac:dyDescent="0.3">
      <c r="A476">
        <v>24</v>
      </c>
      <c r="B476" t="str" cm="1">
        <f t="array" ref="B476">_xlfn.IFS(A476&lt;=25,"18-25",A476&lt;=35,"26-35",A476&lt;=45,"36-45",A476&lt;=55,"46-55",A476&gt;55,"55+")</f>
        <v>18-25</v>
      </c>
      <c r="C476">
        <v>0</v>
      </c>
      <c r="D476" t="s">
        <v>32</v>
      </c>
      <c r="E476">
        <v>691</v>
      </c>
      <c r="F476" t="s">
        <v>48</v>
      </c>
      <c r="G476">
        <v>23</v>
      </c>
      <c r="H476" t="s">
        <v>61</v>
      </c>
      <c r="I476" t="s">
        <v>59</v>
      </c>
      <c r="J476" t="s">
        <v>36</v>
      </c>
      <c r="K476" t="s">
        <v>50</v>
      </c>
      <c r="L476">
        <v>89</v>
      </c>
      <c r="M476" t="s">
        <v>41</v>
      </c>
      <c r="N476" t="s">
        <v>56</v>
      </c>
      <c r="O476" t="s">
        <v>51</v>
      </c>
      <c r="P476" t="s">
        <v>41</v>
      </c>
      <c r="Q476" t="s">
        <v>52</v>
      </c>
      <c r="R476">
        <v>2725</v>
      </c>
      <c r="S476">
        <v>21630</v>
      </c>
      <c r="T476">
        <v>1</v>
      </c>
      <c r="U476" t="s">
        <v>31</v>
      </c>
      <c r="V476">
        <v>11</v>
      </c>
      <c r="W476" t="s">
        <v>43</v>
      </c>
      <c r="X476" t="s">
        <v>36</v>
      </c>
      <c r="Y476">
        <v>2</v>
      </c>
      <c r="Z476">
        <v>6</v>
      </c>
      <c r="AA476">
        <v>3</v>
      </c>
      <c r="AB476" t="s">
        <v>54</v>
      </c>
      <c r="AC476">
        <v>6</v>
      </c>
      <c r="AD476" t="str" cm="1">
        <f t="array" ref="AD476">_xlfn.IFS(AC476&lt;=5,"0-5",AC476&lt;=10,"5-10",AC476&lt;=40,"10-40")</f>
        <v>5-10</v>
      </c>
      <c r="AE476">
        <v>5</v>
      </c>
      <c r="AF476">
        <v>1</v>
      </c>
      <c r="AG476">
        <v>4</v>
      </c>
      <c r="AH476">
        <v>475</v>
      </c>
    </row>
    <row r="477" spans="1:34" x14ac:dyDescent="0.3">
      <c r="A477">
        <v>26</v>
      </c>
      <c r="B477" t="str" cm="1">
        <f t="array" ref="B477">_xlfn.IFS(A477&lt;=25,"18-25",A477&lt;=35,"26-35",A477&lt;=45,"36-45",A477&lt;=55,"46-55",A477&gt;55,"55+")</f>
        <v>26-35</v>
      </c>
      <c r="C477">
        <v>0</v>
      </c>
      <c r="D477" t="s">
        <v>32</v>
      </c>
      <c r="E477">
        <v>703</v>
      </c>
      <c r="F477" t="s">
        <v>33</v>
      </c>
      <c r="G477">
        <v>28</v>
      </c>
      <c r="H477" t="s">
        <v>34</v>
      </c>
      <c r="I477" t="s">
        <v>72</v>
      </c>
      <c r="J477" t="s">
        <v>44</v>
      </c>
      <c r="K477" t="s">
        <v>50</v>
      </c>
      <c r="L477">
        <v>66</v>
      </c>
      <c r="M477" t="s">
        <v>38</v>
      </c>
      <c r="N477" t="s">
        <v>39</v>
      </c>
      <c r="O477" t="s">
        <v>40</v>
      </c>
      <c r="P477" t="s">
        <v>36</v>
      </c>
      <c r="Q477" t="s">
        <v>52</v>
      </c>
      <c r="R477">
        <v>6272</v>
      </c>
      <c r="S477">
        <v>7428</v>
      </c>
      <c r="T477">
        <v>1</v>
      </c>
      <c r="U477" t="s">
        <v>46</v>
      </c>
      <c r="V477">
        <v>20</v>
      </c>
      <c r="W477" t="s">
        <v>53</v>
      </c>
      <c r="X477" t="s">
        <v>41</v>
      </c>
      <c r="Y477">
        <v>2</v>
      </c>
      <c r="Z477">
        <v>6</v>
      </c>
      <c r="AA477">
        <v>5</v>
      </c>
      <c r="AB477" t="s">
        <v>73</v>
      </c>
      <c r="AC477">
        <v>5</v>
      </c>
      <c r="AD477" t="str" cm="1">
        <f t="array" ref="AD477">_xlfn.IFS(AC477&lt;=5,"0-5",AC477&lt;=10,"5-10",AC477&lt;=40,"10-40")</f>
        <v>0-5</v>
      </c>
      <c r="AE477">
        <v>3</v>
      </c>
      <c r="AF477">
        <v>1</v>
      </c>
      <c r="AG477">
        <v>4</v>
      </c>
      <c r="AH477">
        <v>476</v>
      </c>
    </row>
    <row r="478" spans="1:34" x14ac:dyDescent="0.3">
      <c r="A478">
        <v>24</v>
      </c>
      <c r="B478" t="str" cm="1">
        <f t="array" ref="B478">_xlfn.IFS(A478&lt;=25,"18-25",A478&lt;=35,"26-35",A478&lt;=45,"36-45",A478&lt;=55,"46-55",A478&gt;55,"55+")</f>
        <v>18-25</v>
      </c>
      <c r="C478">
        <v>0</v>
      </c>
      <c r="D478" t="s">
        <v>32</v>
      </c>
      <c r="E478">
        <v>823</v>
      </c>
      <c r="F478" t="s">
        <v>48</v>
      </c>
      <c r="G478">
        <v>17</v>
      </c>
      <c r="H478" t="s">
        <v>34</v>
      </c>
      <c r="I478" t="s">
        <v>55</v>
      </c>
      <c r="J478" t="s">
        <v>41</v>
      </c>
      <c r="K478" t="s">
        <v>50</v>
      </c>
      <c r="L478">
        <v>94</v>
      </c>
      <c r="M478" t="s">
        <v>36</v>
      </c>
      <c r="N478" t="s">
        <v>56</v>
      </c>
      <c r="O478" t="s">
        <v>57</v>
      </c>
      <c r="P478" t="s">
        <v>36</v>
      </c>
      <c r="Q478" t="s">
        <v>52</v>
      </c>
      <c r="R478">
        <v>2127</v>
      </c>
      <c r="S478">
        <v>9100</v>
      </c>
      <c r="T478">
        <v>1</v>
      </c>
      <c r="U478" t="s">
        <v>46</v>
      </c>
      <c r="V478">
        <v>21</v>
      </c>
      <c r="W478" t="s">
        <v>53</v>
      </c>
      <c r="X478" t="s">
        <v>41</v>
      </c>
      <c r="Y478">
        <v>1</v>
      </c>
      <c r="Z478">
        <v>1</v>
      </c>
      <c r="AA478">
        <v>2</v>
      </c>
      <c r="AB478" t="s">
        <v>54</v>
      </c>
      <c r="AC478">
        <v>1</v>
      </c>
      <c r="AD478" t="str" cm="1">
        <f t="array" ref="AD478">_xlfn.IFS(AC478&lt;=5,"0-5",AC478&lt;=10,"5-10",AC478&lt;=40,"10-40")</f>
        <v>0-5</v>
      </c>
      <c r="AE478">
        <v>0</v>
      </c>
      <c r="AF478">
        <v>0</v>
      </c>
      <c r="AG478">
        <v>0</v>
      </c>
      <c r="AH478">
        <v>477</v>
      </c>
    </row>
    <row r="479" spans="1:34" x14ac:dyDescent="0.3">
      <c r="A479">
        <v>50</v>
      </c>
      <c r="B479" t="str" cm="1">
        <f t="array" ref="B479">_xlfn.IFS(A479&lt;=25,"18-25",A479&lt;=35,"26-35",A479&lt;=45,"36-45",A479&lt;=55,"46-55",A479&gt;55,"55+")</f>
        <v>46-55</v>
      </c>
      <c r="C479">
        <v>0</v>
      </c>
      <c r="D479" t="s">
        <v>47</v>
      </c>
      <c r="E479">
        <v>1246</v>
      </c>
      <c r="F479" t="s">
        <v>76</v>
      </c>
      <c r="G479">
        <v>3</v>
      </c>
      <c r="H479" t="s">
        <v>61</v>
      </c>
      <c r="I479" t="s">
        <v>59</v>
      </c>
      <c r="J479" t="s">
        <v>44</v>
      </c>
      <c r="K479" t="s">
        <v>50</v>
      </c>
      <c r="L479">
        <v>99</v>
      </c>
      <c r="M479" t="s">
        <v>38</v>
      </c>
      <c r="N479" t="s">
        <v>71</v>
      </c>
      <c r="O479" t="s">
        <v>68</v>
      </c>
      <c r="P479" t="s">
        <v>36</v>
      </c>
      <c r="Q479" t="s">
        <v>52</v>
      </c>
      <c r="R479">
        <v>18200</v>
      </c>
      <c r="S479">
        <v>7999</v>
      </c>
      <c r="T479">
        <v>1</v>
      </c>
      <c r="U479" t="s">
        <v>46</v>
      </c>
      <c r="V479">
        <v>11</v>
      </c>
      <c r="W479" t="s">
        <v>43</v>
      </c>
      <c r="X479" t="s">
        <v>38</v>
      </c>
      <c r="Y479">
        <v>1</v>
      </c>
      <c r="Z479">
        <v>32</v>
      </c>
      <c r="AA479">
        <v>2</v>
      </c>
      <c r="AB479" t="s">
        <v>54</v>
      </c>
      <c r="AC479">
        <v>32</v>
      </c>
      <c r="AD479" t="str" cm="1">
        <f t="array" ref="AD479">_xlfn.IFS(AC479&lt;=5,"0-5",AC479&lt;=10,"5-10",AC479&lt;=40,"10-40")</f>
        <v>10-40</v>
      </c>
      <c r="AE479">
        <v>5</v>
      </c>
      <c r="AF479">
        <v>10</v>
      </c>
      <c r="AG479">
        <v>7</v>
      </c>
      <c r="AH479">
        <v>478</v>
      </c>
    </row>
    <row r="480" spans="1:34" x14ac:dyDescent="0.3">
      <c r="A480">
        <v>25</v>
      </c>
      <c r="B480" t="str" cm="1">
        <f t="array" ref="B480">_xlfn.IFS(A480&lt;=25,"18-25",A480&lt;=35,"26-35",A480&lt;=45,"36-45",A480&lt;=55,"46-55",A480&gt;55,"55+")</f>
        <v>18-25</v>
      </c>
      <c r="C480">
        <v>0</v>
      </c>
      <c r="D480" t="s">
        <v>32</v>
      </c>
      <c r="E480">
        <v>622</v>
      </c>
      <c r="F480" t="s">
        <v>33</v>
      </c>
      <c r="G480">
        <v>13</v>
      </c>
      <c r="H480" t="s">
        <v>49</v>
      </c>
      <c r="I480" t="s">
        <v>59</v>
      </c>
      <c r="J480" t="s">
        <v>36</v>
      </c>
      <c r="K480" t="s">
        <v>50</v>
      </c>
      <c r="L480">
        <v>40</v>
      </c>
      <c r="M480" t="s">
        <v>38</v>
      </c>
      <c r="N480" t="s">
        <v>56</v>
      </c>
      <c r="O480" t="s">
        <v>69</v>
      </c>
      <c r="P480" t="s">
        <v>38</v>
      </c>
      <c r="Q480" t="s">
        <v>52</v>
      </c>
      <c r="R480">
        <v>2096</v>
      </c>
      <c r="S480">
        <v>26376</v>
      </c>
      <c r="T480">
        <v>1</v>
      </c>
      <c r="U480" t="s">
        <v>46</v>
      </c>
      <c r="V480">
        <v>11</v>
      </c>
      <c r="W480" t="s">
        <v>43</v>
      </c>
      <c r="X480" t="s">
        <v>38</v>
      </c>
      <c r="Y480">
        <v>0</v>
      </c>
      <c r="Z480">
        <v>7</v>
      </c>
      <c r="AA480">
        <v>1</v>
      </c>
      <c r="AB480" t="s">
        <v>54</v>
      </c>
      <c r="AC480">
        <v>7</v>
      </c>
      <c r="AD480" t="str" cm="1">
        <f t="array" ref="AD480">_xlfn.IFS(AC480&lt;=5,"0-5",AC480&lt;=10,"5-10",AC480&lt;=40,"10-40")</f>
        <v>5-10</v>
      </c>
      <c r="AE480">
        <v>4</v>
      </c>
      <c r="AF480">
        <v>0</v>
      </c>
      <c r="AG480">
        <v>6</v>
      </c>
      <c r="AH480">
        <v>479</v>
      </c>
    </row>
    <row r="481" spans="1:34" x14ac:dyDescent="0.3">
      <c r="A481">
        <v>24</v>
      </c>
      <c r="B481" t="str" cm="1">
        <f t="array" ref="B481">_xlfn.IFS(A481&lt;=25,"18-25",A481&lt;=35,"26-35",A481&lt;=45,"36-45",A481&lt;=55,"46-55",A481&gt;55,"55+")</f>
        <v>18-25</v>
      </c>
      <c r="C481">
        <v>1</v>
      </c>
      <c r="D481" t="s">
        <v>47</v>
      </c>
      <c r="E481">
        <v>1287</v>
      </c>
      <c r="F481" t="s">
        <v>48</v>
      </c>
      <c r="G481">
        <v>7</v>
      </c>
      <c r="H481" t="s">
        <v>61</v>
      </c>
      <c r="I481" t="s">
        <v>35</v>
      </c>
      <c r="J481" t="s">
        <v>44</v>
      </c>
      <c r="K481" t="s">
        <v>37</v>
      </c>
      <c r="L481">
        <v>55</v>
      </c>
      <c r="M481" t="s">
        <v>38</v>
      </c>
      <c r="N481" t="s">
        <v>56</v>
      </c>
      <c r="O481" t="s">
        <v>57</v>
      </c>
      <c r="P481" t="s">
        <v>38</v>
      </c>
      <c r="Q481" t="s">
        <v>52</v>
      </c>
      <c r="R481">
        <v>2886</v>
      </c>
      <c r="S481">
        <v>14168</v>
      </c>
      <c r="T481">
        <v>1</v>
      </c>
      <c r="U481" t="s">
        <v>31</v>
      </c>
      <c r="V481">
        <v>16</v>
      </c>
      <c r="W481" t="s">
        <v>43</v>
      </c>
      <c r="X481" t="s">
        <v>41</v>
      </c>
      <c r="Y481">
        <v>1</v>
      </c>
      <c r="Z481">
        <v>6</v>
      </c>
      <c r="AA481">
        <v>4</v>
      </c>
      <c r="AB481" t="s">
        <v>54</v>
      </c>
      <c r="AC481">
        <v>6</v>
      </c>
      <c r="AD481" t="str" cm="1">
        <f t="array" ref="AD481">_xlfn.IFS(AC481&lt;=5,"0-5",AC481&lt;=10,"5-10",AC481&lt;=40,"10-40")</f>
        <v>5-10</v>
      </c>
      <c r="AE481">
        <v>3</v>
      </c>
      <c r="AF481">
        <v>1</v>
      </c>
      <c r="AG481">
        <v>2</v>
      </c>
      <c r="AH481">
        <v>480</v>
      </c>
    </row>
    <row r="482" spans="1:34" x14ac:dyDescent="0.3">
      <c r="A482">
        <v>30</v>
      </c>
      <c r="B482" t="str" cm="1">
        <f t="array" ref="B482">_xlfn.IFS(A482&lt;=25,"18-25",A482&lt;=35,"26-35",A482&lt;=45,"36-45",A482&lt;=55,"46-55",A482&gt;55,"55+")</f>
        <v>26-35</v>
      </c>
      <c r="C482">
        <v>1</v>
      </c>
      <c r="D482" t="s">
        <v>47</v>
      </c>
      <c r="E482">
        <v>448</v>
      </c>
      <c r="F482" t="s">
        <v>33</v>
      </c>
      <c r="G482">
        <v>12</v>
      </c>
      <c r="H482" t="s">
        <v>58</v>
      </c>
      <c r="I482" t="s">
        <v>35</v>
      </c>
      <c r="J482" t="s">
        <v>36</v>
      </c>
      <c r="K482" t="s">
        <v>50</v>
      </c>
      <c r="L482">
        <v>74</v>
      </c>
      <c r="M482" t="s">
        <v>36</v>
      </c>
      <c r="N482" t="s">
        <v>56</v>
      </c>
      <c r="O482" t="s">
        <v>69</v>
      </c>
      <c r="P482" t="s">
        <v>44</v>
      </c>
      <c r="Q482" t="s">
        <v>52</v>
      </c>
      <c r="R482">
        <v>2033</v>
      </c>
      <c r="S482">
        <v>14470</v>
      </c>
      <c r="T482">
        <v>1</v>
      </c>
      <c r="U482" t="s">
        <v>46</v>
      </c>
      <c r="V482">
        <v>18</v>
      </c>
      <c r="W482" t="s">
        <v>43</v>
      </c>
      <c r="X482" t="s">
        <v>38</v>
      </c>
      <c r="Y482">
        <v>1</v>
      </c>
      <c r="Z482">
        <v>1</v>
      </c>
      <c r="AA482">
        <v>2</v>
      </c>
      <c r="AB482" t="s">
        <v>73</v>
      </c>
      <c r="AC482">
        <v>1</v>
      </c>
      <c r="AD482" t="str" cm="1">
        <f t="array" ref="AD482">_xlfn.IFS(AC482&lt;=5,"0-5",AC482&lt;=10,"5-10",AC482&lt;=40,"10-40")</f>
        <v>0-5</v>
      </c>
      <c r="AE482">
        <v>0</v>
      </c>
      <c r="AF482">
        <v>0</v>
      </c>
      <c r="AG482">
        <v>0</v>
      </c>
      <c r="AH482">
        <v>481</v>
      </c>
    </row>
    <row r="483" spans="1:34" x14ac:dyDescent="0.3">
      <c r="A483">
        <v>34</v>
      </c>
      <c r="B483" t="str" cm="1">
        <f t="array" ref="B483">_xlfn.IFS(A483&lt;=25,"18-25",A483&lt;=35,"26-35",A483&lt;=45,"36-45",A483&lt;=55,"46-55",A483&gt;55,"55+")</f>
        <v>26-35</v>
      </c>
      <c r="C483">
        <v>0</v>
      </c>
      <c r="D483" t="s">
        <v>32</v>
      </c>
      <c r="E483">
        <v>254</v>
      </c>
      <c r="F483" t="s">
        <v>48</v>
      </c>
      <c r="G483">
        <v>1</v>
      </c>
      <c r="H483" t="s">
        <v>34</v>
      </c>
      <c r="I483" t="s">
        <v>35</v>
      </c>
      <c r="J483" t="s">
        <v>36</v>
      </c>
      <c r="K483" t="s">
        <v>50</v>
      </c>
      <c r="L483">
        <v>83</v>
      </c>
      <c r="M483" t="s">
        <v>36</v>
      </c>
      <c r="N483" t="s">
        <v>56</v>
      </c>
      <c r="O483" t="s">
        <v>51</v>
      </c>
      <c r="P483" t="s">
        <v>41</v>
      </c>
      <c r="Q483" t="s">
        <v>52</v>
      </c>
      <c r="R483">
        <v>3622</v>
      </c>
      <c r="S483">
        <v>22794</v>
      </c>
      <c r="T483">
        <v>1</v>
      </c>
      <c r="U483" t="s">
        <v>31</v>
      </c>
      <c r="V483">
        <v>13</v>
      </c>
      <c r="W483" t="s">
        <v>43</v>
      </c>
      <c r="X483" t="s">
        <v>41</v>
      </c>
      <c r="Y483">
        <v>1</v>
      </c>
      <c r="Z483">
        <v>6</v>
      </c>
      <c r="AA483">
        <v>3</v>
      </c>
      <c r="AB483" t="s">
        <v>54</v>
      </c>
      <c r="AC483">
        <v>6</v>
      </c>
      <c r="AD483" t="str" cm="1">
        <f t="array" ref="AD483">_xlfn.IFS(AC483&lt;=5,"0-5",AC483&lt;=10,"5-10",AC483&lt;=40,"10-40")</f>
        <v>5-10</v>
      </c>
      <c r="AE483">
        <v>5</v>
      </c>
      <c r="AF483">
        <v>1</v>
      </c>
      <c r="AG483">
        <v>3</v>
      </c>
      <c r="AH483">
        <v>482</v>
      </c>
    </row>
    <row r="484" spans="1:34" x14ac:dyDescent="0.3">
      <c r="A484">
        <v>31</v>
      </c>
      <c r="B484" t="str" cm="1">
        <f t="array" ref="B484">_xlfn.IFS(A484&lt;=25,"18-25",A484&lt;=35,"26-35",A484&lt;=45,"36-45",A484&lt;=55,"46-55",A484&gt;55,"55+")</f>
        <v>26-35</v>
      </c>
      <c r="C484">
        <v>1</v>
      </c>
      <c r="D484" t="s">
        <v>32</v>
      </c>
      <c r="E484">
        <v>1365</v>
      </c>
      <c r="F484" t="s">
        <v>33</v>
      </c>
      <c r="G484">
        <v>13</v>
      </c>
      <c r="H484" t="s">
        <v>58</v>
      </c>
      <c r="I484" t="s">
        <v>59</v>
      </c>
      <c r="J484" t="s">
        <v>36</v>
      </c>
      <c r="K484" t="s">
        <v>50</v>
      </c>
      <c r="L484">
        <v>46</v>
      </c>
      <c r="M484" t="s">
        <v>38</v>
      </c>
      <c r="N484" t="s">
        <v>39</v>
      </c>
      <c r="O484" t="s">
        <v>40</v>
      </c>
      <c r="P484" t="s">
        <v>44</v>
      </c>
      <c r="Q484" t="s">
        <v>62</v>
      </c>
      <c r="R484">
        <v>4233</v>
      </c>
      <c r="S484">
        <v>11512</v>
      </c>
      <c r="T484">
        <v>2</v>
      </c>
      <c r="U484" t="s">
        <v>46</v>
      </c>
      <c r="V484">
        <v>17</v>
      </c>
      <c r="W484" t="s">
        <v>43</v>
      </c>
      <c r="X484" t="s">
        <v>38</v>
      </c>
      <c r="Y484">
        <v>0</v>
      </c>
      <c r="Z484">
        <v>9</v>
      </c>
      <c r="AA484">
        <v>2</v>
      </c>
      <c r="AB484" t="s">
        <v>45</v>
      </c>
      <c r="AC484">
        <v>3</v>
      </c>
      <c r="AD484" t="str" cm="1">
        <f t="array" ref="AD484">_xlfn.IFS(AC484&lt;=5,"0-5",AC484&lt;=10,"5-10",AC484&lt;=40,"10-40")</f>
        <v>0-5</v>
      </c>
      <c r="AE484">
        <v>1</v>
      </c>
      <c r="AF484">
        <v>1</v>
      </c>
      <c r="AG484">
        <v>2</v>
      </c>
      <c r="AH484">
        <v>483</v>
      </c>
    </row>
    <row r="485" spans="1:34" x14ac:dyDescent="0.3">
      <c r="A485">
        <v>35</v>
      </c>
      <c r="B485" t="str" cm="1">
        <f t="array" ref="B485">_xlfn.IFS(A485&lt;=25,"18-25",A485&lt;=35,"26-35",A485&lt;=45,"36-45",A485&lt;=55,"46-55",A485&gt;55,"55+")</f>
        <v>26-35</v>
      </c>
      <c r="C485">
        <v>0</v>
      </c>
      <c r="D485" t="s">
        <v>32</v>
      </c>
      <c r="E485">
        <v>538</v>
      </c>
      <c r="F485" t="s">
        <v>48</v>
      </c>
      <c r="G485">
        <v>25</v>
      </c>
      <c r="H485" t="s">
        <v>34</v>
      </c>
      <c r="I485" t="s">
        <v>55</v>
      </c>
      <c r="J485" t="s">
        <v>44</v>
      </c>
      <c r="K485" t="s">
        <v>50</v>
      </c>
      <c r="L485">
        <v>54</v>
      </c>
      <c r="M485" t="s">
        <v>36</v>
      </c>
      <c r="N485" t="s">
        <v>39</v>
      </c>
      <c r="O485" t="s">
        <v>57</v>
      </c>
      <c r="P485" t="s">
        <v>41</v>
      </c>
      <c r="Q485" t="s">
        <v>42</v>
      </c>
      <c r="R485">
        <v>3681</v>
      </c>
      <c r="S485">
        <v>14004</v>
      </c>
      <c r="T485">
        <v>4</v>
      </c>
      <c r="U485" t="s">
        <v>46</v>
      </c>
      <c r="V485">
        <v>14</v>
      </c>
      <c r="W485" t="s">
        <v>43</v>
      </c>
      <c r="X485" t="s">
        <v>41</v>
      </c>
      <c r="Y485">
        <v>0</v>
      </c>
      <c r="Z485">
        <v>9</v>
      </c>
      <c r="AA485">
        <v>3</v>
      </c>
      <c r="AB485" t="s">
        <v>54</v>
      </c>
      <c r="AC485">
        <v>3</v>
      </c>
      <c r="AD485" t="str" cm="1">
        <f t="array" ref="AD485">_xlfn.IFS(AC485&lt;=5,"0-5",AC485&lt;=10,"5-10",AC485&lt;=40,"10-40")</f>
        <v>0-5</v>
      </c>
      <c r="AE485">
        <v>2</v>
      </c>
      <c r="AF485">
        <v>0</v>
      </c>
      <c r="AG485">
        <v>2</v>
      </c>
      <c r="AH485">
        <v>484</v>
      </c>
    </row>
    <row r="486" spans="1:34" x14ac:dyDescent="0.3">
      <c r="A486">
        <v>31</v>
      </c>
      <c r="B486" t="str" cm="1">
        <f t="array" ref="B486">_xlfn.IFS(A486&lt;=25,"18-25",A486&lt;=35,"26-35",A486&lt;=45,"36-45",A486&lt;=55,"46-55",A486&gt;55,"55+")</f>
        <v>26-35</v>
      </c>
      <c r="C486">
        <v>0</v>
      </c>
      <c r="D486" t="s">
        <v>32</v>
      </c>
      <c r="E486">
        <v>525</v>
      </c>
      <c r="F486" t="s">
        <v>33</v>
      </c>
      <c r="G486">
        <v>6</v>
      </c>
      <c r="H486" t="s">
        <v>58</v>
      </c>
      <c r="I486" t="s">
        <v>59</v>
      </c>
      <c r="J486" t="s">
        <v>44</v>
      </c>
      <c r="K486" t="s">
        <v>50</v>
      </c>
      <c r="L486">
        <v>66</v>
      </c>
      <c r="M486" t="s">
        <v>41</v>
      </c>
      <c r="N486" t="s">
        <v>39</v>
      </c>
      <c r="O486" t="s">
        <v>40</v>
      </c>
      <c r="P486" t="s">
        <v>41</v>
      </c>
      <c r="Q486" t="s">
        <v>62</v>
      </c>
      <c r="R486">
        <v>5460</v>
      </c>
      <c r="S486">
        <v>6219</v>
      </c>
      <c r="T486">
        <v>4</v>
      </c>
      <c r="U486" t="s">
        <v>46</v>
      </c>
      <c r="V486">
        <v>22</v>
      </c>
      <c r="W486" t="s">
        <v>53</v>
      </c>
      <c r="X486" t="s">
        <v>41</v>
      </c>
      <c r="Y486">
        <v>2</v>
      </c>
      <c r="Z486">
        <v>13</v>
      </c>
      <c r="AA486">
        <v>4</v>
      </c>
      <c r="AB486" t="s">
        <v>73</v>
      </c>
      <c r="AC486">
        <v>7</v>
      </c>
      <c r="AD486" t="str" cm="1">
        <f t="array" ref="AD486">_xlfn.IFS(AC486&lt;=5,"0-5",AC486&lt;=10,"5-10",AC486&lt;=40,"10-40")</f>
        <v>5-10</v>
      </c>
      <c r="AE486">
        <v>7</v>
      </c>
      <c r="AF486">
        <v>5</v>
      </c>
      <c r="AG486">
        <v>7</v>
      </c>
      <c r="AH486">
        <v>485</v>
      </c>
    </row>
    <row r="487" spans="1:34" x14ac:dyDescent="0.3">
      <c r="A487">
        <v>27</v>
      </c>
      <c r="B487" t="str" cm="1">
        <f t="array" ref="B487">_xlfn.IFS(A487&lt;=25,"18-25",A487&lt;=35,"26-35",A487&lt;=45,"36-45",A487&lt;=55,"46-55",A487&gt;55,"55+")</f>
        <v>26-35</v>
      </c>
      <c r="C487">
        <v>0</v>
      </c>
      <c r="D487" t="s">
        <v>32</v>
      </c>
      <c r="E487">
        <v>798</v>
      </c>
      <c r="F487" t="s">
        <v>48</v>
      </c>
      <c r="G487">
        <v>6</v>
      </c>
      <c r="H487" t="s">
        <v>58</v>
      </c>
      <c r="I487" t="s">
        <v>59</v>
      </c>
      <c r="J487" t="s">
        <v>44</v>
      </c>
      <c r="K487" t="s">
        <v>37</v>
      </c>
      <c r="L487">
        <v>66</v>
      </c>
      <c r="M487" t="s">
        <v>36</v>
      </c>
      <c r="N487" t="s">
        <v>56</v>
      </c>
      <c r="O487" t="s">
        <v>51</v>
      </c>
      <c r="P487" t="s">
        <v>38</v>
      </c>
      <c r="Q487" t="s">
        <v>62</v>
      </c>
      <c r="R487">
        <v>2187</v>
      </c>
      <c r="S487">
        <v>5013</v>
      </c>
      <c r="T487">
        <v>0</v>
      </c>
      <c r="U487" t="s">
        <v>46</v>
      </c>
      <c r="V487">
        <v>12</v>
      </c>
      <c r="W487" t="s">
        <v>43</v>
      </c>
      <c r="X487" t="s">
        <v>38</v>
      </c>
      <c r="Y487">
        <v>2</v>
      </c>
      <c r="Z487">
        <v>6</v>
      </c>
      <c r="AA487">
        <v>5</v>
      </c>
      <c r="AB487" t="s">
        <v>60</v>
      </c>
      <c r="AC487">
        <v>5</v>
      </c>
      <c r="AD487" t="str" cm="1">
        <f t="array" ref="AD487">_xlfn.IFS(AC487&lt;=5,"0-5",AC487&lt;=10,"5-10",AC487&lt;=40,"10-40")</f>
        <v>0-5</v>
      </c>
      <c r="AE487">
        <v>3</v>
      </c>
      <c r="AF487">
        <v>0</v>
      </c>
      <c r="AG487">
        <v>3</v>
      </c>
      <c r="AH487">
        <v>486</v>
      </c>
    </row>
    <row r="488" spans="1:34" x14ac:dyDescent="0.3">
      <c r="A488">
        <v>37</v>
      </c>
      <c r="B488" t="str" cm="1">
        <f t="array" ref="B488">_xlfn.IFS(A488&lt;=25,"18-25",A488&lt;=35,"26-35",A488&lt;=45,"36-45",A488&lt;=55,"46-55",A488&gt;55,"55+")</f>
        <v>36-45</v>
      </c>
      <c r="C488">
        <v>0</v>
      </c>
      <c r="D488" t="s">
        <v>32</v>
      </c>
      <c r="E488">
        <v>558</v>
      </c>
      <c r="F488" t="s">
        <v>33</v>
      </c>
      <c r="G488">
        <v>2</v>
      </c>
      <c r="H488" t="s">
        <v>61</v>
      </c>
      <c r="I488" t="s">
        <v>72</v>
      </c>
      <c r="J488" t="s">
        <v>41</v>
      </c>
      <c r="K488" t="s">
        <v>50</v>
      </c>
      <c r="L488">
        <v>75</v>
      </c>
      <c r="M488" t="s">
        <v>38</v>
      </c>
      <c r="N488" t="s">
        <v>39</v>
      </c>
      <c r="O488" t="s">
        <v>40</v>
      </c>
      <c r="P488" t="s">
        <v>38</v>
      </c>
      <c r="Q488" t="s">
        <v>52</v>
      </c>
      <c r="R488">
        <v>9602</v>
      </c>
      <c r="S488">
        <v>3010</v>
      </c>
      <c r="T488">
        <v>4</v>
      </c>
      <c r="U488" t="s">
        <v>31</v>
      </c>
      <c r="V488">
        <v>11</v>
      </c>
      <c r="W488" t="s">
        <v>43</v>
      </c>
      <c r="X488" t="s">
        <v>38</v>
      </c>
      <c r="Y488">
        <v>1</v>
      </c>
      <c r="Z488">
        <v>17</v>
      </c>
      <c r="AA488">
        <v>3</v>
      </c>
      <c r="AB488" t="s">
        <v>60</v>
      </c>
      <c r="AC488">
        <v>3</v>
      </c>
      <c r="AD488" t="str" cm="1">
        <f t="array" ref="AD488">_xlfn.IFS(AC488&lt;=5,"0-5",AC488&lt;=10,"5-10",AC488&lt;=40,"10-40")</f>
        <v>0-5</v>
      </c>
      <c r="AE488">
        <v>0</v>
      </c>
      <c r="AF488">
        <v>1</v>
      </c>
      <c r="AG488">
        <v>0</v>
      </c>
      <c r="AH488">
        <v>487</v>
      </c>
    </row>
    <row r="489" spans="1:34" x14ac:dyDescent="0.3">
      <c r="A489">
        <v>20</v>
      </c>
      <c r="B489" t="str" cm="1">
        <f t="array" ref="B489">_xlfn.IFS(A489&lt;=25,"18-25",A489&lt;=35,"26-35",A489&lt;=45,"36-45",A489&lt;=55,"46-55",A489&gt;55,"55+")</f>
        <v>18-25</v>
      </c>
      <c r="C489">
        <v>0</v>
      </c>
      <c r="D489" t="s">
        <v>32</v>
      </c>
      <c r="E489">
        <v>959</v>
      </c>
      <c r="F489" t="s">
        <v>48</v>
      </c>
      <c r="G489">
        <v>1</v>
      </c>
      <c r="H489" t="s">
        <v>61</v>
      </c>
      <c r="I489" t="s">
        <v>35</v>
      </c>
      <c r="J489" t="s">
        <v>41</v>
      </c>
      <c r="K489" t="s">
        <v>37</v>
      </c>
      <c r="L489">
        <v>83</v>
      </c>
      <c r="M489" t="s">
        <v>36</v>
      </c>
      <c r="N489" t="s">
        <v>56</v>
      </c>
      <c r="O489" t="s">
        <v>51</v>
      </c>
      <c r="P489" t="s">
        <v>36</v>
      </c>
      <c r="Q489" t="s">
        <v>42</v>
      </c>
      <c r="R489">
        <v>2836</v>
      </c>
      <c r="S489">
        <v>11757</v>
      </c>
      <c r="T489">
        <v>1</v>
      </c>
      <c r="U489" t="s">
        <v>46</v>
      </c>
      <c r="V489">
        <v>13</v>
      </c>
      <c r="W489" t="s">
        <v>43</v>
      </c>
      <c r="X489" t="s">
        <v>41</v>
      </c>
      <c r="Y489">
        <v>0</v>
      </c>
      <c r="Z489">
        <v>1</v>
      </c>
      <c r="AA489">
        <v>0</v>
      </c>
      <c r="AB489" t="s">
        <v>73</v>
      </c>
      <c r="AC489">
        <v>1</v>
      </c>
      <c r="AD489" t="str" cm="1">
        <f t="array" ref="AD489">_xlfn.IFS(AC489&lt;=5,"0-5",AC489&lt;=10,"5-10",AC489&lt;=40,"10-40")</f>
        <v>0-5</v>
      </c>
      <c r="AE489">
        <v>0</v>
      </c>
      <c r="AF489">
        <v>0</v>
      </c>
      <c r="AG489">
        <v>0</v>
      </c>
      <c r="AH489">
        <v>488</v>
      </c>
    </row>
    <row r="490" spans="1:34" x14ac:dyDescent="0.3">
      <c r="A490">
        <v>42</v>
      </c>
      <c r="B490" t="str" cm="1">
        <f t="array" ref="B490">_xlfn.IFS(A490&lt;=25,"18-25",A490&lt;=35,"26-35",A490&lt;=45,"36-45",A490&lt;=55,"46-55",A490&gt;55,"55+")</f>
        <v>36-45</v>
      </c>
      <c r="C490">
        <v>0</v>
      </c>
      <c r="D490" t="s">
        <v>32</v>
      </c>
      <c r="E490">
        <v>622</v>
      </c>
      <c r="F490" t="s">
        <v>48</v>
      </c>
      <c r="G490">
        <v>2</v>
      </c>
      <c r="H490" t="s">
        <v>58</v>
      </c>
      <c r="I490" t="s">
        <v>35</v>
      </c>
      <c r="J490" t="s">
        <v>38</v>
      </c>
      <c r="K490" t="s">
        <v>37</v>
      </c>
      <c r="L490">
        <v>81</v>
      </c>
      <c r="M490" t="s">
        <v>38</v>
      </c>
      <c r="N490" t="s">
        <v>39</v>
      </c>
      <c r="O490" t="s">
        <v>65</v>
      </c>
      <c r="P490" t="s">
        <v>41</v>
      </c>
      <c r="Q490" t="s">
        <v>52</v>
      </c>
      <c r="R490">
        <v>4089</v>
      </c>
      <c r="S490">
        <v>5718</v>
      </c>
      <c r="T490">
        <v>1</v>
      </c>
      <c r="U490" t="s">
        <v>46</v>
      </c>
      <c r="V490">
        <v>13</v>
      </c>
      <c r="W490" t="s">
        <v>43</v>
      </c>
      <c r="X490" t="s">
        <v>36</v>
      </c>
      <c r="Y490">
        <v>2</v>
      </c>
      <c r="Z490">
        <v>10</v>
      </c>
      <c r="AA490">
        <v>4</v>
      </c>
      <c r="AB490" t="s">
        <v>54</v>
      </c>
      <c r="AC490">
        <v>10</v>
      </c>
      <c r="AD490" t="str" cm="1">
        <f t="array" ref="AD490">_xlfn.IFS(AC490&lt;=5,"0-5",AC490&lt;=10,"5-10",AC490&lt;=40,"10-40")</f>
        <v>5-10</v>
      </c>
      <c r="AE490">
        <v>2</v>
      </c>
      <c r="AF490">
        <v>2</v>
      </c>
      <c r="AG490">
        <v>2</v>
      </c>
      <c r="AH490">
        <v>489</v>
      </c>
    </row>
    <row r="491" spans="1:34" x14ac:dyDescent="0.3">
      <c r="A491">
        <v>43</v>
      </c>
      <c r="B491" t="str" cm="1">
        <f t="array" ref="B491">_xlfn.IFS(A491&lt;=25,"18-25",A491&lt;=35,"26-35",A491&lt;=45,"36-45",A491&lt;=55,"46-55",A491&gt;55,"55+")</f>
        <v>36-45</v>
      </c>
      <c r="C491">
        <v>0</v>
      </c>
      <c r="D491" t="s">
        <v>32</v>
      </c>
      <c r="E491">
        <v>782</v>
      </c>
      <c r="F491" t="s">
        <v>48</v>
      </c>
      <c r="G491">
        <v>6</v>
      </c>
      <c r="H491" t="s">
        <v>58</v>
      </c>
      <c r="I491" t="s">
        <v>55</v>
      </c>
      <c r="J491" t="s">
        <v>36</v>
      </c>
      <c r="K491" t="s">
        <v>50</v>
      </c>
      <c r="L491">
        <v>50</v>
      </c>
      <c r="M491" t="s">
        <v>36</v>
      </c>
      <c r="N491" t="s">
        <v>67</v>
      </c>
      <c r="O491" t="s">
        <v>70</v>
      </c>
      <c r="P491" t="s">
        <v>41</v>
      </c>
      <c r="Q491" t="s">
        <v>62</v>
      </c>
      <c r="R491">
        <v>16627</v>
      </c>
      <c r="S491">
        <v>2671</v>
      </c>
      <c r="T491">
        <v>4</v>
      </c>
      <c r="U491" t="s">
        <v>31</v>
      </c>
      <c r="V491">
        <v>14</v>
      </c>
      <c r="W491" t="s">
        <v>43</v>
      </c>
      <c r="X491" t="s">
        <v>38</v>
      </c>
      <c r="Y491">
        <v>1</v>
      </c>
      <c r="Z491">
        <v>21</v>
      </c>
      <c r="AA491">
        <v>3</v>
      </c>
      <c r="AB491" t="s">
        <v>60</v>
      </c>
      <c r="AC491">
        <v>1</v>
      </c>
      <c r="AD491" t="str" cm="1">
        <f t="array" ref="AD491">_xlfn.IFS(AC491&lt;=5,"0-5",AC491&lt;=10,"5-10",AC491&lt;=40,"10-40")</f>
        <v>0-5</v>
      </c>
      <c r="AE491">
        <v>0</v>
      </c>
      <c r="AF491">
        <v>0</v>
      </c>
      <c r="AG491">
        <v>0</v>
      </c>
      <c r="AH491">
        <v>490</v>
      </c>
    </row>
    <row r="492" spans="1:34" x14ac:dyDescent="0.3">
      <c r="A492">
        <v>38</v>
      </c>
      <c r="B492" t="str" cm="1">
        <f t="array" ref="B492">_xlfn.IFS(A492&lt;=25,"18-25",A492&lt;=35,"26-35",A492&lt;=45,"36-45",A492&lt;=55,"46-55",A492&gt;55,"55+")</f>
        <v>36-45</v>
      </c>
      <c r="C492">
        <v>0</v>
      </c>
      <c r="D492" t="s">
        <v>32</v>
      </c>
      <c r="E492">
        <v>362</v>
      </c>
      <c r="F492" t="s">
        <v>48</v>
      </c>
      <c r="G492">
        <v>1</v>
      </c>
      <c r="H492" t="s">
        <v>49</v>
      </c>
      <c r="I492" t="s">
        <v>35</v>
      </c>
      <c r="J492" t="s">
        <v>38</v>
      </c>
      <c r="K492" t="s">
        <v>37</v>
      </c>
      <c r="L492">
        <v>43</v>
      </c>
      <c r="M492" t="s">
        <v>38</v>
      </c>
      <c r="N492" t="s">
        <v>56</v>
      </c>
      <c r="O492" t="s">
        <v>51</v>
      </c>
      <c r="P492" t="s">
        <v>44</v>
      </c>
      <c r="Q492" t="s">
        <v>42</v>
      </c>
      <c r="R492">
        <v>2619</v>
      </c>
      <c r="S492">
        <v>14561</v>
      </c>
      <c r="T492">
        <v>3</v>
      </c>
      <c r="U492" t="s">
        <v>46</v>
      </c>
      <c r="V492">
        <v>17</v>
      </c>
      <c r="W492" t="s">
        <v>43</v>
      </c>
      <c r="X492" t="s">
        <v>41</v>
      </c>
      <c r="Y492">
        <v>0</v>
      </c>
      <c r="Z492">
        <v>8</v>
      </c>
      <c r="AA492">
        <v>3</v>
      </c>
      <c r="AB492" t="s">
        <v>60</v>
      </c>
      <c r="AC492">
        <v>0</v>
      </c>
      <c r="AD492" t="str" cm="1">
        <f t="array" ref="AD492">_xlfn.IFS(AC492&lt;=5,"0-5",AC492&lt;=10,"5-10",AC492&lt;=40,"10-40")</f>
        <v>0-5</v>
      </c>
      <c r="AE492">
        <v>0</v>
      </c>
      <c r="AF492">
        <v>0</v>
      </c>
      <c r="AG492">
        <v>0</v>
      </c>
      <c r="AH492">
        <v>491</v>
      </c>
    </row>
    <row r="493" spans="1:34" x14ac:dyDescent="0.3">
      <c r="A493">
        <v>43</v>
      </c>
      <c r="B493" t="str" cm="1">
        <f t="array" ref="B493">_xlfn.IFS(A493&lt;=25,"18-25",A493&lt;=35,"26-35",A493&lt;=45,"36-45",A493&lt;=55,"46-55",A493&gt;55,"55+")</f>
        <v>36-45</v>
      </c>
      <c r="C493">
        <v>0</v>
      </c>
      <c r="D493" t="s">
        <v>47</v>
      </c>
      <c r="E493">
        <v>1001</v>
      </c>
      <c r="F493" t="s">
        <v>48</v>
      </c>
      <c r="G493">
        <v>9</v>
      </c>
      <c r="H493" t="s">
        <v>75</v>
      </c>
      <c r="I493" t="s">
        <v>59</v>
      </c>
      <c r="J493" t="s">
        <v>41</v>
      </c>
      <c r="K493" t="s">
        <v>50</v>
      </c>
      <c r="L493">
        <v>72</v>
      </c>
      <c r="M493" t="s">
        <v>38</v>
      </c>
      <c r="N493" t="s">
        <v>39</v>
      </c>
      <c r="O493" t="s">
        <v>57</v>
      </c>
      <c r="P493" t="s">
        <v>38</v>
      </c>
      <c r="Q493" t="s">
        <v>62</v>
      </c>
      <c r="R493">
        <v>5679</v>
      </c>
      <c r="S493">
        <v>19627</v>
      </c>
      <c r="T493">
        <v>3</v>
      </c>
      <c r="U493" t="s">
        <v>31</v>
      </c>
      <c r="V493">
        <v>13</v>
      </c>
      <c r="W493" t="s">
        <v>43</v>
      </c>
      <c r="X493" t="s">
        <v>36</v>
      </c>
      <c r="Y493">
        <v>1</v>
      </c>
      <c r="Z493">
        <v>10</v>
      </c>
      <c r="AA493">
        <v>3</v>
      </c>
      <c r="AB493" t="s">
        <v>54</v>
      </c>
      <c r="AC493">
        <v>8</v>
      </c>
      <c r="AD493" t="str" cm="1">
        <f t="array" ref="AD493">_xlfn.IFS(AC493&lt;=5,"0-5",AC493&lt;=10,"5-10",AC493&lt;=40,"10-40")</f>
        <v>5-10</v>
      </c>
      <c r="AE493">
        <v>7</v>
      </c>
      <c r="AF493">
        <v>4</v>
      </c>
      <c r="AG493">
        <v>7</v>
      </c>
      <c r="AH493">
        <v>492</v>
      </c>
    </row>
    <row r="494" spans="1:34" x14ac:dyDescent="0.3">
      <c r="A494">
        <v>48</v>
      </c>
      <c r="B494" t="str" cm="1">
        <f t="array" ref="B494">_xlfn.IFS(A494&lt;=25,"18-25",A494&lt;=35,"26-35",A494&lt;=45,"36-45",A494&lt;=55,"46-55",A494&gt;55,"55+")</f>
        <v>46-55</v>
      </c>
      <c r="C494">
        <v>0</v>
      </c>
      <c r="D494" t="s">
        <v>32</v>
      </c>
      <c r="E494">
        <v>1236</v>
      </c>
      <c r="F494" t="s">
        <v>48</v>
      </c>
      <c r="G494">
        <v>1</v>
      </c>
      <c r="H494" t="s">
        <v>58</v>
      </c>
      <c r="I494" t="s">
        <v>35</v>
      </c>
      <c r="J494" t="s">
        <v>41</v>
      </c>
      <c r="K494" t="s">
        <v>37</v>
      </c>
      <c r="L494">
        <v>40</v>
      </c>
      <c r="M494" t="s">
        <v>36</v>
      </c>
      <c r="N494" t="s">
        <v>67</v>
      </c>
      <c r="O494" t="s">
        <v>68</v>
      </c>
      <c r="P494" t="s">
        <v>44</v>
      </c>
      <c r="Q494" t="s">
        <v>52</v>
      </c>
      <c r="R494">
        <v>15402</v>
      </c>
      <c r="S494">
        <v>17997</v>
      </c>
      <c r="T494">
        <v>7</v>
      </c>
      <c r="U494" t="s">
        <v>46</v>
      </c>
      <c r="V494">
        <v>11</v>
      </c>
      <c r="W494" t="s">
        <v>43</v>
      </c>
      <c r="X494" t="s">
        <v>44</v>
      </c>
      <c r="Y494">
        <v>1</v>
      </c>
      <c r="Z494">
        <v>21</v>
      </c>
      <c r="AA494">
        <v>3</v>
      </c>
      <c r="AB494" t="s">
        <v>45</v>
      </c>
      <c r="AC494">
        <v>3</v>
      </c>
      <c r="AD494" t="str" cm="1">
        <f t="array" ref="AD494">_xlfn.IFS(AC494&lt;=5,"0-5",AC494&lt;=10,"5-10",AC494&lt;=40,"10-40")</f>
        <v>0-5</v>
      </c>
      <c r="AE494">
        <v>2</v>
      </c>
      <c r="AF494">
        <v>0</v>
      </c>
      <c r="AG494">
        <v>2</v>
      </c>
      <c r="AH494">
        <v>493</v>
      </c>
    </row>
    <row r="495" spans="1:34" x14ac:dyDescent="0.3">
      <c r="A495">
        <v>44</v>
      </c>
      <c r="B495" t="str" cm="1">
        <f t="array" ref="B495">_xlfn.IFS(A495&lt;=25,"18-25",A495&lt;=35,"26-35",A495&lt;=45,"36-45",A495&lt;=55,"46-55",A495&gt;55,"55+")</f>
        <v>36-45</v>
      </c>
      <c r="C495">
        <v>0</v>
      </c>
      <c r="D495" t="s">
        <v>32</v>
      </c>
      <c r="E495">
        <v>1112</v>
      </c>
      <c r="F495" t="s">
        <v>76</v>
      </c>
      <c r="G495">
        <v>1</v>
      </c>
      <c r="H495" t="s">
        <v>58</v>
      </c>
      <c r="I495" t="s">
        <v>35</v>
      </c>
      <c r="J495" t="s">
        <v>44</v>
      </c>
      <c r="K495" t="s">
        <v>37</v>
      </c>
      <c r="L495">
        <v>50</v>
      </c>
      <c r="M495" t="s">
        <v>36</v>
      </c>
      <c r="N495" t="s">
        <v>39</v>
      </c>
      <c r="O495" t="s">
        <v>76</v>
      </c>
      <c r="P495" t="s">
        <v>38</v>
      </c>
      <c r="Q495" t="s">
        <v>42</v>
      </c>
      <c r="R495">
        <v>5985</v>
      </c>
      <c r="S495">
        <v>26894</v>
      </c>
      <c r="T495">
        <v>4</v>
      </c>
      <c r="U495" t="s">
        <v>46</v>
      </c>
      <c r="V495">
        <v>11</v>
      </c>
      <c r="W495" t="s">
        <v>43</v>
      </c>
      <c r="X495" t="s">
        <v>36</v>
      </c>
      <c r="Y495">
        <v>0</v>
      </c>
      <c r="Z495">
        <v>10</v>
      </c>
      <c r="AA495">
        <v>1</v>
      </c>
      <c r="AB495" t="s">
        <v>73</v>
      </c>
      <c r="AC495">
        <v>2</v>
      </c>
      <c r="AD495" t="str" cm="1">
        <f t="array" ref="AD495">_xlfn.IFS(AC495&lt;=5,"0-5",AC495&lt;=10,"5-10",AC495&lt;=40,"10-40")</f>
        <v>0-5</v>
      </c>
      <c r="AE495">
        <v>2</v>
      </c>
      <c r="AF495">
        <v>0</v>
      </c>
      <c r="AG495">
        <v>2</v>
      </c>
      <c r="AH495">
        <v>494</v>
      </c>
    </row>
    <row r="496" spans="1:34" x14ac:dyDescent="0.3">
      <c r="A496">
        <v>34</v>
      </c>
      <c r="B496" t="str" cm="1">
        <f t="array" ref="B496">_xlfn.IFS(A496&lt;=25,"18-25",A496&lt;=35,"26-35",A496&lt;=45,"36-45",A496&lt;=55,"46-55",A496&gt;55,"55+")</f>
        <v>26-35</v>
      </c>
      <c r="C496">
        <v>0</v>
      </c>
      <c r="D496" t="s">
        <v>32</v>
      </c>
      <c r="E496">
        <v>204</v>
      </c>
      <c r="F496" t="s">
        <v>33</v>
      </c>
      <c r="G496">
        <v>14</v>
      </c>
      <c r="H496" t="s">
        <v>61</v>
      </c>
      <c r="I496" t="s">
        <v>74</v>
      </c>
      <c r="J496" t="s">
        <v>38</v>
      </c>
      <c r="K496" t="s">
        <v>37</v>
      </c>
      <c r="L496">
        <v>31</v>
      </c>
      <c r="M496" t="s">
        <v>38</v>
      </c>
      <c r="N496" t="s">
        <v>56</v>
      </c>
      <c r="O496" t="s">
        <v>69</v>
      </c>
      <c r="P496" t="s">
        <v>38</v>
      </c>
      <c r="Q496" t="s">
        <v>62</v>
      </c>
      <c r="R496">
        <v>2579</v>
      </c>
      <c r="S496">
        <v>2912</v>
      </c>
      <c r="T496">
        <v>1</v>
      </c>
      <c r="U496" t="s">
        <v>31</v>
      </c>
      <c r="V496">
        <v>18</v>
      </c>
      <c r="W496" t="s">
        <v>43</v>
      </c>
      <c r="X496" t="s">
        <v>41</v>
      </c>
      <c r="Y496">
        <v>2</v>
      </c>
      <c r="Z496">
        <v>8</v>
      </c>
      <c r="AA496">
        <v>3</v>
      </c>
      <c r="AB496" t="s">
        <v>54</v>
      </c>
      <c r="AC496">
        <v>8</v>
      </c>
      <c r="AD496" t="str" cm="1">
        <f t="array" ref="AD496">_xlfn.IFS(AC496&lt;=5,"0-5",AC496&lt;=10,"5-10",AC496&lt;=40,"10-40")</f>
        <v>5-10</v>
      </c>
      <c r="AE496">
        <v>2</v>
      </c>
      <c r="AF496">
        <v>0</v>
      </c>
      <c r="AG496">
        <v>6</v>
      </c>
      <c r="AH496">
        <v>495</v>
      </c>
    </row>
    <row r="497" spans="1:34" x14ac:dyDescent="0.3">
      <c r="A497">
        <v>27</v>
      </c>
      <c r="B497" t="str" cm="1">
        <f t="array" ref="B497">_xlfn.IFS(A497&lt;=25,"18-25",A497&lt;=35,"26-35",A497&lt;=45,"36-45",A497&lt;=55,"46-55",A497&gt;55,"55+")</f>
        <v>26-35</v>
      </c>
      <c r="C497">
        <v>1</v>
      </c>
      <c r="D497" t="s">
        <v>32</v>
      </c>
      <c r="E497">
        <v>1420</v>
      </c>
      <c r="F497" t="s">
        <v>33</v>
      </c>
      <c r="G497">
        <v>2</v>
      </c>
      <c r="H497" t="s">
        <v>49</v>
      </c>
      <c r="I497" t="s">
        <v>72</v>
      </c>
      <c r="J497" t="s">
        <v>38</v>
      </c>
      <c r="K497" t="s">
        <v>50</v>
      </c>
      <c r="L497">
        <v>85</v>
      </c>
      <c r="M497" t="s">
        <v>38</v>
      </c>
      <c r="N497" t="s">
        <v>56</v>
      </c>
      <c r="O497" t="s">
        <v>69</v>
      </c>
      <c r="P497" t="s">
        <v>44</v>
      </c>
      <c r="Q497" t="s">
        <v>62</v>
      </c>
      <c r="R497">
        <v>3041</v>
      </c>
      <c r="S497">
        <v>16346</v>
      </c>
      <c r="T497">
        <v>0</v>
      </c>
      <c r="U497" t="s">
        <v>46</v>
      </c>
      <c r="V497">
        <v>11</v>
      </c>
      <c r="W497" t="s">
        <v>43</v>
      </c>
      <c r="X497" t="s">
        <v>36</v>
      </c>
      <c r="Y497">
        <v>1</v>
      </c>
      <c r="Z497">
        <v>5</v>
      </c>
      <c r="AA497">
        <v>3</v>
      </c>
      <c r="AB497" t="s">
        <v>54</v>
      </c>
      <c r="AC497">
        <v>4</v>
      </c>
      <c r="AD497" t="str" cm="1">
        <f t="array" ref="AD497">_xlfn.IFS(AC497&lt;=5,"0-5",AC497&lt;=10,"5-10",AC497&lt;=40,"10-40")</f>
        <v>0-5</v>
      </c>
      <c r="AE497">
        <v>3</v>
      </c>
      <c r="AF497">
        <v>0</v>
      </c>
      <c r="AG497">
        <v>2</v>
      </c>
      <c r="AH497">
        <v>496</v>
      </c>
    </row>
    <row r="498" spans="1:34" x14ac:dyDescent="0.3">
      <c r="A498">
        <v>21</v>
      </c>
      <c r="B498" t="str" cm="1">
        <f t="array" ref="B498">_xlfn.IFS(A498&lt;=25,"18-25",A498&lt;=35,"26-35",A498&lt;=45,"36-45",A498&lt;=55,"46-55",A498&gt;55,"55+")</f>
        <v>18-25</v>
      </c>
      <c r="C498">
        <v>0</v>
      </c>
      <c r="D498" t="s">
        <v>32</v>
      </c>
      <c r="E498">
        <v>1343</v>
      </c>
      <c r="F498" t="s">
        <v>33</v>
      </c>
      <c r="G498">
        <v>22</v>
      </c>
      <c r="H498" t="s">
        <v>49</v>
      </c>
      <c r="I498" t="s">
        <v>74</v>
      </c>
      <c r="J498" t="s">
        <v>38</v>
      </c>
      <c r="K498" t="s">
        <v>50</v>
      </c>
      <c r="L498">
        <v>49</v>
      </c>
      <c r="M498" t="s">
        <v>38</v>
      </c>
      <c r="N498" t="s">
        <v>56</v>
      </c>
      <c r="O498" t="s">
        <v>69</v>
      </c>
      <c r="P498" t="s">
        <v>38</v>
      </c>
      <c r="Q498" t="s">
        <v>42</v>
      </c>
      <c r="R498">
        <v>3447</v>
      </c>
      <c r="S498">
        <v>24444</v>
      </c>
      <c r="T498">
        <v>1</v>
      </c>
      <c r="U498" t="s">
        <v>46</v>
      </c>
      <c r="V498">
        <v>11</v>
      </c>
      <c r="W498" t="s">
        <v>43</v>
      </c>
      <c r="X498" t="s">
        <v>38</v>
      </c>
      <c r="Y498">
        <v>0</v>
      </c>
      <c r="Z498">
        <v>3</v>
      </c>
      <c r="AA498">
        <v>2</v>
      </c>
      <c r="AB498" t="s">
        <v>54</v>
      </c>
      <c r="AC498">
        <v>3</v>
      </c>
      <c r="AD498" t="str" cm="1">
        <f t="array" ref="AD498">_xlfn.IFS(AC498&lt;=5,"0-5",AC498&lt;=10,"5-10",AC498&lt;=40,"10-40")</f>
        <v>0-5</v>
      </c>
      <c r="AE498">
        <v>2</v>
      </c>
      <c r="AF498">
        <v>1</v>
      </c>
      <c r="AG498">
        <v>2</v>
      </c>
      <c r="AH498">
        <v>497</v>
      </c>
    </row>
    <row r="499" spans="1:34" x14ac:dyDescent="0.3">
      <c r="A499">
        <v>44</v>
      </c>
      <c r="B499" t="str" cm="1">
        <f t="array" ref="B499">_xlfn.IFS(A499&lt;=25,"18-25",A499&lt;=35,"26-35",A499&lt;=45,"36-45",A499&lt;=55,"46-55",A499&gt;55,"55+")</f>
        <v>36-45</v>
      </c>
      <c r="C499">
        <v>0</v>
      </c>
      <c r="D499" t="s">
        <v>32</v>
      </c>
      <c r="E499">
        <v>1315</v>
      </c>
      <c r="F499" t="s">
        <v>48</v>
      </c>
      <c r="G499">
        <v>3</v>
      </c>
      <c r="H499" t="s">
        <v>58</v>
      </c>
      <c r="I499" t="s">
        <v>55</v>
      </c>
      <c r="J499" t="s">
        <v>41</v>
      </c>
      <c r="K499" t="s">
        <v>50</v>
      </c>
      <c r="L499">
        <v>35</v>
      </c>
      <c r="M499" t="s">
        <v>38</v>
      </c>
      <c r="N499" t="s">
        <v>71</v>
      </c>
      <c r="O499" t="s">
        <v>68</v>
      </c>
      <c r="P499" t="s">
        <v>41</v>
      </c>
      <c r="Q499" t="s">
        <v>52</v>
      </c>
      <c r="R499">
        <v>19513</v>
      </c>
      <c r="S499">
        <v>9358</v>
      </c>
      <c r="T499">
        <v>4</v>
      </c>
      <c r="U499" t="s">
        <v>31</v>
      </c>
      <c r="V499">
        <v>12</v>
      </c>
      <c r="W499" t="s">
        <v>43</v>
      </c>
      <c r="X499" t="s">
        <v>44</v>
      </c>
      <c r="Y499">
        <v>1</v>
      </c>
      <c r="Z499">
        <v>26</v>
      </c>
      <c r="AA499">
        <v>2</v>
      </c>
      <c r="AB499" t="s">
        <v>73</v>
      </c>
      <c r="AC499">
        <v>2</v>
      </c>
      <c r="AD499" t="str" cm="1">
        <f t="array" ref="AD499">_xlfn.IFS(AC499&lt;=5,"0-5",AC499&lt;=10,"5-10",AC499&lt;=40,"10-40")</f>
        <v>0-5</v>
      </c>
      <c r="AE499">
        <v>2</v>
      </c>
      <c r="AF499">
        <v>0</v>
      </c>
      <c r="AG499">
        <v>1</v>
      </c>
      <c r="AH499">
        <v>498</v>
      </c>
    </row>
    <row r="500" spans="1:34" x14ac:dyDescent="0.3">
      <c r="A500">
        <v>22</v>
      </c>
      <c r="B500" t="str" cm="1">
        <f t="array" ref="B500">_xlfn.IFS(A500&lt;=25,"18-25",A500&lt;=35,"26-35",A500&lt;=45,"36-45",A500&lt;=55,"46-55",A500&gt;55,"55+")</f>
        <v>18-25</v>
      </c>
      <c r="C500">
        <v>0</v>
      </c>
      <c r="D500" t="s">
        <v>32</v>
      </c>
      <c r="E500">
        <v>604</v>
      </c>
      <c r="F500" t="s">
        <v>48</v>
      </c>
      <c r="G500">
        <v>6</v>
      </c>
      <c r="H500" t="s">
        <v>49</v>
      </c>
      <c r="I500" t="s">
        <v>59</v>
      </c>
      <c r="J500" t="s">
        <v>44</v>
      </c>
      <c r="K500" t="s">
        <v>50</v>
      </c>
      <c r="L500">
        <v>69</v>
      </c>
      <c r="M500" t="s">
        <v>38</v>
      </c>
      <c r="N500" t="s">
        <v>56</v>
      </c>
      <c r="O500" t="s">
        <v>51</v>
      </c>
      <c r="P500" t="s">
        <v>38</v>
      </c>
      <c r="Q500" t="s">
        <v>52</v>
      </c>
      <c r="R500">
        <v>2773</v>
      </c>
      <c r="S500">
        <v>12145</v>
      </c>
      <c r="T500">
        <v>0</v>
      </c>
      <c r="U500" t="s">
        <v>46</v>
      </c>
      <c r="V500">
        <v>20</v>
      </c>
      <c r="W500" t="s">
        <v>53</v>
      </c>
      <c r="X500" t="s">
        <v>41</v>
      </c>
      <c r="Y500">
        <v>0</v>
      </c>
      <c r="Z500">
        <v>3</v>
      </c>
      <c r="AA500">
        <v>3</v>
      </c>
      <c r="AB500" t="s">
        <v>54</v>
      </c>
      <c r="AC500">
        <v>2</v>
      </c>
      <c r="AD500" t="str" cm="1">
        <f t="array" ref="AD500">_xlfn.IFS(AC500&lt;=5,"0-5",AC500&lt;=10,"5-10",AC500&lt;=40,"10-40")</f>
        <v>0-5</v>
      </c>
      <c r="AE500">
        <v>2</v>
      </c>
      <c r="AF500">
        <v>2</v>
      </c>
      <c r="AG500">
        <v>2</v>
      </c>
      <c r="AH500">
        <v>499</v>
      </c>
    </row>
    <row r="501" spans="1:34" x14ac:dyDescent="0.3">
      <c r="A501">
        <v>33</v>
      </c>
      <c r="B501" t="str" cm="1">
        <f t="array" ref="B501">_xlfn.IFS(A501&lt;=25,"18-25",A501&lt;=35,"26-35",A501&lt;=45,"36-45",A501&lt;=55,"46-55",A501&gt;55,"55+")</f>
        <v>26-35</v>
      </c>
      <c r="C501">
        <v>0</v>
      </c>
      <c r="D501" t="s">
        <v>32</v>
      </c>
      <c r="E501">
        <v>1216</v>
      </c>
      <c r="F501" t="s">
        <v>33</v>
      </c>
      <c r="G501">
        <v>8</v>
      </c>
      <c r="H501" t="s">
        <v>58</v>
      </c>
      <c r="I501" t="s">
        <v>72</v>
      </c>
      <c r="J501" t="s">
        <v>38</v>
      </c>
      <c r="K501" t="s">
        <v>50</v>
      </c>
      <c r="L501">
        <v>39</v>
      </c>
      <c r="M501" t="s">
        <v>38</v>
      </c>
      <c r="N501" t="s">
        <v>39</v>
      </c>
      <c r="O501" t="s">
        <v>40</v>
      </c>
      <c r="P501" t="s">
        <v>38</v>
      </c>
      <c r="Q501" t="s">
        <v>62</v>
      </c>
      <c r="R501">
        <v>7104</v>
      </c>
      <c r="S501">
        <v>20431</v>
      </c>
      <c r="T501">
        <v>0</v>
      </c>
      <c r="U501" t="s">
        <v>46</v>
      </c>
      <c r="V501">
        <v>12</v>
      </c>
      <c r="W501" t="s">
        <v>43</v>
      </c>
      <c r="X501" t="s">
        <v>41</v>
      </c>
      <c r="Y501">
        <v>0</v>
      </c>
      <c r="Z501">
        <v>6</v>
      </c>
      <c r="AA501">
        <v>3</v>
      </c>
      <c r="AB501" t="s">
        <v>54</v>
      </c>
      <c r="AC501">
        <v>5</v>
      </c>
      <c r="AD501" t="str" cm="1">
        <f t="array" ref="AD501">_xlfn.IFS(AC501&lt;=5,"0-5",AC501&lt;=10,"5-10",AC501&lt;=40,"10-40")</f>
        <v>0-5</v>
      </c>
      <c r="AE501">
        <v>0</v>
      </c>
      <c r="AF501">
        <v>1</v>
      </c>
      <c r="AG501">
        <v>2</v>
      </c>
      <c r="AH501">
        <v>500</v>
      </c>
    </row>
    <row r="502" spans="1:34" x14ac:dyDescent="0.3">
      <c r="A502">
        <v>32</v>
      </c>
      <c r="B502" t="str" cm="1">
        <f t="array" ref="B502">_xlfn.IFS(A502&lt;=25,"18-25",A502&lt;=35,"26-35",A502&lt;=45,"36-45",A502&lt;=55,"46-55",A502&gt;55,"55+")</f>
        <v>26-35</v>
      </c>
      <c r="C502">
        <v>0</v>
      </c>
      <c r="D502" t="s">
        <v>32</v>
      </c>
      <c r="E502">
        <v>646</v>
      </c>
      <c r="F502" t="s">
        <v>48</v>
      </c>
      <c r="G502">
        <v>9</v>
      </c>
      <c r="H502" t="s">
        <v>58</v>
      </c>
      <c r="I502" t="s">
        <v>35</v>
      </c>
      <c r="J502" t="s">
        <v>44</v>
      </c>
      <c r="K502" t="s">
        <v>37</v>
      </c>
      <c r="L502">
        <v>92</v>
      </c>
      <c r="M502" t="s">
        <v>38</v>
      </c>
      <c r="N502" t="s">
        <v>39</v>
      </c>
      <c r="O502" t="s">
        <v>51</v>
      </c>
      <c r="P502" t="s">
        <v>41</v>
      </c>
      <c r="Q502" t="s">
        <v>52</v>
      </c>
      <c r="R502">
        <v>6322</v>
      </c>
      <c r="S502">
        <v>18089</v>
      </c>
      <c r="T502">
        <v>1</v>
      </c>
      <c r="U502" t="s">
        <v>31</v>
      </c>
      <c r="V502">
        <v>12</v>
      </c>
      <c r="W502" t="s">
        <v>43</v>
      </c>
      <c r="X502" t="s">
        <v>41</v>
      </c>
      <c r="Y502">
        <v>1</v>
      </c>
      <c r="Z502">
        <v>6</v>
      </c>
      <c r="AA502">
        <v>2</v>
      </c>
      <c r="AB502" t="s">
        <v>60</v>
      </c>
      <c r="AC502">
        <v>6</v>
      </c>
      <c r="AD502" t="str" cm="1">
        <f t="array" ref="AD502">_xlfn.IFS(AC502&lt;=5,"0-5",AC502&lt;=10,"5-10",AC502&lt;=40,"10-40")</f>
        <v>5-10</v>
      </c>
      <c r="AE502">
        <v>4</v>
      </c>
      <c r="AF502">
        <v>0</v>
      </c>
      <c r="AG502">
        <v>5</v>
      </c>
      <c r="AH502">
        <v>501</v>
      </c>
    </row>
    <row r="503" spans="1:34" x14ac:dyDescent="0.3">
      <c r="A503">
        <v>30</v>
      </c>
      <c r="B503" t="str" cm="1">
        <f t="array" ref="B503">_xlfn.IFS(A503&lt;=25,"18-25",A503&lt;=35,"26-35",A503&lt;=45,"36-45",A503&lt;=55,"46-55",A503&gt;55,"55+")</f>
        <v>26-35</v>
      </c>
      <c r="C503">
        <v>0</v>
      </c>
      <c r="D503" t="s">
        <v>47</v>
      </c>
      <c r="E503">
        <v>160</v>
      </c>
      <c r="F503" t="s">
        <v>48</v>
      </c>
      <c r="G503">
        <v>3</v>
      </c>
      <c r="H503" t="s">
        <v>61</v>
      </c>
      <c r="I503" t="s">
        <v>59</v>
      </c>
      <c r="J503" t="s">
        <v>38</v>
      </c>
      <c r="K503" t="s">
        <v>37</v>
      </c>
      <c r="L503">
        <v>71</v>
      </c>
      <c r="M503" t="s">
        <v>38</v>
      </c>
      <c r="N503" t="s">
        <v>56</v>
      </c>
      <c r="O503" t="s">
        <v>51</v>
      </c>
      <c r="P503" t="s">
        <v>38</v>
      </c>
      <c r="Q503" t="s">
        <v>62</v>
      </c>
      <c r="R503">
        <v>2083</v>
      </c>
      <c r="S503">
        <v>22653</v>
      </c>
      <c r="T503">
        <v>1</v>
      </c>
      <c r="U503" t="s">
        <v>46</v>
      </c>
      <c r="V503">
        <v>20</v>
      </c>
      <c r="W503" t="s">
        <v>53</v>
      </c>
      <c r="X503" t="s">
        <v>38</v>
      </c>
      <c r="Y503">
        <v>1</v>
      </c>
      <c r="Z503">
        <v>1</v>
      </c>
      <c r="AA503">
        <v>2</v>
      </c>
      <c r="AB503" t="s">
        <v>54</v>
      </c>
      <c r="AC503">
        <v>1</v>
      </c>
      <c r="AD503" t="str" cm="1">
        <f t="array" ref="AD503">_xlfn.IFS(AC503&lt;=5,"0-5",AC503&lt;=10,"5-10",AC503&lt;=40,"10-40")</f>
        <v>0-5</v>
      </c>
      <c r="AE503">
        <v>0</v>
      </c>
      <c r="AF503">
        <v>0</v>
      </c>
      <c r="AG503">
        <v>0</v>
      </c>
      <c r="AH503">
        <v>502</v>
      </c>
    </row>
    <row r="504" spans="1:34" x14ac:dyDescent="0.3">
      <c r="A504">
        <v>53</v>
      </c>
      <c r="B504" t="str" cm="1">
        <f t="array" ref="B504">_xlfn.IFS(A504&lt;=25,"18-25",A504&lt;=35,"26-35",A504&lt;=45,"36-45",A504&lt;=55,"46-55",A504&gt;55,"55+")</f>
        <v>46-55</v>
      </c>
      <c r="C504">
        <v>0</v>
      </c>
      <c r="D504" t="s">
        <v>32</v>
      </c>
      <c r="E504">
        <v>238</v>
      </c>
      <c r="F504" t="s">
        <v>33</v>
      </c>
      <c r="G504">
        <v>1</v>
      </c>
      <c r="H504" t="s">
        <v>49</v>
      </c>
      <c r="I504" t="s">
        <v>59</v>
      </c>
      <c r="J504" t="s">
        <v>41</v>
      </c>
      <c r="K504" t="s">
        <v>37</v>
      </c>
      <c r="L504">
        <v>34</v>
      </c>
      <c r="M504" t="s">
        <v>38</v>
      </c>
      <c r="N504" t="s">
        <v>39</v>
      </c>
      <c r="O504" t="s">
        <v>40</v>
      </c>
      <c r="P504" t="s">
        <v>44</v>
      </c>
      <c r="Q504" t="s">
        <v>42</v>
      </c>
      <c r="R504">
        <v>8381</v>
      </c>
      <c r="S504">
        <v>7507</v>
      </c>
      <c r="T504">
        <v>7</v>
      </c>
      <c r="U504" t="s">
        <v>46</v>
      </c>
      <c r="V504">
        <v>20</v>
      </c>
      <c r="W504" t="s">
        <v>53</v>
      </c>
      <c r="X504" t="s">
        <v>41</v>
      </c>
      <c r="Y504">
        <v>0</v>
      </c>
      <c r="Z504">
        <v>18</v>
      </c>
      <c r="AA504">
        <v>2</v>
      </c>
      <c r="AB504" t="s">
        <v>73</v>
      </c>
      <c r="AC504">
        <v>14</v>
      </c>
      <c r="AD504" t="str" cm="1">
        <f t="array" ref="AD504">_xlfn.IFS(AC504&lt;=5,"0-5",AC504&lt;=10,"5-10",AC504&lt;=40,"10-40")</f>
        <v>10-40</v>
      </c>
      <c r="AE504">
        <v>7</v>
      </c>
      <c r="AF504">
        <v>8</v>
      </c>
      <c r="AG504">
        <v>10</v>
      </c>
      <c r="AH504">
        <v>503</v>
      </c>
    </row>
    <row r="505" spans="1:34" x14ac:dyDescent="0.3">
      <c r="A505">
        <v>34</v>
      </c>
      <c r="B505" t="str" cm="1">
        <f t="array" ref="B505">_xlfn.IFS(A505&lt;=25,"18-25",A505&lt;=35,"26-35",A505&lt;=45,"36-45",A505&lt;=55,"46-55",A505&gt;55,"55+")</f>
        <v>26-35</v>
      </c>
      <c r="C505">
        <v>0</v>
      </c>
      <c r="D505" t="s">
        <v>32</v>
      </c>
      <c r="E505">
        <v>1397</v>
      </c>
      <c r="F505" t="s">
        <v>48</v>
      </c>
      <c r="G505">
        <v>1</v>
      </c>
      <c r="H505" t="s">
        <v>75</v>
      </c>
      <c r="I505" t="s">
        <v>35</v>
      </c>
      <c r="J505" t="s">
        <v>36</v>
      </c>
      <c r="K505" t="s">
        <v>50</v>
      </c>
      <c r="L505">
        <v>42</v>
      </c>
      <c r="M505" t="s">
        <v>38</v>
      </c>
      <c r="N505" t="s">
        <v>56</v>
      </c>
      <c r="O505" t="s">
        <v>51</v>
      </c>
      <c r="P505" t="s">
        <v>41</v>
      </c>
      <c r="Q505" t="s">
        <v>52</v>
      </c>
      <c r="R505">
        <v>2691</v>
      </c>
      <c r="S505">
        <v>7660</v>
      </c>
      <c r="T505">
        <v>1</v>
      </c>
      <c r="U505" t="s">
        <v>46</v>
      </c>
      <c r="V505">
        <v>12</v>
      </c>
      <c r="W505" t="s">
        <v>43</v>
      </c>
      <c r="X505" t="s">
        <v>41</v>
      </c>
      <c r="Y505">
        <v>1</v>
      </c>
      <c r="Z505">
        <v>10</v>
      </c>
      <c r="AA505">
        <v>4</v>
      </c>
      <c r="AB505" t="s">
        <v>60</v>
      </c>
      <c r="AC505">
        <v>10</v>
      </c>
      <c r="AD505" t="str" cm="1">
        <f t="array" ref="AD505">_xlfn.IFS(AC505&lt;=5,"0-5",AC505&lt;=10,"5-10",AC505&lt;=40,"10-40")</f>
        <v>5-10</v>
      </c>
      <c r="AE505">
        <v>9</v>
      </c>
      <c r="AF505">
        <v>8</v>
      </c>
      <c r="AG505">
        <v>8</v>
      </c>
      <c r="AH505">
        <v>504</v>
      </c>
    </row>
    <row r="506" spans="1:34" x14ac:dyDescent="0.3">
      <c r="A506">
        <v>45</v>
      </c>
      <c r="B506" t="str" cm="1">
        <f t="array" ref="B506">_xlfn.IFS(A506&lt;=25,"18-25",A506&lt;=35,"26-35",A506&lt;=45,"36-45",A506&lt;=55,"46-55",A506&gt;55,"55+")</f>
        <v>36-45</v>
      </c>
      <c r="C506">
        <v>1</v>
      </c>
      <c r="D506" t="s">
        <v>47</v>
      </c>
      <c r="E506">
        <v>306</v>
      </c>
      <c r="F506" t="s">
        <v>33</v>
      </c>
      <c r="G506">
        <v>26</v>
      </c>
      <c r="H506" t="s">
        <v>58</v>
      </c>
      <c r="I506" t="s">
        <v>35</v>
      </c>
      <c r="J506" t="s">
        <v>44</v>
      </c>
      <c r="K506" t="s">
        <v>37</v>
      </c>
      <c r="L506">
        <v>100</v>
      </c>
      <c r="M506" t="s">
        <v>38</v>
      </c>
      <c r="N506" t="s">
        <v>39</v>
      </c>
      <c r="O506" t="s">
        <v>40</v>
      </c>
      <c r="P506" t="s">
        <v>44</v>
      </c>
      <c r="Q506" t="s">
        <v>52</v>
      </c>
      <c r="R506">
        <v>4286</v>
      </c>
      <c r="S506">
        <v>5630</v>
      </c>
      <c r="T506">
        <v>2</v>
      </c>
      <c r="U506" t="s">
        <v>46</v>
      </c>
      <c r="V506">
        <v>14</v>
      </c>
      <c r="W506" t="s">
        <v>43</v>
      </c>
      <c r="X506" t="s">
        <v>41</v>
      </c>
      <c r="Y506">
        <v>2</v>
      </c>
      <c r="Z506">
        <v>5</v>
      </c>
      <c r="AA506">
        <v>4</v>
      </c>
      <c r="AB506" t="s">
        <v>54</v>
      </c>
      <c r="AC506">
        <v>1</v>
      </c>
      <c r="AD506" t="str" cm="1">
        <f t="array" ref="AD506">_xlfn.IFS(AC506&lt;=5,"0-5",AC506&lt;=10,"5-10",AC506&lt;=40,"10-40")</f>
        <v>0-5</v>
      </c>
      <c r="AE506">
        <v>1</v>
      </c>
      <c r="AF506">
        <v>0</v>
      </c>
      <c r="AG506">
        <v>0</v>
      </c>
      <c r="AH506">
        <v>505</v>
      </c>
    </row>
    <row r="507" spans="1:34" x14ac:dyDescent="0.3">
      <c r="A507">
        <v>26</v>
      </c>
      <c r="B507" t="str" cm="1">
        <f t="array" ref="B507">_xlfn.IFS(A507&lt;=25,"18-25",A507&lt;=35,"26-35",A507&lt;=45,"36-45",A507&lt;=55,"46-55",A507&gt;55,"55+")</f>
        <v>26-35</v>
      </c>
      <c r="C507">
        <v>0</v>
      </c>
      <c r="D507" t="s">
        <v>32</v>
      </c>
      <c r="E507">
        <v>991</v>
      </c>
      <c r="F507" t="s">
        <v>48</v>
      </c>
      <c r="G507">
        <v>6</v>
      </c>
      <c r="H507" t="s">
        <v>61</v>
      </c>
      <c r="I507" t="s">
        <v>35</v>
      </c>
      <c r="J507" t="s">
        <v>38</v>
      </c>
      <c r="K507" t="s">
        <v>37</v>
      </c>
      <c r="L507">
        <v>71</v>
      </c>
      <c r="M507" t="s">
        <v>38</v>
      </c>
      <c r="N507" t="s">
        <v>56</v>
      </c>
      <c r="O507" t="s">
        <v>57</v>
      </c>
      <c r="P507" t="s">
        <v>41</v>
      </c>
      <c r="Q507" t="s">
        <v>52</v>
      </c>
      <c r="R507">
        <v>2659</v>
      </c>
      <c r="S507">
        <v>17759</v>
      </c>
      <c r="T507">
        <v>1</v>
      </c>
      <c r="U507" t="s">
        <v>31</v>
      </c>
      <c r="V507">
        <v>13</v>
      </c>
      <c r="W507" t="s">
        <v>43</v>
      </c>
      <c r="X507" t="s">
        <v>38</v>
      </c>
      <c r="Y507">
        <v>1</v>
      </c>
      <c r="Z507">
        <v>3</v>
      </c>
      <c r="AA507">
        <v>2</v>
      </c>
      <c r="AB507" t="s">
        <v>54</v>
      </c>
      <c r="AC507">
        <v>3</v>
      </c>
      <c r="AD507" t="str" cm="1">
        <f t="array" ref="AD507">_xlfn.IFS(AC507&lt;=5,"0-5",AC507&lt;=10,"5-10",AC507&lt;=40,"10-40")</f>
        <v>0-5</v>
      </c>
      <c r="AE507">
        <v>2</v>
      </c>
      <c r="AF507">
        <v>0</v>
      </c>
      <c r="AG507">
        <v>2</v>
      </c>
      <c r="AH507">
        <v>506</v>
      </c>
    </row>
    <row r="508" spans="1:34" x14ac:dyDescent="0.3">
      <c r="A508">
        <v>37</v>
      </c>
      <c r="B508" t="str" cm="1">
        <f t="array" ref="B508">_xlfn.IFS(A508&lt;=25,"18-25",A508&lt;=35,"26-35",A508&lt;=45,"36-45",A508&lt;=55,"46-55",A508&gt;55,"55+")</f>
        <v>36-45</v>
      </c>
      <c r="C508">
        <v>0</v>
      </c>
      <c r="D508" t="s">
        <v>32</v>
      </c>
      <c r="E508">
        <v>482</v>
      </c>
      <c r="F508" t="s">
        <v>48</v>
      </c>
      <c r="G508">
        <v>3</v>
      </c>
      <c r="H508" t="s">
        <v>61</v>
      </c>
      <c r="I508" t="s">
        <v>55</v>
      </c>
      <c r="J508" t="s">
        <v>38</v>
      </c>
      <c r="K508" t="s">
        <v>50</v>
      </c>
      <c r="L508">
        <v>36</v>
      </c>
      <c r="M508" t="s">
        <v>38</v>
      </c>
      <c r="N508" t="s">
        <v>63</v>
      </c>
      <c r="O508" t="s">
        <v>64</v>
      </c>
      <c r="P508" t="s">
        <v>38</v>
      </c>
      <c r="Q508" t="s">
        <v>52</v>
      </c>
      <c r="R508">
        <v>9434</v>
      </c>
      <c r="S508">
        <v>9606</v>
      </c>
      <c r="T508">
        <v>1</v>
      </c>
      <c r="U508" t="s">
        <v>46</v>
      </c>
      <c r="V508">
        <v>15</v>
      </c>
      <c r="W508" t="s">
        <v>43</v>
      </c>
      <c r="X508" t="s">
        <v>38</v>
      </c>
      <c r="Y508">
        <v>1</v>
      </c>
      <c r="Z508">
        <v>10</v>
      </c>
      <c r="AA508">
        <v>2</v>
      </c>
      <c r="AB508" t="s">
        <v>54</v>
      </c>
      <c r="AC508">
        <v>10</v>
      </c>
      <c r="AD508" t="str" cm="1">
        <f t="array" ref="AD508">_xlfn.IFS(AC508&lt;=5,"0-5",AC508&lt;=10,"5-10",AC508&lt;=40,"10-40")</f>
        <v>5-10</v>
      </c>
      <c r="AE508">
        <v>7</v>
      </c>
      <c r="AF508">
        <v>7</v>
      </c>
      <c r="AG508">
        <v>8</v>
      </c>
      <c r="AH508">
        <v>507</v>
      </c>
    </row>
    <row r="509" spans="1:34" x14ac:dyDescent="0.3">
      <c r="A509">
        <v>29</v>
      </c>
      <c r="B509" t="str" cm="1">
        <f t="array" ref="B509">_xlfn.IFS(A509&lt;=25,"18-25",A509&lt;=35,"26-35",A509&lt;=45,"36-45",A509&lt;=55,"46-55",A509&gt;55,"55+")</f>
        <v>26-35</v>
      </c>
      <c r="C509">
        <v>0</v>
      </c>
      <c r="D509" t="s">
        <v>32</v>
      </c>
      <c r="E509">
        <v>1176</v>
      </c>
      <c r="F509" t="s">
        <v>33</v>
      </c>
      <c r="G509">
        <v>3</v>
      </c>
      <c r="H509" t="s">
        <v>34</v>
      </c>
      <c r="I509" t="s">
        <v>59</v>
      </c>
      <c r="J509" t="s">
        <v>36</v>
      </c>
      <c r="K509" t="s">
        <v>37</v>
      </c>
      <c r="L509">
        <v>62</v>
      </c>
      <c r="M509" t="s">
        <v>38</v>
      </c>
      <c r="N509" t="s">
        <v>39</v>
      </c>
      <c r="O509" t="s">
        <v>40</v>
      </c>
      <c r="P509" t="s">
        <v>38</v>
      </c>
      <c r="Q509" t="s">
        <v>52</v>
      </c>
      <c r="R509">
        <v>5561</v>
      </c>
      <c r="S509">
        <v>3487</v>
      </c>
      <c r="T509">
        <v>1</v>
      </c>
      <c r="U509" t="s">
        <v>46</v>
      </c>
      <c r="V509">
        <v>14</v>
      </c>
      <c r="W509" t="s">
        <v>43</v>
      </c>
      <c r="X509" t="s">
        <v>44</v>
      </c>
      <c r="Y509">
        <v>1</v>
      </c>
      <c r="Z509">
        <v>6</v>
      </c>
      <c r="AA509">
        <v>5</v>
      </c>
      <c r="AB509" t="s">
        <v>60</v>
      </c>
      <c r="AC509">
        <v>6</v>
      </c>
      <c r="AD509" t="str" cm="1">
        <f t="array" ref="AD509">_xlfn.IFS(AC509&lt;=5,"0-5",AC509&lt;=10,"5-10",AC509&lt;=40,"10-40")</f>
        <v>5-10</v>
      </c>
      <c r="AE509">
        <v>0</v>
      </c>
      <c r="AF509">
        <v>1</v>
      </c>
      <c r="AG509">
        <v>2</v>
      </c>
      <c r="AH509">
        <v>508</v>
      </c>
    </row>
    <row r="510" spans="1:34" x14ac:dyDescent="0.3">
      <c r="A510">
        <v>35</v>
      </c>
      <c r="B510" t="str" cm="1">
        <f t="array" ref="B510">_xlfn.IFS(A510&lt;=25,"18-25",A510&lt;=35,"26-35",A510&lt;=45,"36-45",A510&lt;=55,"46-55",A510&gt;55,"55+")</f>
        <v>26-35</v>
      </c>
      <c r="C510">
        <v>0</v>
      </c>
      <c r="D510" t="s">
        <v>32</v>
      </c>
      <c r="E510">
        <v>1017</v>
      </c>
      <c r="F510" t="s">
        <v>48</v>
      </c>
      <c r="G510">
        <v>6</v>
      </c>
      <c r="H510" t="s">
        <v>58</v>
      </c>
      <c r="I510" t="s">
        <v>35</v>
      </c>
      <c r="J510" t="s">
        <v>36</v>
      </c>
      <c r="K510" t="s">
        <v>50</v>
      </c>
      <c r="L510">
        <v>82</v>
      </c>
      <c r="M510" t="s">
        <v>44</v>
      </c>
      <c r="N510" t="s">
        <v>39</v>
      </c>
      <c r="O510" t="s">
        <v>51</v>
      </c>
      <c r="P510" t="s">
        <v>41</v>
      </c>
      <c r="Q510" t="s">
        <v>42</v>
      </c>
      <c r="R510">
        <v>6646</v>
      </c>
      <c r="S510">
        <v>19368</v>
      </c>
      <c r="T510">
        <v>1</v>
      </c>
      <c r="U510" t="s">
        <v>46</v>
      </c>
      <c r="V510">
        <v>13</v>
      </c>
      <c r="W510" t="s">
        <v>43</v>
      </c>
      <c r="X510" t="s">
        <v>36</v>
      </c>
      <c r="Y510">
        <v>0</v>
      </c>
      <c r="Z510">
        <v>17</v>
      </c>
      <c r="AA510">
        <v>3</v>
      </c>
      <c r="AB510" t="s">
        <v>54</v>
      </c>
      <c r="AC510">
        <v>17</v>
      </c>
      <c r="AD510" t="str" cm="1">
        <f t="array" ref="AD510">_xlfn.IFS(AC510&lt;=5,"0-5",AC510&lt;=10,"5-10",AC510&lt;=40,"10-40")</f>
        <v>10-40</v>
      </c>
      <c r="AE510">
        <v>11</v>
      </c>
      <c r="AF510">
        <v>11</v>
      </c>
      <c r="AG510">
        <v>8</v>
      </c>
      <c r="AH510">
        <v>509</v>
      </c>
    </row>
    <row r="511" spans="1:34" x14ac:dyDescent="0.3">
      <c r="A511">
        <v>33</v>
      </c>
      <c r="B511" t="str" cm="1">
        <f t="array" ref="B511">_xlfn.IFS(A511&lt;=25,"18-25",A511&lt;=35,"26-35",A511&lt;=45,"36-45",A511&lt;=55,"46-55",A511&gt;55,"55+")</f>
        <v>26-35</v>
      </c>
      <c r="C511">
        <v>0</v>
      </c>
      <c r="D511" t="s">
        <v>47</v>
      </c>
      <c r="E511">
        <v>1296</v>
      </c>
      <c r="F511" t="s">
        <v>48</v>
      </c>
      <c r="G511">
        <v>6</v>
      </c>
      <c r="H511" t="s">
        <v>61</v>
      </c>
      <c r="I511" t="s">
        <v>35</v>
      </c>
      <c r="J511" t="s">
        <v>38</v>
      </c>
      <c r="K511" t="s">
        <v>50</v>
      </c>
      <c r="L511">
        <v>30</v>
      </c>
      <c r="M511" t="s">
        <v>38</v>
      </c>
      <c r="N511" t="s">
        <v>39</v>
      </c>
      <c r="O511" t="s">
        <v>65</v>
      </c>
      <c r="P511" t="s">
        <v>41</v>
      </c>
      <c r="Q511" t="s">
        <v>62</v>
      </c>
      <c r="R511">
        <v>7725</v>
      </c>
      <c r="S511">
        <v>5335</v>
      </c>
      <c r="T511">
        <v>3</v>
      </c>
      <c r="U511" t="s">
        <v>46</v>
      </c>
      <c r="V511">
        <v>23</v>
      </c>
      <c r="W511" t="s">
        <v>53</v>
      </c>
      <c r="X511" t="s">
        <v>38</v>
      </c>
      <c r="Y511">
        <v>1</v>
      </c>
      <c r="Z511">
        <v>15</v>
      </c>
      <c r="AA511">
        <v>2</v>
      </c>
      <c r="AB511" t="s">
        <v>45</v>
      </c>
      <c r="AC511">
        <v>13</v>
      </c>
      <c r="AD511" t="str" cm="1">
        <f t="array" ref="AD511">_xlfn.IFS(AC511&lt;=5,"0-5",AC511&lt;=10,"5-10",AC511&lt;=40,"10-40")</f>
        <v>10-40</v>
      </c>
      <c r="AE511">
        <v>11</v>
      </c>
      <c r="AF511">
        <v>4</v>
      </c>
      <c r="AG511">
        <v>7</v>
      </c>
      <c r="AH511">
        <v>510</v>
      </c>
    </row>
    <row r="512" spans="1:34" x14ac:dyDescent="0.3">
      <c r="A512">
        <v>54</v>
      </c>
      <c r="B512" t="str" cm="1">
        <f t="array" ref="B512">_xlfn.IFS(A512&lt;=25,"18-25",A512&lt;=35,"26-35",A512&lt;=45,"36-45",A512&lt;=55,"46-55",A512&gt;55,"55+")</f>
        <v>46-55</v>
      </c>
      <c r="C512">
        <v>0</v>
      </c>
      <c r="D512" t="s">
        <v>32</v>
      </c>
      <c r="E512">
        <v>397</v>
      </c>
      <c r="F512" t="s">
        <v>76</v>
      </c>
      <c r="G512">
        <v>19</v>
      </c>
      <c r="H512" t="s">
        <v>58</v>
      </c>
      <c r="I512" t="s">
        <v>59</v>
      </c>
      <c r="J512" t="s">
        <v>38</v>
      </c>
      <c r="K512" t="s">
        <v>50</v>
      </c>
      <c r="L512">
        <v>88</v>
      </c>
      <c r="M512" t="s">
        <v>38</v>
      </c>
      <c r="N512" t="s">
        <v>63</v>
      </c>
      <c r="O512" t="s">
        <v>76</v>
      </c>
      <c r="P512" t="s">
        <v>36</v>
      </c>
      <c r="Q512" t="s">
        <v>52</v>
      </c>
      <c r="R512">
        <v>10725</v>
      </c>
      <c r="S512">
        <v>6729</v>
      </c>
      <c r="T512">
        <v>2</v>
      </c>
      <c r="U512" t="s">
        <v>46</v>
      </c>
      <c r="V512">
        <v>15</v>
      </c>
      <c r="W512" t="s">
        <v>43</v>
      </c>
      <c r="X512" t="s">
        <v>38</v>
      </c>
      <c r="Y512">
        <v>1</v>
      </c>
      <c r="Z512">
        <v>16</v>
      </c>
      <c r="AA512">
        <v>1</v>
      </c>
      <c r="AB512" t="s">
        <v>73</v>
      </c>
      <c r="AC512">
        <v>9</v>
      </c>
      <c r="AD512" t="str" cm="1">
        <f t="array" ref="AD512">_xlfn.IFS(AC512&lt;=5,"0-5",AC512&lt;=10,"5-10",AC512&lt;=40,"10-40")</f>
        <v>5-10</v>
      </c>
      <c r="AE512">
        <v>7</v>
      </c>
      <c r="AF512">
        <v>7</v>
      </c>
      <c r="AG512">
        <v>1</v>
      </c>
      <c r="AH512">
        <v>511</v>
      </c>
    </row>
    <row r="513" spans="1:34" x14ac:dyDescent="0.3">
      <c r="A513">
        <v>36</v>
      </c>
      <c r="B513" t="str" cm="1">
        <f t="array" ref="B513">_xlfn.IFS(A513&lt;=25,"18-25",A513&lt;=35,"26-35",A513&lt;=45,"36-45",A513&lt;=55,"46-55",A513&gt;55,"55+")</f>
        <v>36-45</v>
      </c>
      <c r="C513">
        <v>0</v>
      </c>
      <c r="D513" t="s">
        <v>32</v>
      </c>
      <c r="E513">
        <v>913</v>
      </c>
      <c r="F513" t="s">
        <v>48</v>
      </c>
      <c r="G513">
        <v>9</v>
      </c>
      <c r="H513" t="s">
        <v>34</v>
      </c>
      <c r="I513" t="s">
        <v>59</v>
      </c>
      <c r="J513" t="s">
        <v>36</v>
      </c>
      <c r="K513" t="s">
        <v>50</v>
      </c>
      <c r="L513">
        <v>48</v>
      </c>
      <c r="M513" t="s">
        <v>36</v>
      </c>
      <c r="N513" t="s">
        <v>39</v>
      </c>
      <c r="O513" t="s">
        <v>64</v>
      </c>
      <c r="P513" t="s">
        <v>36</v>
      </c>
      <c r="Q513" t="s">
        <v>62</v>
      </c>
      <c r="R513">
        <v>8847</v>
      </c>
      <c r="S513">
        <v>13934</v>
      </c>
      <c r="T513">
        <v>2</v>
      </c>
      <c r="U513" t="s">
        <v>31</v>
      </c>
      <c r="V513">
        <v>11</v>
      </c>
      <c r="W513" t="s">
        <v>43</v>
      </c>
      <c r="X513" t="s">
        <v>38</v>
      </c>
      <c r="Y513">
        <v>1</v>
      </c>
      <c r="Z513">
        <v>13</v>
      </c>
      <c r="AA513">
        <v>2</v>
      </c>
      <c r="AB513" t="s">
        <v>54</v>
      </c>
      <c r="AC513">
        <v>3</v>
      </c>
      <c r="AD513" t="str" cm="1">
        <f t="array" ref="AD513">_xlfn.IFS(AC513&lt;=5,"0-5",AC513&lt;=10,"5-10",AC513&lt;=40,"10-40")</f>
        <v>0-5</v>
      </c>
      <c r="AE513">
        <v>2</v>
      </c>
      <c r="AF513">
        <v>0</v>
      </c>
      <c r="AG513">
        <v>2</v>
      </c>
      <c r="AH513">
        <v>512</v>
      </c>
    </row>
    <row r="514" spans="1:34" x14ac:dyDescent="0.3">
      <c r="A514">
        <v>27</v>
      </c>
      <c r="B514" t="str" cm="1">
        <f t="array" ref="B514">_xlfn.IFS(A514&lt;=25,"18-25",A514&lt;=35,"26-35",A514&lt;=45,"36-45",A514&lt;=55,"46-55",A514&gt;55,"55+")</f>
        <v>26-35</v>
      </c>
      <c r="C514">
        <v>0</v>
      </c>
      <c r="D514" t="s">
        <v>32</v>
      </c>
      <c r="E514">
        <v>1115</v>
      </c>
      <c r="F514" t="s">
        <v>48</v>
      </c>
      <c r="G514">
        <v>3</v>
      </c>
      <c r="H514" t="s">
        <v>58</v>
      </c>
      <c r="I514" t="s">
        <v>59</v>
      </c>
      <c r="J514" t="s">
        <v>44</v>
      </c>
      <c r="K514" t="s">
        <v>50</v>
      </c>
      <c r="L514">
        <v>54</v>
      </c>
      <c r="M514" t="s">
        <v>36</v>
      </c>
      <c r="N514" t="s">
        <v>56</v>
      </c>
      <c r="O514" t="s">
        <v>51</v>
      </c>
      <c r="P514" t="s">
        <v>41</v>
      </c>
      <c r="Q514" t="s">
        <v>42</v>
      </c>
      <c r="R514">
        <v>2045</v>
      </c>
      <c r="S514">
        <v>15174</v>
      </c>
      <c r="T514">
        <v>0</v>
      </c>
      <c r="U514" t="s">
        <v>46</v>
      </c>
      <c r="V514">
        <v>13</v>
      </c>
      <c r="W514" t="s">
        <v>43</v>
      </c>
      <c r="X514" t="s">
        <v>41</v>
      </c>
      <c r="Y514">
        <v>0</v>
      </c>
      <c r="Z514">
        <v>5</v>
      </c>
      <c r="AA514">
        <v>0</v>
      </c>
      <c r="AB514" t="s">
        <v>54</v>
      </c>
      <c r="AC514">
        <v>4</v>
      </c>
      <c r="AD514" t="str" cm="1">
        <f t="array" ref="AD514">_xlfn.IFS(AC514&lt;=5,"0-5",AC514&lt;=10,"5-10",AC514&lt;=40,"10-40")</f>
        <v>0-5</v>
      </c>
      <c r="AE514">
        <v>2</v>
      </c>
      <c r="AF514">
        <v>1</v>
      </c>
      <c r="AG514">
        <v>1</v>
      </c>
      <c r="AH514">
        <v>513</v>
      </c>
    </row>
    <row r="515" spans="1:34" x14ac:dyDescent="0.3">
      <c r="A515">
        <v>20</v>
      </c>
      <c r="B515" t="str" cm="1">
        <f t="array" ref="B515">_xlfn.IFS(A515&lt;=25,"18-25",A515&lt;=35,"26-35",A515&lt;=45,"36-45",A515&lt;=55,"46-55",A515&gt;55,"55+")</f>
        <v>18-25</v>
      </c>
      <c r="C515">
        <v>1</v>
      </c>
      <c r="D515" t="s">
        <v>32</v>
      </c>
      <c r="E515">
        <v>1362</v>
      </c>
      <c r="F515" t="s">
        <v>48</v>
      </c>
      <c r="G515">
        <v>10</v>
      </c>
      <c r="H515" t="s">
        <v>49</v>
      </c>
      <c r="I515" t="s">
        <v>59</v>
      </c>
      <c r="J515" t="s">
        <v>41</v>
      </c>
      <c r="K515" t="s">
        <v>50</v>
      </c>
      <c r="L515">
        <v>32</v>
      </c>
      <c r="M515" t="s">
        <v>38</v>
      </c>
      <c r="N515" t="s">
        <v>56</v>
      </c>
      <c r="O515" t="s">
        <v>51</v>
      </c>
      <c r="P515" t="s">
        <v>38</v>
      </c>
      <c r="Q515" t="s">
        <v>42</v>
      </c>
      <c r="R515">
        <v>1009</v>
      </c>
      <c r="S515">
        <v>26999</v>
      </c>
      <c r="T515">
        <v>1</v>
      </c>
      <c r="U515" t="s">
        <v>31</v>
      </c>
      <c r="V515">
        <v>11</v>
      </c>
      <c r="W515" t="s">
        <v>43</v>
      </c>
      <c r="X515" t="s">
        <v>41</v>
      </c>
      <c r="Y515">
        <v>0</v>
      </c>
      <c r="Z515">
        <v>1</v>
      </c>
      <c r="AA515">
        <v>5</v>
      </c>
      <c r="AB515" t="s">
        <v>54</v>
      </c>
      <c r="AC515">
        <v>1</v>
      </c>
      <c r="AD515" t="str" cm="1">
        <f t="array" ref="AD515">_xlfn.IFS(AC515&lt;=5,"0-5",AC515&lt;=10,"5-10",AC515&lt;=40,"10-40")</f>
        <v>0-5</v>
      </c>
      <c r="AE515">
        <v>0</v>
      </c>
      <c r="AF515">
        <v>1</v>
      </c>
      <c r="AG515">
        <v>1</v>
      </c>
      <c r="AH515">
        <v>514</v>
      </c>
    </row>
    <row r="516" spans="1:34" x14ac:dyDescent="0.3">
      <c r="A516">
        <v>33</v>
      </c>
      <c r="B516" t="str" cm="1">
        <f t="array" ref="B516">_xlfn.IFS(A516&lt;=25,"18-25",A516&lt;=35,"26-35",A516&lt;=45,"36-45",A516&lt;=55,"46-55",A516&gt;55,"55+")</f>
        <v>26-35</v>
      </c>
      <c r="C516">
        <v>1</v>
      </c>
      <c r="D516" t="s">
        <v>47</v>
      </c>
      <c r="E516">
        <v>1076</v>
      </c>
      <c r="F516" t="s">
        <v>48</v>
      </c>
      <c r="G516">
        <v>3</v>
      </c>
      <c r="H516" t="s">
        <v>61</v>
      </c>
      <c r="I516" t="s">
        <v>35</v>
      </c>
      <c r="J516" t="s">
        <v>44</v>
      </c>
      <c r="K516" t="s">
        <v>50</v>
      </c>
      <c r="L516">
        <v>70</v>
      </c>
      <c r="M516" t="s">
        <v>38</v>
      </c>
      <c r="N516" t="s">
        <v>56</v>
      </c>
      <c r="O516" t="s">
        <v>51</v>
      </c>
      <c r="P516" t="s">
        <v>44</v>
      </c>
      <c r="Q516" t="s">
        <v>42</v>
      </c>
      <c r="R516">
        <v>3348</v>
      </c>
      <c r="S516">
        <v>3164</v>
      </c>
      <c r="T516">
        <v>1</v>
      </c>
      <c r="U516" t="s">
        <v>31</v>
      </c>
      <c r="V516">
        <v>11</v>
      </c>
      <c r="W516" t="s">
        <v>43</v>
      </c>
      <c r="X516" t="s">
        <v>44</v>
      </c>
      <c r="Y516">
        <v>0</v>
      </c>
      <c r="Z516">
        <v>10</v>
      </c>
      <c r="AA516">
        <v>3</v>
      </c>
      <c r="AB516" t="s">
        <v>54</v>
      </c>
      <c r="AC516">
        <v>10</v>
      </c>
      <c r="AD516" t="str" cm="1">
        <f t="array" ref="AD516">_xlfn.IFS(AC516&lt;=5,"0-5",AC516&lt;=10,"5-10",AC516&lt;=40,"10-40")</f>
        <v>5-10</v>
      </c>
      <c r="AE516">
        <v>8</v>
      </c>
      <c r="AF516">
        <v>9</v>
      </c>
      <c r="AG516">
        <v>7</v>
      </c>
      <c r="AH516">
        <v>515</v>
      </c>
    </row>
    <row r="517" spans="1:34" x14ac:dyDescent="0.3">
      <c r="A517">
        <v>35</v>
      </c>
      <c r="B517" t="str" cm="1">
        <f t="array" ref="B517">_xlfn.IFS(A517&lt;=25,"18-25",A517&lt;=35,"26-35",A517&lt;=45,"36-45",A517&lt;=55,"46-55",A517&gt;55,"55+")</f>
        <v>26-35</v>
      </c>
      <c r="C517">
        <v>0</v>
      </c>
      <c r="D517" t="s">
        <v>66</v>
      </c>
      <c r="E517">
        <v>727</v>
      </c>
      <c r="F517" t="s">
        <v>48</v>
      </c>
      <c r="G517">
        <v>3</v>
      </c>
      <c r="H517" t="s">
        <v>61</v>
      </c>
      <c r="I517" t="s">
        <v>35</v>
      </c>
      <c r="J517" t="s">
        <v>38</v>
      </c>
      <c r="K517" t="s">
        <v>50</v>
      </c>
      <c r="L517">
        <v>41</v>
      </c>
      <c r="M517" t="s">
        <v>36</v>
      </c>
      <c r="N517" t="s">
        <v>56</v>
      </c>
      <c r="O517" t="s">
        <v>57</v>
      </c>
      <c r="P517" t="s">
        <v>38</v>
      </c>
      <c r="Q517" t="s">
        <v>52</v>
      </c>
      <c r="R517">
        <v>1281</v>
      </c>
      <c r="S517">
        <v>16900</v>
      </c>
      <c r="T517">
        <v>1</v>
      </c>
      <c r="U517" t="s">
        <v>46</v>
      </c>
      <c r="V517">
        <v>18</v>
      </c>
      <c r="W517" t="s">
        <v>43</v>
      </c>
      <c r="X517" t="s">
        <v>38</v>
      </c>
      <c r="Y517">
        <v>2</v>
      </c>
      <c r="Z517">
        <v>1</v>
      </c>
      <c r="AA517">
        <v>3</v>
      </c>
      <c r="AB517" t="s">
        <v>54</v>
      </c>
      <c r="AC517">
        <v>1</v>
      </c>
      <c r="AD517" t="str" cm="1">
        <f t="array" ref="AD517">_xlfn.IFS(AC517&lt;=5,"0-5",AC517&lt;=10,"5-10",AC517&lt;=40,"10-40")</f>
        <v>0-5</v>
      </c>
      <c r="AE517">
        <v>0</v>
      </c>
      <c r="AF517">
        <v>0</v>
      </c>
      <c r="AG517">
        <v>0</v>
      </c>
      <c r="AH517">
        <v>516</v>
      </c>
    </row>
    <row r="518" spans="1:34" x14ac:dyDescent="0.3">
      <c r="A518">
        <v>23</v>
      </c>
      <c r="B518" t="str" cm="1">
        <f t="array" ref="B518">_xlfn.IFS(A518&lt;=25,"18-25",A518&lt;=35,"26-35",A518&lt;=45,"36-45",A518&lt;=55,"46-55",A518&gt;55,"55+")</f>
        <v>18-25</v>
      </c>
      <c r="C518">
        <v>0</v>
      </c>
      <c r="D518" t="s">
        <v>32</v>
      </c>
      <c r="E518">
        <v>885</v>
      </c>
      <c r="F518" t="s">
        <v>48</v>
      </c>
      <c r="G518">
        <v>4</v>
      </c>
      <c r="H518" t="s">
        <v>61</v>
      </c>
      <c r="I518" t="s">
        <v>59</v>
      </c>
      <c r="J518" t="s">
        <v>44</v>
      </c>
      <c r="K518" t="s">
        <v>50</v>
      </c>
      <c r="L518">
        <v>58</v>
      </c>
      <c r="M518" t="s">
        <v>41</v>
      </c>
      <c r="N518" t="s">
        <v>56</v>
      </c>
      <c r="O518" t="s">
        <v>51</v>
      </c>
      <c r="P518" t="s">
        <v>44</v>
      </c>
      <c r="Q518" t="s">
        <v>52</v>
      </c>
      <c r="R518">
        <v>2819</v>
      </c>
      <c r="S518">
        <v>8544</v>
      </c>
      <c r="T518">
        <v>2</v>
      </c>
      <c r="U518" t="s">
        <v>46</v>
      </c>
      <c r="V518">
        <v>16</v>
      </c>
      <c r="W518" t="s">
        <v>43</v>
      </c>
      <c r="X518" t="s">
        <v>44</v>
      </c>
      <c r="Y518">
        <v>1</v>
      </c>
      <c r="Z518">
        <v>5</v>
      </c>
      <c r="AA518">
        <v>3</v>
      </c>
      <c r="AB518" t="s">
        <v>73</v>
      </c>
      <c r="AC518">
        <v>3</v>
      </c>
      <c r="AD518" t="str" cm="1">
        <f t="array" ref="AD518">_xlfn.IFS(AC518&lt;=5,"0-5",AC518&lt;=10,"5-10",AC518&lt;=40,"10-40")</f>
        <v>0-5</v>
      </c>
      <c r="AE518">
        <v>2</v>
      </c>
      <c r="AF518">
        <v>0</v>
      </c>
      <c r="AG518">
        <v>2</v>
      </c>
      <c r="AH518">
        <v>517</v>
      </c>
    </row>
    <row r="519" spans="1:34" x14ac:dyDescent="0.3">
      <c r="A519">
        <v>25</v>
      </c>
      <c r="B519" t="str" cm="1">
        <f t="array" ref="B519">_xlfn.IFS(A519&lt;=25,"18-25",A519&lt;=35,"26-35",A519&lt;=45,"36-45",A519&lt;=55,"46-55",A519&gt;55,"55+")</f>
        <v>18-25</v>
      </c>
      <c r="C519">
        <v>0</v>
      </c>
      <c r="D519" t="s">
        <v>32</v>
      </c>
      <c r="E519">
        <v>810</v>
      </c>
      <c r="F519" t="s">
        <v>33</v>
      </c>
      <c r="G519">
        <v>8</v>
      </c>
      <c r="H519" t="s">
        <v>61</v>
      </c>
      <c r="I519" t="s">
        <v>35</v>
      </c>
      <c r="J519" t="s">
        <v>41</v>
      </c>
      <c r="K519" t="s">
        <v>50</v>
      </c>
      <c r="L519">
        <v>57</v>
      </c>
      <c r="M519" t="s">
        <v>41</v>
      </c>
      <c r="N519" t="s">
        <v>39</v>
      </c>
      <c r="O519" t="s">
        <v>40</v>
      </c>
      <c r="P519" t="s">
        <v>36</v>
      </c>
      <c r="Q519" t="s">
        <v>52</v>
      </c>
      <c r="R519">
        <v>4851</v>
      </c>
      <c r="S519">
        <v>15678</v>
      </c>
      <c r="T519">
        <v>0</v>
      </c>
      <c r="U519" t="s">
        <v>46</v>
      </c>
      <c r="V519">
        <v>22</v>
      </c>
      <c r="W519" t="s">
        <v>53</v>
      </c>
      <c r="X519" t="s">
        <v>38</v>
      </c>
      <c r="Y519">
        <v>1</v>
      </c>
      <c r="Z519">
        <v>4</v>
      </c>
      <c r="AA519">
        <v>4</v>
      </c>
      <c r="AB519" t="s">
        <v>54</v>
      </c>
      <c r="AC519">
        <v>3</v>
      </c>
      <c r="AD519" t="str" cm="1">
        <f t="array" ref="AD519">_xlfn.IFS(AC519&lt;=5,"0-5",AC519&lt;=10,"5-10",AC519&lt;=40,"10-40")</f>
        <v>0-5</v>
      </c>
      <c r="AE519">
        <v>2</v>
      </c>
      <c r="AF519">
        <v>1</v>
      </c>
      <c r="AG519">
        <v>2</v>
      </c>
      <c r="AH519">
        <v>518</v>
      </c>
    </row>
    <row r="520" spans="1:34" x14ac:dyDescent="0.3">
      <c r="A520">
        <v>38</v>
      </c>
      <c r="B520" t="str" cm="1">
        <f t="array" ref="B520">_xlfn.IFS(A520&lt;=25,"18-25",A520&lt;=35,"26-35",A520&lt;=45,"36-45",A520&lt;=55,"46-55",A520&gt;55,"55+")</f>
        <v>36-45</v>
      </c>
      <c r="C520">
        <v>0</v>
      </c>
      <c r="D520" t="s">
        <v>32</v>
      </c>
      <c r="E520">
        <v>243</v>
      </c>
      <c r="F520" t="s">
        <v>33</v>
      </c>
      <c r="G520">
        <v>7</v>
      </c>
      <c r="H520" t="s">
        <v>58</v>
      </c>
      <c r="I520" t="s">
        <v>72</v>
      </c>
      <c r="J520" t="s">
        <v>41</v>
      </c>
      <c r="K520" t="s">
        <v>37</v>
      </c>
      <c r="L520">
        <v>46</v>
      </c>
      <c r="M520" t="s">
        <v>36</v>
      </c>
      <c r="N520" t="s">
        <v>39</v>
      </c>
      <c r="O520" t="s">
        <v>40</v>
      </c>
      <c r="P520" t="s">
        <v>41</v>
      </c>
      <c r="Q520" t="s">
        <v>42</v>
      </c>
      <c r="R520">
        <v>4028</v>
      </c>
      <c r="S520">
        <v>7791</v>
      </c>
      <c r="T520">
        <v>0</v>
      </c>
      <c r="U520" t="s">
        <v>46</v>
      </c>
      <c r="V520">
        <v>20</v>
      </c>
      <c r="W520" t="s">
        <v>53</v>
      </c>
      <c r="X520" t="s">
        <v>44</v>
      </c>
      <c r="Y520">
        <v>0</v>
      </c>
      <c r="Z520">
        <v>8</v>
      </c>
      <c r="AA520">
        <v>2</v>
      </c>
      <c r="AB520" t="s">
        <v>54</v>
      </c>
      <c r="AC520">
        <v>7</v>
      </c>
      <c r="AD520" t="str" cm="1">
        <f t="array" ref="AD520">_xlfn.IFS(AC520&lt;=5,"0-5",AC520&lt;=10,"5-10",AC520&lt;=40,"10-40")</f>
        <v>5-10</v>
      </c>
      <c r="AE520">
        <v>7</v>
      </c>
      <c r="AF520">
        <v>0</v>
      </c>
      <c r="AG520">
        <v>5</v>
      </c>
      <c r="AH520">
        <v>519</v>
      </c>
    </row>
    <row r="521" spans="1:34" x14ac:dyDescent="0.3">
      <c r="A521">
        <v>29</v>
      </c>
      <c r="B521" t="str" cm="1">
        <f t="array" ref="B521">_xlfn.IFS(A521&lt;=25,"18-25",A521&lt;=35,"26-35",A521&lt;=45,"36-45",A521&lt;=55,"46-55",A521&gt;55,"55+")</f>
        <v>26-35</v>
      </c>
      <c r="C521">
        <v>0</v>
      </c>
      <c r="D521" t="s">
        <v>47</v>
      </c>
      <c r="E521">
        <v>806</v>
      </c>
      <c r="F521" t="s">
        <v>48</v>
      </c>
      <c r="G521">
        <v>1</v>
      </c>
      <c r="H521" t="s">
        <v>58</v>
      </c>
      <c r="I521" t="s">
        <v>35</v>
      </c>
      <c r="J521" t="s">
        <v>36</v>
      </c>
      <c r="K521" t="s">
        <v>50</v>
      </c>
      <c r="L521">
        <v>76</v>
      </c>
      <c r="M521" t="s">
        <v>44</v>
      </c>
      <c r="N521" t="s">
        <v>56</v>
      </c>
      <c r="O521" t="s">
        <v>51</v>
      </c>
      <c r="P521" t="s">
        <v>41</v>
      </c>
      <c r="Q521" t="s">
        <v>62</v>
      </c>
      <c r="R521">
        <v>2720</v>
      </c>
      <c r="S521">
        <v>18959</v>
      </c>
      <c r="T521">
        <v>1</v>
      </c>
      <c r="U521" t="s">
        <v>46</v>
      </c>
      <c r="V521">
        <v>18</v>
      </c>
      <c r="W521" t="s">
        <v>43</v>
      </c>
      <c r="X521" t="s">
        <v>41</v>
      </c>
      <c r="Y521">
        <v>1</v>
      </c>
      <c r="Z521">
        <v>10</v>
      </c>
      <c r="AA521">
        <v>5</v>
      </c>
      <c r="AB521" t="s">
        <v>54</v>
      </c>
      <c r="AC521">
        <v>10</v>
      </c>
      <c r="AD521" t="str" cm="1">
        <f t="array" ref="AD521">_xlfn.IFS(AC521&lt;=5,"0-5",AC521&lt;=10,"5-10",AC521&lt;=40,"10-40")</f>
        <v>5-10</v>
      </c>
      <c r="AE521">
        <v>7</v>
      </c>
      <c r="AF521">
        <v>2</v>
      </c>
      <c r="AG521">
        <v>8</v>
      </c>
      <c r="AH521">
        <v>520</v>
      </c>
    </row>
    <row r="522" spans="1:34" x14ac:dyDescent="0.3">
      <c r="A522">
        <v>48</v>
      </c>
      <c r="B522" t="str" cm="1">
        <f t="array" ref="B522">_xlfn.IFS(A522&lt;=25,"18-25",A522&lt;=35,"26-35",A522&lt;=45,"36-45",A522&lt;=55,"46-55",A522&gt;55,"55+")</f>
        <v>46-55</v>
      </c>
      <c r="C522">
        <v>0</v>
      </c>
      <c r="D522" t="s">
        <v>32</v>
      </c>
      <c r="E522">
        <v>817</v>
      </c>
      <c r="F522" t="s">
        <v>33</v>
      </c>
      <c r="G522">
        <v>2</v>
      </c>
      <c r="H522" t="s">
        <v>49</v>
      </c>
      <c r="I522" t="s">
        <v>72</v>
      </c>
      <c r="J522" t="s">
        <v>36</v>
      </c>
      <c r="K522" t="s">
        <v>50</v>
      </c>
      <c r="L522">
        <v>56</v>
      </c>
      <c r="M522" t="s">
        <v>41</v>
      </c>
      <c r="N522" t="s">
        <v>39</v>
      </c>
      <c r="O522" t="s">
        <v>40</v>
      </c>
      <c r="P522" t="s">
        <v>36</v>
      </c>
      <c r="Q522" t="s">
        <v>52</v>
      </c>
      <c r="R522">
        <v>8120</v>
      </c>
      <c r="S522">
        <v>18597</v>
      </c>
      <c r="T522">
        <v>3</v>
      </c>
      <c r="U522" t="s">
        <v>46</v>
      </c>
      <c r="V522">
        <v>12</v>
      </c>
      <c r="W522" t="s">
        <v>43</v>
      </c>
      <c r="X522" t="s">
        <v>41</v>
      </c>
      <c r="Y522">
        <v>0</v>
      </c>
      <c r="Z522">
        <v>12</v>
      </c>
      <c r="AA522">
        <v>3</v>
      </c>
      <c r="AB522" t="s">
        <v>54</v>
      </c>
      <c r="AC522">
        <v>2</v>
      </c>
      <c r="AD522" t="str" cm="1">
        <f t="array" ref="AD522">_xlfn.IFS(AC522&lt;=5,"0-5",AC522&lt;=10,"5-10",AC522&lt;=40,"10-40")</f>
        <v>0-5</v>
      </c>
      <c r="AE522">
        <v>2</v>
      </c>
      <c r="AF522">
        <v>2</v>
      </c>
      <c r="AG522">
        <v>2</v>
      </c>
      <c r="AH522">
        <v>521</v>
      </c>
    </row>
    <row r="523" spans="1:34" x14ac:dyDescent="0.3">
      <c r="A523">
        <v>27</v>
      </c>
      <c r="B523" t="str" cm="1">
        <f t="array" ref="B523">_xlfn.IFS(A523&lt;=25,"18-25",A523&lt;=35,"26-35",A523&lt;=45,"36-45",A523&lt;=55,"46-55",A523&gt;55,"55+")</f>
        <v>26-35</v>
      </c>
      <c r="C523">
        <v>0</v>
      </c>
      <c r="D523" t="s">
        <v>47</v>
      </c>
      <c r="E523">
        <v>1410</v>
      </c>
      <c r="F523" t="s">
        <v>33</v>
      </c>
      <c r="G523">
        <v>3</v>
      </c>
      <c r="H523" t="s">
        <v>49</v>
      </c>
      <c r="I523" t="s">
        <v>59</v>
      </c>
      <c r="J523" t="s">
        <v>41</v>
      </c>
      <c r="K523" t="s">
        <v>37</v>
      </c>
      <c r="L523">
        <v>71</v>
      </c>
      <c r="M523" t="s">
        <v>41</v>
      </c>
      <c r="N523" t="s">
        <v>39</v>
      </c>
      <c r="O523" t="s">
        <v>40</v>
      </c>
      <c r="P523" t="s">
        <v>41</v>
      </c>
      <c r="Q523" t="s">
        <v>62</v>
      </c>
      <c r="R523">
        <v>4647</v>
      </c>
      <c r="S523">
        <v>16673</v>
      </c>
      <c r="T523">
        <v>1</v>
      </c>
      <c r="U523" t="s">
        <v>31</v>
      </c>
      <c r="V523">
        <v>20</v>
      </c>
      <c r="W523" t="s">
        <v>53</v>
      </c>
      <c r="X523" t="s">
        <v>36</v>
      </c>
      <c r="Y523">
        <v>2</v>
      </c>
      <c r="Z523">
        <v>6</v>
      </c>
      <c r="AA523">
        <v>3</v>
      </c>
      <c r="AB523" t="s">
        <v>54</v>
      </c>
      <c r="AC523">
        <v>6</v>
      </c>
      <c r="AD523" t="str" cm="1">
        <f t="array" ref="AD523">_xlfn.IFS(AC523&lt;=5,"0-5",AC523&lt;=10,"5-10",AC523&lt;=40,"10-40")</f>
        <v>5-10</v>
      </c>
      <c r="AE523">
        <v>5</v>
      </c>
      <c r="AF523">
        <v>0</v>
      </c>
      <c r="AG523">
        <v>4</v>
      </c>
      <c r="AH523">
        <v>522</v>
      </c>
    </row>
    <row r="524" spans="1:34" x14ac:dyDescent="0.3">
      <c r="A524">
        <v>37</v>
      </c>
      <c r="B524" t="str" cm="1">
        <f t="array" ref="B524">_xlfn.IFS(A524&lt;=25,"18-25",A524&lt;=35,"26-35",A524&lt;=45,"36-45",A524&lt;=55,"46-55",A524&gt;55,"55+")</f>
        <v>36-45</v>
      </c>
      <c r="C524">
        <v>0</v>
      </c>
      <c r="D524" t="s">
        <v>32</v>
      </c>
      <c r="E524">
        <v>1225</v>
      </c>
      <c r="F524" t="s">
        <v>48</v>
      </c>
      <c r="G524">
        <v>10</v>
      </c>
      <c r="H524" t="s">
        <v>34</v>
      </c>
      <c r="I524" t="s">
        <v>35</v>
      </c>
      <c r="J524" t="s">
        <v>41</v>
      </c>
      <c r="K524" t="s">
        <v>50</v>
      </c>
      <c r="L524">
        <v>80</v>
      </c>
      <c r="M524" t="s">
        <v>41</v>
      </c>
      <c r="N524" t="s">
        <v>56</v>
      </c>
      <c r="O524" t="s">
        <v>51</v>
      </c>
      <c r="P524" t="s">
        <v>41</v>
      </c>
      <c r="Q524" t="s">
        <v>42</v>
      </c>
      <c r="R524">
        <v>4680</v>
      </c>
      <c r="S524">
        <v>15232</v>
      </c>
      <c r="T524">
        <v>3</v>
      </c>
      <c r="U524" t="s">
        <v>46</v>
      </c>
      <c r="V524">
        <v>17</v>
      </c>
      <c r="W524" t="s">
        <v>43</v>
      </c>
      <c r="X524" t="s">
        <v>44</v>
      </c>
      <c r="Y524">
        <v>0</v>
      </c>
      <c r="Z524">
        <v>4</v>
      </c>
      <c r="AA524">
        <v>2</v>
      </c>
      <c r="AB524" t="s">
        <v>54</v>
      </c>
      <c r="AC524">
        <v>1</v>
      </c>
      <c r="AD524" t="str" cm="1">
        <f t="array" ref="AD524">_xlfn.IFS(AC524&lt;=5,"0-5",AC524&lt;=10,"5-10",AC524&lt;=40,"10-40")</f>
        <v>0-5</v>
      </c>
      <c r="AE524">
        <v>0</v>
      </c>
      <c r="AF524">
        <v>0</v>
      </c>
      <c r="AG524">
        <v>0</v>
      </c>
      <c r="AH524">
        <v>523</v>
      </c>
    </row>
    <row r="525" spans="1:34" x14ac:dyDescent="0.3">
      <c r="A525">
        <v>50</v>
      </c>
      <c r="B525" t="str" cm="1">
        <f t="array" ref="B525">_xlfn.IFS(A525&lt;=25,"18-25",A525&lt;=35,"26-35",A525&lt;=45,"36-45",A525&lt;=55,"46-55",A525&gt;55,"55+")</f>
        <v>46-55</v>
      </c>
      <c r="C525">
        <v>0</v>
      </c>
      <c r="D525" t="s">
        <v>32</v>
      </c>
      <c r="E525">
        <v>1207</v>
      </c>
      <c r="F525" t="s">
        <v>48</v>
      </c>
      <c r="G525">
        <v>28</v>
      </c>
      <c r="H525" t="s">
        <v>49</v>
      </c>
      <c r="I525" t="s">
        <v>59</v>
      </c>
      <c r="J525" t="s">
        <v>41</v>
      </c>
      <c r="K525" t="s">
        <v>50</v>
      </c>
      <c r="L525">
        <v>74</v>
      </c>
      <c r="M525" t="s">
        <v>41</v>
      </c>
      <c r="N525" t="s">
        <v>56</v>
      </c>
      <c r="O525" t="s">
        <v>57</v>
      </c>
      <c r="P525" t="s">
        <v>38</v>
      </c>
      <c r="Q525" t="s">
        <v>52</v>
      </c>
      <c r="R525">
        <v>3221</v>
      </c>
      <c r="S525">
        <v>3297</v>
      </c>
      <c r="T525">
        <v>1</v>
      </c>
      <c r="U525" t="s">
        <v>31</v>
      </c>
      <c r="V525">
        <v>11</v>
      </c>
      <c r="W525" t="s">
        <v>43</v>
      </c>
      <c r="X525" t="s">
        <v>38</v>
      </c>
      <c r="Y525">
        <v>3</v>
      </c>
      <c r="Z525">
        <v>20</v>
      </c>
      <c r="AA525">
        <v>3</v>
      </c>
      <c r="AB525" t="s">
        <v>54</v>
      </c>
      <c r="AC525">
        <v>20</v>
      </c>
      <c r="AD525" t="str" cm="1">
        <f t="array" ref="AD525">_xlfn.IFS(AC525&lt;=5,"0-5",AC525&lt;=10,"5-10",AC525&lt;=40,"10-40")</f>
        <v>10-40</v>
      </c>
      <c r="AE525">
        <v>8</v>
      </c>
      <c r="AF525">
        <v>3</v>
      </c>
      <c r="AG525">
        <v>8</v>
      </c>
      <c r="AH525">
        <v>524</v>
      </c>
    </row>
    <row r="526" spans="1:34" x14ac:dyDescent="0.3">
      <c r="A526">
        <v>34</v>
      </c>
      <c r="B526" t="str" cm="1">
        <f t="array" ref="B526">_xlfn.IFS(A526&lt;=25,"18-25",A526&lt;=35,"26-35",A526&lt;=45,"36-45",A526&lt;=55,"46-55",A526&gt;55,"55+")</f>
        <v>26-35</v>
      </c>
      <c r="C526">
        <v>0</v>
      </c>
      <c r="D526" t="s">
        <v>32</v>
      </c>
      <c r="E526">
        <v>1442</v>
      </c>
      <c r="F526" t="s">
        <v>48</v>
      </c>
      <c r="G526">
        <v>9</v>
      </c>
      <c r="H526" t="s">
        <v>61</v>
      </c>
      <c r="I526" t="s">
        <v>59</v>
      </c>
      <c r="J526" t="s">
        <v>41</v>
      </c>
      <c r="K526" t="s">
        <v>37</v>
      </c>
      <c r="L526">
        <v>46</v>
      </c>
      <c r="M526" t="s">
        <v>36</v>
      </c>
      <c r="N526" t="s">
        <v>63</v>
      </c>
      <c r="O526" t="s">
        <v>65</v>
      </c>
      <c r="P526" t="s">
        <v>36</v>
      </c>
      <c r="Q526" t="s">
        <v>42</v>
      </c>
      <c r="R526">
        <v>8621</v>
      </c>
      <c r="S526">
        <v>17654</v>
      </c>
      <c r="T526">
        <v>1</v>
      </c>
      <c r="U526" t="s">
        <v>46</v>
      </c>
      <c r="V526">
        <v>14</v>
      </c>
      <c r="W526" t="s">
        <v>43</v>
      </c>
      <c r="X526" t="s">
        <v>36</v>
      </c>
      <c r="Y526">
        <v>0</v>
      </c>
      <c r="Z526">
        <v>9</v>
      </c>
      <c r="AA526">
        <v>3</v>
      </c>
      <c r="AB526" t="s">
        <v>73</v>
      </c>
      <c r="AC526">
        <v>8</v>
      </c>
      <c r="AD526" t="str" cm="1">
        <f t="array" ref="AD526">_xlfn.IFS(AC526&lt;=5,"0-5",AC526&lt;=10,"5-10",AC526&lt;=40,"10-40")</f>
        <v>5-10</v>
      </c>
      <c r="AE526">
        <v>7</v>
      </c>
      <c r="AF526">
        <v>7</v>
      </c>
      <c r="AG526">
        <v>7</v>
      </c>
      <c r="AH526">
        <v>525</v>
      </c>
    </row>
    <row r="527" spans="1:34" x14ac:dyDescent="0.3">
      <c r="A527">
        <v>24</v>
      </c>
      <c r="B527" t="str" cm="1">
        <f t="array" ref="B527">_xlfn.IFS(A527&lt;=25,"18-25",A527&lt;=35,"26-35",A527&lt;=45,"36-45",A527&lt;=55,"46-55",A527&gt;55,"55+")</f>
        <v>18-25</v>
      </c>
      <c r="C527">
        <v>1</v>
      </c>
      <c r="D527" t="s">
        <v>32</v>
      </c>
      <c r="E527">
        <v>693</v>
      </c>
      <c r="F527" t="s">
        <v>33</v>
      </c>
      <c r="G527">
        <v>3</v>
      </c>
      <c r="H527" t="s">
        <v>34</v>
      </c>
      <c r="I527" t="s">
        <v>35</v>
      </c>
      <c r="J527" t="s">
        <v>44</v>
      </c>
      <c r="K527" t="s">
        <v>37</v>
      </c>
      <c r="L527">
        <v>65</v>
      </c>
      <c r="M527" t="s">
        <v>38</v>
      </c>
      <c r="N527" t="s">
        <v>39</v>
      </c>
      <c r="O527" t="s">
        <v>40</v>
      </c>
      <c r="P527" t="s">
        <v>38</v>
      </c>
      <c r="Q527" t="s">
        <v>42</v>
      </c>
      <c r="R527">
        <v>4577</v>
      </c>
      <c r="S527">
        <v>24785</v>
      </c>
      <c r="T527">
        <v>9</v>
      </c>
      <c r="U527" t="s">
        <v>46</v>
      </c>
      <c r="V527">
        <v>14</v>
      </c>
      <c r="W527" t="s">
        <v>43</v>
      </c>
      <c r="X527" t="s">
        <v>44</v>
      </c>
      <c r="Y527">
        <v>0</v>
      </c>
      <c r="Z527">
        <v>4</v>
      </c>
      <c r="AA527">
        <v>3</v>
      </c>
      <c r="AB527" t="s">
        <v>54</v>
      </c>
      <c r="AC527">
        <v>2</v>
      </c>
      <c r="AD527" t="str" cm="1">
        <f t="array" ref="AD527">_xlfn.IFS(AC527&lt;=5,"0-5",AC527&lt;=10,"5-10",AC527&lt;=40,"10-40")</f>
        <v>0-5</v>
      </c>
      <c r="AE527">
        <v>2</v>
      </c>
      <c r="AF527">
        <v>2</v>
      </c>
      <c r="AG527">
        <v>0</v>
      </c>
      <c r="AH527">
        <v>526</v>
      </c>
    </row>
    <row r="528" spans="1:34" x14ac:dyDescent="0.3">
      <c r="A528">
        <v>39</v>
      </c>
      <c r="B528" t="str" cm="1">
        <f t="array" ref="B528">_xlfn.IFS(A528&lt;=25,"18-25",A528&lt;=35,"26-35",A528&lt;=45,"36-45",A528&lt;=55,"46-55",A528&gt;55,"55+")</f>
        <v>36-45</v>
      </c>
      <c r="C528">
        <v>0</v>
      </c>
      <c r="D528" t="s">
        <v>32</v>
      </c>
      <c r="E528">
        <v>408</v>
      </c>
      <c r="F528" t="s">
        <v>48</v>
      </c>
      <c r="G528">
        <v>2</v>
      </c>
      <c r="H528" t="s">
        <v>58</v>
      </c>
      <c r="I528" t="s">
        <v>74</v>
      </c>
      <c r="J528" t="s">
        <v>41</v>
      </c>
      <c r="K528" t="s">
        <v>37</v>
      </c>
      <c r="L528">
        <v>80</v>
      </c>
      <c r="M528" t="s">
        <v>36</v>
      </c>
      <c r="N528" t="s">
        <v>39</v>
      </c>
      <c r="O528" t="s">
        <v>65</v>
      </c>
      <c r="P528" t="s">
        <v>38</v>
      </c>
      <c r="Q528" t="s">
        <v>42</v>
      </c>
      <c r="R528">
        <v>4553</v>
      </c>
      <c r="S528">
        <v>20978</v>
      </c>
      <c r="T528">
        <v>1</v>
      </c>
      <c r="U528" t="s">
        <v>46</v>
      </c>
      <c r="V528">
        <v>11</v>
      </c>
      <c r="W528" t="s">
        <v>43</v>
      </c>
      <c r="X528" t="s">
        <v>44</v>
      </c>
      <c r="Y528">
        <v>0</v>
      </c>
      <c r="Z528">
        <v>20</v>
      </c>
      <c r="AA528">
        <v>4</v>
      </c>
      <c r="AB528" t="s">
        <v>54</v>
      </c>
      <c r="AC528">
        <v>20</v>
      </c>
      <c r="AD528" t="str" cm="1">
        <f t="array" ref="AD528">_xlfn.IFS(AC528&lt;=5,"0-5",AC528&lt;=10,"5-10",AC528&lt;=40,"10-40")</f>
        <v>10-40</v>
      </c>
      <c r="AE528">
        <v>7</v>
      </c>
      <c r="AF528">
        <v>11</v>
      </c>
      <c r="AG528">
        <v>10</v>
      </c>
      <c r="AH528">
        <v>527</v>
      </c>
    </row>
    <row r="529" spans="1:34" x14ac:dyDescent="0.3">
      <c r="A529">
        <v>32</v>
      </c>
      <c r="B529" t="str" cm="1">
        <f t="array" ref="B529">_xlfn.IFS(A529&lt;=25,"18-25",A529&lt;=35,"26-35",A529&lt;=45,"36-45",A529&lt;=55,"46-55",A529&gt;55,"55+")</f>
        <v>26-35</v>
      </c>
      <c r="C529">
        <v>0</v>
      </c>
      <c r="D529" t="s">
        <v>32</v>
      </c>
      <c r="E529">
        <v>929</v>
      </c>
      <c r="F529" t="s">
        <v>33</v>
      </c>
      <c r="G529">
        <v>10</v>
      </c>
      <c r="H529" t="s">
        <v>61</v>
      </c>
      <c r="I529" t="s">
        <v>72</v>
      </c>
      <c r="J529" t="s">
        <v>41</v>
      </c>
      <c r="K529" t="s">
        <v>50</v>
      </c>
      <c r="L529">
        <v>55</v>
      </c>
      <c r="M529" t="s">
        <v>38</v>
      </c>
      <c r="N529" t="s">
        <v>39</v>
      </c>
      <c r="O529" t="s">
        <v>40</v>
      </c>
      <c r="P529" t="s">
        <v>41</v>
      </c>
      <c r="Q529" t="s">
        <v>42</v>
      </c>
      <c r="R529">
        <v>5396</v>
      </c>
      <c r="S529">
        <v>21703</v>
      </c>
      <c r="T529">
        <v>1</v>
      </c>
      <c r="U529" t="s">
        <v>46</v>
      </c>
      <c r="V529">
        <v>12</v>
      </c>
      <c r="W529" t="s">
        <v>43</v>
      </c>
      <c r="X529" t="s">
        <v>41</v>
      </c>
      <c r="Y529">
        <v>0</v>
      </c>
      <c r="Z529">
        <v>10</v>
      </c>
      <c r="AA529">
        <v>2</v>
      </c>
      <c r="AB529" t="s">
        <v>60</v>
      </c>
      <c r="AC529">
        <v>10</v>
      </c>
      <c r="AD529" t="str" cm="1">
        <f t="array" ref="AD529">_xlfn.IFS(AC529&lt;=5,"0-5",AC529&lt;=10,"5-10",AC529&lt;=40,"10-40")</f>
        <v>5-10</v>
      </c>
      <c r="AE529">
        <v>7</v>
      </c>
      <c r="AF529">
        <v>0</v>
      </c>
      <c r="AG529">
        <v>8</v>
      </c>
      <c r="AH529">
        <v>528</v>
      </c>
    </row>
    <row r="530" spans="1:34" x14ac:dyDescent="0.3">
      <c r="A530">
        <v>50</v>
      </c>
      <c r="B530" t="str" cm="1">
        <f t="array" ref="B530">_xlfn.IFS(A530&lt;=25,"18-25",A530&lt;=35,"26-35",A530&lt;=45,"36-45",A530&lt;=55,"46-55",A530&gt;55,"55+")</f>
        <v>46-55</v>
      </c>
      <c r="C530">
        <v>1</v>
      </c>
      <c r="D530" t="s">
        <v>47</v>
      </c>
      <c r="E530">
        <v>562</v>
      </c>
      <c r="F530" t="s">
        <v>33</v>
      </c>
      <c r="G530">
        <v>8</v>
      </c>
      <c r="H530" t="s">
        <v>34</v>
      </c>
      <c r="I530" t="s">
        <v>74</v>
      </c>
      <c r="J530" t="s">
        <v>36</v>
      </c>
      <c r="K530" t="s">
        <v>50</v>
      </c>
      <c r="L530">
        <v>50</v>
      </c>
      <c r="M530" t="s">
        <v>38</v>
      </c>
      <c r="N530" t="s">
        <v>39</v>
      </c>
      <c r="O530" t="s">
        <v>40</v>
      </c>
      <c r="P530" t="s">
        <v>38</v>
      </c>
      <c r="Q530" t="s">
        <v>52</v>
      </c>
      <c r="R530">
        <v>6796</v>
      </c>
      <c r="S530">
        <v>23452</v>
      </c>
      <c r="T530">
        <v>3</v>
      </c>
      <c r="U530" t="s">
        <v>31</v>
      </c>
      <c r="V530">
        <v>14</v>
      </c>
      <c r="W530" t="s">
        <v>43</v>
      </c>
      <c r="X530" t="s">
        <v>44</v>
      </c>
      <c r="Y530">
        <v>1</v>
      </c>
      <c r="Z530">
        <v>18</v>
      </c>
      <c r="AA530">
        <v>4</v>
      </c>
      <c r="AB530" t="s">
        <v>54</v>
      </c>
      <c r="AC530">
        <v>4</v>
      </c>
      <c r="AD530" t="str" cm="1">
        <f t="array" ref="AD530">_xlfn.IFS(AC530&lt;=5,"0-5",AC530&lt;=10,"5-10",AC530&lt;=40,"10-40")</f>
        <v>0-5</v>
      </c>
      <c r="AE530">
        <v>3</v>
      </c>
      <c r="AF530">
        <v>1</v>
      </c>
      <c r="AG530">
        <v>3</v>
      </c>
      <c r="AH530">
        <v>529</v>
      </c>
    </row>
    <row r="531" spans="1:34" x14ac:dyDescent="0.3">
      <c r="A531">
        <v>38</v>
      </c>
      <c r="B531" t="str" cm="1">
        <f t="array" ref="B531">_xlfn.IFS(A531&lt;=25,"18-25",A531&lt;=35,"26-35",A531&lt;=45,"36-45",A531&lt;=55,"46-55",A531&gt;55,"55+")</f>
        <v>36-45</v>
      </c>
      <c r="C531">
        <v>0</v>
      </c>
      <c r="D531" t="s">
        <v>32</v>
      </c>
      <c r="E531">
        <v>827</v>
      </c>
      <c r="F531" t="s">
        <v>48</v>
      </c>
      <c r="G531">
        <v>1</v>
      </c>
      <c r="H531" t="s">
        <v>58</v>
      </c>
      <c r="I531" t="s">
        <v>35</v>
      </c>
      <c r="J531" t="s">
        <v>36</v>
      </c>
      <c r="K531" t="s">
        <v>37</v>
      </c>
      <c r="L531">
        <v>33</v>
      </c>
      <c r="M531" t="s">
        <v>41</v>
      </c>
      <c r="N531" t="s">
        <v>39</v>
      </c>
      <c r="O531" t="s">
        <v>65</v>
      </c>
      <c r="P531" t="s">
        <v>41</v>
      </c>
      <c r="Q531" t="s">
        <v>42</v>
      </c>
      <c r="R531">
        <v>7625</v>
      </c>
      <c r="S531">
        <v>19383</v>
      </c>
      <c r="T531">
        <v>0</v>
      </c>
      <c r="U531" t="s">
        <v>46</v>
      </c>
      <c r="V531">
        <v>13</v>
      </c>
      <c r="W531" t="s">
        <v>43</v>
      </c>
      <c r="X531" t="s">
        <v>38</v>
      </c>
      <c r="Y531">
        <v>0</v>
      </c>
      <c r="Z531">
        <v>10</v>
      </c>
      <c r="AA531">
        <v>4</v>
      </c>
      <c r="AB531" t="s">
        <v>60</v>
      </c>
      <c r="AC531">
        <v>9</v>
      </c>
      <c r="AD531" t="str" cm="1">
        <f t="array" ref="AD531">_xlfn.IFS(AC531&lt;=5,"0-5",AC531&lt;=10,"5-10",AC531&lt;=40,"10-40")</f>
        <v>5-10</v>
      </c>
      <c r="AE531">
        <v>7</v>
      </c>
      <c r="AF531">
        <v>1</v>
      </c>
      <c r="AG531">
        <v>8</v>
      </c>
      <c r="AH531">
        <v>530</v>
      </c>
    </row>
    <row r="532" spans="1:34" x14ac:dyDescent="0.3">
      <c r="A532">
        <v>27</v>
      </c>
      <c r="B532" t="str" cm="1">
        <f t="array" ref="B532">_xlfn.IFS(A532&lt;=25,"18-25",A532&lt;=35,"26-35",A532&lt;=45,"36-45",A532&lt;=55,"46-55",A532&gt;55,"55+")</f>
        <v>26-35</v>
      </c>
      <c r="C532">
        <v>0</v>
      </c>
      <c r="D532" t="s">
        <v>32</v>
      </c>
      <c r="E532">
        <v>608</v>
      </c>
      <c r="F532" t="s">
        <v>48</v>
      </c>
      <c r="G532">
        <v>1</v>
      </c>
      <c r="H532" t="s">
        <v>34</v>
      </c>
      <c r="I532" t="s">
        <v>35</v>
      </c>
      <c r="J532" t="s">
        <v>38</v>
      </c>
      <c r="K532" t="s">
        <v>37</v>
      </c>
      <c r="L532">
        <v>68</v>
      </c>
      <c r="M532" t="s">
        <v>38</v>
      </c>
      <c r="N532" t="s">
        <v>63</v>
      </c>
      <c r="O532" t="s">
        <v>64</v>
      </c>
      <c r="P532" t="s">
        <v>44</v>
      </c>
      <c r="Q532" t="s">
        <v>52</v>
      </c>
      <c r="R532">
        <v>7412</v>
      </c>
      <c r="S532">
        <v>6009</v>
      </c>
      <c r="T532">
        <v>1</v>
      </c>
      <c r="U532" t="s">
        <v>46</v>
      </c>
      <c r="V532">
        <v>11</v>
      </c>
      <c r="W532" t="s">
        <v>43</v>
      </c>
      <c r="X532" t="s">
        <v>41</v>
      </c>
      <c r="Y532">
        <v>0</v>
      </c>
      <c r="Z532">
        <v>9</v>
      </c>
      <c r="AA532">
        <v>3</v>
      </c>
      <c r="AB532" t="s">
        <v>54</v>
      </c>
      <c r="AC532">
        <v>9</v>
      </c>
      <c r="AD532" t="str" cm="1">
        <f t="array" ref="AD532">_xlfn.IFS(AC532&lt;=5,"0-5",AC532&lt;=10,"5-10",AC532&lt;=40,"10-40")</f>
        <v>5-10</v>
      </c>
      <c r="AE532">
        <v>7</v>
      </c>
      <c r="AF532">
        <v>0</v>
      </c>
      <c r="AG532">
        <v>7</v>
      </c>
      <c r="AH532">
        <v>531</v>
      </c>
    </row>
    <row r="533" spans="1:34" x14ac:dyDescent="0.3">
      <c r="A533">
        <v>32</v>
      </c>
      <c r="B533" t="str" cm="1">
        <f t="array" ref="B533">_xlfn.IFS(A533&lt;=25,"18-25",A533&lt;=35,"26-35",A533&lt;=45,"36-45",A533&lt;=55,"46-55",A533&gt;55,"55+")</f>
        <v>26-35</v>
      </c>
      <c r="C533">
        <v>0</v>
      </c>
      <c r="D533" t="s">
        <v>32</v>
      </c>
      <c r="E533">
        <v>1018</v>
      </c>
      <c r="F533" t="s">
        <v>48</v>
      </c>
      <c r="G533">
        <v>3</v>
      </c>
      <c r="H533" t="s">
        <v>34</v>
      </c>
      <c r="I533" t="s">
        <v>35</v>
      </c>
      <c r="J533" t="s">
        <v>38</v>
      </c>
      <c r="K533" t="s">
        <v>37</v>
      </c>
      <c r="L533">
        <v>39</v>
      </c>
      <c r="M533" t="s">
        <v>38</v>
      </c>
      <c r="N533" t="s">
        <v>63</v>
      </c>
      <c r="O533" t="s">
        <v>70</v>
      </c>
      <c r="P533" t="s">
        <v>41</v>
      </c>
      <c r="Q533" t="s">
        <v>42</v>
      </c>
      <c r="R533">
        <v>11159</v>
      </c>
      <c r="S533">
        <v>19373</v>
      </c>
      <c r="T533">
        <v>3</v>
      </c>
      <c r="U533" t="s">
        <v>46</v>
      </c>
      <c r="V533">
        <v>15</v>
      </c>
      <c r="W533" t="s">
        <v>43</v>
      </c>
      <c r="X533" t="s">
        <v>41</v>
      </c>
      <c r="Y533">
        <v>0</v>
      </c>
      <c r="Z533">
        <v>10</v>
      </c>
      <c r="AA533">
        <v>6</v>
      </c>
      <c r="AB533" t="s">
        <v>54</v>
      </c>
      <c r="AC533">
        <v>7</v>
      </c>
      <c r="AD533" t="str" cm="1">
        <f t="array" ref="AD533">_xlfn.IFS(AC533&lt;=5,"0-5",AC533&lt;=10,"5-10",AC533&lt;=40,"10-40")</f>
        <v>5-10</v>
      </c>
      <c r="AE533">
        <v>7</v>
      </c>
      <c r="AF533">
        <v>7</v>
      </c>
      <c r="AG533">
        <v>7</v>
      </c>
      <c r="AH533">
        <v>532</v>
      </c>
    </row>
    <row r="534" spans="1:34" x14ac:dyDescent="0.3">
      <c r="A534">
        <v>47</v>
      </c>
      <c r="B534" t="str" cm="1">
        <f t="array" ref="B534">_xlfn.IFS(A534&lt;=25,"18-25",A534&lt;=35,"26-35",A534&lt;=45,"36-45",A534&lt;=55,"46-55",A534&gt;55,"55+")</f>
        <v>46-55</v>
      </c>
      <c r="C534">
        <v>0</v>
      </c>
      <c r="D534" t="s">
        <v>32</v>
      </c>
      <c r="E534">
        <v>703</v>
      </c>
      <c r="F534" t="s">
        <v>33</v>
      </c>
      <c r="G534">
        <v>14</v>
      </c>
      <c r="H534" t="s">
        <v>58</v>
      </c>
      <c r="I534" t="s">
        <v>72</v>
      </c>
      <c r="J534" t="s">
        <v>41</v>
      </c>
      <c r="K534" t="s">
        <v>50</v>
      </c>
      <c r="L534">
        <v>42</v>
      </c>
      <c r="M534" t="s">
        <v>38</v>
      </c>
      <c r="N534" t="s">
        <v>39</v>
      </c>
      <c r="O534" t="s">
        <v>40</v>
      </c>
      <c r="P534" t="s">
        <v>44</v>
      </c>
      <c r="Q534" t="s">
        <v>42</v>
      </c>
      <c r="R534">
        <v>4960</v>
      </c>
      <c r="S534">
        <v>11825</v>
      </c>
      <c r="T534">
        <v>2</v>
      </c>
      <c r="U534" t="s">
        <v>46</v>
      </c>
      <c r="V534">
        <v>12</v>
      </c>
      <c r="W534" t="s">
        <v>43</v>
      </c>
      <c r="X534" t="s">
        <v>41</v>
      </c>
      <c r="Y534">
        <v>0</v>
      </c>
      <c r="Z534">
        <v>20</v>
      </c>
      <c r="AA534">
        <v>2</v>
      </c>
      <c r="AB534" t="s">
        <v>54</v>
      </c>
      <c r="AC534">
        <v>7</v>
      </c>
      <c r="AD534" t="str" cm="1">
        <f t="array" ref="AD534">_xlfn.IFS(AC534&lt;=5,"0-5",AC534&lt;=10,"5-10",AC534&lt;=40,"10-40")</f>
        <v>5-10</v>
      </c>
      <c r="AE534">
        <v>7</v>
      </c>
      <c r="AF534">
        <v>1</v>
      </c>
      <c r="AG534">
        <v>7</v>
      </c>
      <c r="AH534">
        <v>533</v>
      </c>
    </row>
    <row r="535" spans="1:34" x14ac:dyDescent="0.3">
      <c r="A535">
        <v>40</v>
      </c>
      <c r="B535" t="str" cm="1">
        <f t="array" ref="B535">_xlfn.IFS(A535&lt;=25,"18-25",A535&lt;=35,"26-35",A535&lt;=45,"36-45",A535&lt;=55,"46-55",A535&gt;55,"55+")</f>
        <v>36-45</v>
      </c>
      <c r="C535">
        <v>0</v>
      </c>
      <c r="D535" t="s">
        <v>47</v>
      </c>
      <c r="E535">
        <v>580</v>
      </c>
      <c r="F535" t="s">
        <v>33</v>
      </c>
      <c r="G535">
        <v>5</v>
      </c>
      <c r="H535" t="s">
        <v>58</v>
      </c>
      <c r="I535" t="s">
        <v>35</v>
      </c>
      <c r="J535" t="s">
        <v>41</v>
      </c>
      <c r="K535" t="s">
        <v>50</v>
      </c>
      <c r="L535">
        <v>48</v>
      </c>
      <c r="M535" t="s">
        <v>36</v>
      </c>
      <c r="N535" t="s">
        <v>63</v>
      </c>
      <c r="O535" t="s">
        <v>40</v>
      </c>
      <c r="P535" t="s">
        <v>44</v>
      </c>
      <c r="Q535" t="s">
        <v>52</v>
      </c>
      <c r="R535">
        <v>10475</v>
      </c>
      <c r="S535">
        <v>23772</v>
      </c>
      <c r="T535">
        <v>5</v>
      </c>
      <c r="U535" t="s">
        <v>31</v>
      </c>
      <c r="V535">
        <v>21</v>
      </c>
      <c r="W535" t="s">
        <v>53</v>
      </c>
      <c r="X535" t="s">
        <v>38</v>
      </c>
      <c r="Y535">
        <v>1</v>
      </c>
      <c r="Z535">
        <v>20</v>
      </c>
      <c r="AA535">
        <v>2</v>
      </c>
      <c r="AB535" t="s">
        <v>54</v>
      </c>
      <c r="AC535">
        <v>18</v>
      </c>
      <c r="AD535" t="str" cm="1">
        <f t="array" ref="AD535">_xlfn.IFS(AC535&lt;=5,"0-5",AC535&lt;=10,"5-10",AC535&lt;=40,"10-40")</f>
        <v>10-40</v>
      </c>
      <c r="AE535">
        <v>13</v>
      </c>
      <c r="AF535">
        <v>1</v>
      </c>
      <c r="AG535">
        <v>12</v>
      </c>
      <c r="AH535">
        <v>534</v>
      </c>
    </row>
    <row r="536" spans="1:34" x14ac:dyDescent="0.3">
      <c r="A536">
        <v>53</v>
      </c>
      <c r="B536" t="str" cm="1">
        <f t="array" ref="B536">_xlfn.IFS(A536&lt;=25,"18-25",A536&lt;=35,"26-35",A536&lt;=45,"36-45",A536&lt;=55,"46-55",A536&gt;55,"55+")</f>
        <v>46-55</v>
      </c>
      <c r="C536">
        <v>0</v>
      </c>
      <c r="D536" t="s">
        <v>32</v>
      </c>
      <c r="E536">
        <v>970</v>
      </c>
      <c r="F536" t="s">
        <v>48</v>
      </c>
      <c r="G536">
        <v>7</v>
      </c>
      <c r="H536" t="s">
        <v>61</v>
      </c>
      <c r="I536" t="s">
        <v>35</v>
      </c>
      <c r="J536" t="s">
        <v>38</v>
      </c>
      <c r="K536" t="s">
        <v>50</v>
      </c>
      <c r="L536">
        <v>59</v>
      </c>
      <c r="M536" t="s">
        <v>41</v>
      </c>
      <c r="N536" t="s">
        <v>67</v>
      </c>
      <c r="O536" t="s">
        <v>70</v>
      </c>
      <c r="P536" t="s">
        <v>38</v>
      </c>
      <c r="Q536" t="s">
        <v>52</v>
      </c>
      <c r="R536">
        <v>14814</v>
      </c>
      <c r="S536">
        <v>13514</v>
      </c>
      <c r="T536">
        <v>3</v>
      </c>
      <c r="U536" t="s">
        <v>46</v>
      </c>
      <c r="V536">
        <v>19</v>
      </c>
      <c r="W536" t="s">
        <v>43</v>
      </c>
      <c r="X536" t="s">
        <v>38</v>
      </c>
      <c r="Y536">
        <v>0</v>
      </c>
      <c r="Z536">
        <v>32</v>
      </c>
      <c r="AA536">
        <v>3</v>
      </c>
      <c r="AB536" t="s">
        <v>54</v>
      </c>
      <c r="AC536">
        <v>5</v>
      </c>
      <c r="AD536" t="str" cm="1">
        <f t="array" ref="AD536">_xlfn.IFS(AC536&lt;=5,"0-5",AC536&lt;=10,"5-10",AC536&lt;=40,"10-40")</f>
        <v>0-5</v>
      </c>
      <c r="AE536">
        <v>1</v>
      </c>
      <c r="AF536">
        <v>1</v>
      </c>
      <c r="AG536">
        <v>3</v>
      </c>
      <c r="AH536">
        <v>535</v>
      </c>
    </row>
    <row r="537" spans="1:34" x14ac:dyDescent="0.3">
      <c r="A537">
        <v>41</v>
      </c>
      <c r="B537" t="str" cm="1">
        <f t="array" ref="B537">_xlfn.IFS(A537&lt;=25,"18-25",A537&lt;=35,"26-35",A537&lt;=45,"36-45",A537&lt;=55,"46-55",A537&gt;55,"55+")</f>
        <v>36-45</v>
      </c>
      <c r="C537">
        <v>0</v>
      </c>
      <c r="D537" t="s">
        <v>32</v>
      </c>
      <c r="E537">
        <v>427</v>
      </c>
      <c r="F537" t="s">
        <v>76</v>
      </c>
      <c r="G537">
        <v>10</v>
      </c>
      <c r="H537" t="s">
        <v>58</v>
      </c>
      <c r="I537" t="s">
        <v>76</v>
      </c>
      <c r="J537" t="s">
        <v>36</v>
      </c>
      <c r="K537" t="s">
        <v>50</v>
      </c>
      <c r="L537">
        <v>73</v>
      </c>
      <c r="M537" t="s">
        <v>36</v>
      </c>
      <c r="N537" t="s">
        <v>71</v>
      </c>
      <c r="O537" t="s">
        <v>68</v>
      </c>
      <c r="P537" t="s">
        <v>41</v>
      </c>
      <c r="Q537" t="s">
        <v>62</v>
      </c>
      <c r="R537">
        <v>19141</v>
      </c>
      <c r="S537">
        <v>8861</v>
      </c>
      <c r="T537">
        <v>3</v>
      </c>
      <c r="U537" t="s">
        <v>46</v>
      </c>
      <c r="V537">
        <v>15</v>
      </c>
      <c r="W537" t="s">
        <v>43</v>
      </c>
      <c r="X537" t="s">
        <v>36</v>
      </c>
      <c r="Y537">
        <v>3</v>
      </c>
      <c r="Z537">
        <v>23</v>
      </c>
      <c r="AA537">
        <v>2</v>
      </c>
      <c r="AB537" t="s">
        <v>60</v>
      </c>
      <c r="AC537">
        <v>21</v>
      </c>
      <c r="AD537" t="str" cm="1">
        <f t="array" ref="AD537">_xlfn.IFS(AC537&lt;=5,"0-5",AC537&lt;=10,"5-10",AC537&lt;=40,"10-40")</f>
        <v>10-40</v>
      </c>
      <c r="AE537">
        <v>6</v>
      </c>
      <c r="AF537">
        <v>12</v>
      </c>
      <c r="AG537">
        <v>6</v>
      </c>
      <c r="AH537">
        <v>536</v>
      </c>
    </row>
    <row r="538" spans="1:34" x14ac:dyDescent="0.3">
      <c r="A538">
        <v>60</v>
      </c>
      <c r="B538" t="str" cm="1">
        <f t="array" ref="B538">_xlfn.IFS(A538&lt;=25,"18-25",A538&lt;=35,"26-35",A538&lt;=45,"36-45",A538&lt;=55,"46-55",A538&gt;55,"55+")</f>
        <v>55+</v>
      </c>
      <c r="C538">
        <v>0</v>
      </c>
      <c r="D538" t="s">
        <v>32</v>
      </c>
      <c r="E538">
        <v>1179</v>
      </c>
      <c r="F538" t="s">
        <v>33</v>
      </c>
      <c r="G538">
        <v>16</v>
      </c>
      <c r="H538" t="s">
        <v>58</v>
      </c>
      <c r="I538" t="s">
        <v>72</v>
      </c>
      <c r="J538" t="s">
        <v>44</v>
      </c>
      <c r="K538" t="s">
        <v>50</v>
      </c>
      <c r="L538">
        <v>84</v>
      </c>
      <c r="M538" t="s">
        <v>38</v>
      </c>
      <c r="N538" t="s">
        <v>39</v>
      </c>
      <c r="O538" t="s">
        <v>40</v>
      </c>
      <c r="P538" t="s">
        <v>44</v>
      </c>
      <c r="Q538" t="s">
        <v>42</v>
      </c>
      <c r="R538">
        <v>5405</v>
      </c>
      <c r="S538">
        <v>11924</v>
      </c>
      <c r="T538">
        <v>8</v>
      </c>
      <c r="U538" t="s">
        <v>46</v>
      </c>
      <c r="V538">
        <v>14</v>
      </c>
      <c r="W538" t="s">
        <v>43</v>
      </c>
      <c r="X538" t="s">
        <v>41</v>
      </c>
      <c r="Y538">
        <v>0</v>
      </c>
      <c r="Z538">
        <v>10</v>
      </c>
      <c r="AA538">
        <v>1</v>
      </c>
      <c r="AB538" t="s">
        <v>54</v>
      </c>
      <c r="AC538">
        <v>2</v>
      </c>
      <c r="AD538" t="str" cm="1">
        <f t="array" ref="AD538">_xlfn.IFS(AC538&lt;=5,"0-5",AC538&lt;=10,"5-10",AC538&lt;=40,"10-40")</f>
        <v>0-5</v>
      </c>
      <c r="AE538">
        <v>2</v>
      </c>
      <c r="AF538">
        <v>2</v>
      </c>
      <c r="AG538">
        <v>2</v>
      </c>
      <c r="AH538">
        <v>537</v>
      </c>
    </row>
    <row r="539" spans="1:34" x14ac:dyDescent="0.3">
      <c r="A539">
        <v>27</v>
      </c>
      <c r="B539" t="str" cm="1">
        <f t="array" ref="B539">_xlfn.IFS(A539&lt;=25,"18-25",A539&lt;=35,"26-35",A539&lt;=45,"36-45",A539&lt;=55,"46-55",A539&gt;55,"55+")</f>
        <v>26-35</v>
      </c>
      <c r="C539">
        <v>0</v>
      </c>
      <c r="D539" t="s">
        <v>47</v>
      </c>
      <c r="E539">
        <v>294</v>
      </c>
      <c r="F539" t="s">
        <v>48</v>
      </c>
      <c r="G539">
        <v>10</v>
      </c>
      <c r="H539" t="s">
        <v>34</v>
      </c>
      <c r="I539" t="s">
        <v>35</v>
      </c>
      <c r="J539" t="s">
        <v>41</v>
      </c>
      <c r="K539" t="s">
        <v>50</v>
      </c>
      <c r="L539">
        <v>32</v>
      </c>
      <c r="M539" t="s">
        <v>38</v>
      </c>
      <c r="N539" t="s">
        <v>63</v>
      </c>
      <c r="O539" t="s">
        <v>64</v>
      </c>
      <c r="P539" t="s">
        <v>44</v>
      </c>
      <c r="Q539" t="s">
        <v>62</v>
      </c>
      <c r="R539">
        <v>8793</v>
      </c>
      <c r="S539">
        <v>4809</v>
      </c>
      <c r="T539">
        <v>1</v>
      </c>
      <c r="U539" t="s">
        <v>46</v>
      </c>
      <c r="V539">
        <v>21</v>
      </c>
      <c r="W539" t="s">
        <v>53</v>
      </c>
      <c r="X539" t="s">
        <v>38</v>
      </c>
      <c r="Y539">
        <v>2</v>
      </c>
      <c r="Z539">
        <v>9</v>
      </c>
      <c r="AA539">
        <v>4</v>
      </c>
      <c r="AB539" t="s">
        <v>60</v>
      </c>
      <c r="AC539">
        <v>9</v>
      </c>
      <c r="AD539" t="str" cm="1">
        <f t="array" ref="AD539">_xlfn.IFS(AC539&lt;=5,"0-5",AC539&lt;=10,"5-10",AC539&lt;=40,"10-40")</f>
        <v>5-10</v>
      </c>
      <c r="AE539">
        <v>7</v>
      </c>
      <c r="AF539">
        <v>1</v>
      </c>
      <c r="AG539">
        <v>7</v>
      </c>
      <c r="AH539">
        <v>538</v>
      </c>
    </row>
    <row r="540" spans="1:34" x14ac:dyDescent="0.3">
      <c r="A540">
        <v>41</v>
      </c>
      <c r="B540" t="str" cm="1">
        <f t="array" ref="B540">_xlfn.IFS(A540&lt;=25,"18-25",A540&lt;=35,"26-35",A540&lt;=45,"36-45",A540&lt;=55,"46-55",A540&gt;55,"55+")</f>
        <v>36-45</v>
      </c>
      <c r="C540">
        <v>0</v>
      </c>
      <c r="D540" t="s">
        <v>32</v>
      </c>
      <c r="E540">
        <v>314</v>
      </c>
      <c r="F540" t="s">
        <v>76</v>
      </c>
      <c r="G540">
        <v>1</v>
      </c>
      <c r="H540" t="s">
        <v>61</v>
      </c>
      <c r="I540" t="s">
        <v>76</v>
      </c>
      <c r="J540" t="s">
        <v>41</v>
      </c>
      <c r="K540" t="s">
        <v>50</v>
      </c>
      <c r="L540">
        <v>59</v>
      </c>
      <c r="M540" t="s">
        <v>36</v>
      </c>
      <c r="N540" t="s">
        <v>71</v>
      </c>
      <c r="O540" t="s">
        <v>68</v>
      </c>
      <c r="P540" t="s">
        <v>38</v>
      </c>
      <c r="Q540" t="s">
        <v>52</v>
      </c>
      <c r="R540">
        <v>19189</v>
      </c>
      <c r="S540">
        <v>19562</v>
      </c>
      <c r="T540">
        <v>1</v>
      </c>
      <c r="U540" t="s">
        <v>46</v>
      </c>
      <c r="V540">
        <v>12</v>
      </c>
      <c r="W540" t="s">
        <v>43</v>
      </c>
      <c r="X540" t="s">
        <v>36</v>
      </c>
      <c r="Y540">
        <v>1</v>
      </c>
      <c r="Z540">
        <v>22</v>
      </c>
      <c r="AA540">
        <v>3</v>
      </c>
      <c r="AB540" t="s">
        <v>54</v>
      </c>
      <c r="AC540">
        <v>22</v>
      </c>
      <c r="AD540" t="str" cm="1">
        <f t="array" ref="AD540">_xlfn.IFS(AC540&lt;=5,"0-5",AC540&lt;=10,"5-10",AC540&lt;=40,"10-40")</f>
        <v>10-40</v>
      </c>
      <c r="AE540">
        <v>7</v>
      </c>
      <c r="AF540">
        <v>2</v>
      </c>
      <c r="AG540">
        <v>10</v>
      </c>
      <c r="AH540">
        <v>539</v>
      </c>
    </row>
    <row r="541" spans="1:34" x14ac:dyDescent="0.3">
      <c r="A541">
        <v>50</v>
      </c>
      <c r="B541" t="str" cm="1">
        <f t="array" ref="B541">_xlfn.IFS(A541&lt;=25,"18-25",A541&lt;=35,"26-35",A541&lt;=45,"36-45",A541&lt;=55,"46-55",A541&gt;55,"55+")</f>
        <v>46-55</v>
      </c>
      <c r="C541">
        <v>0</v>
      </c>
      <c r="D541" t="s">
        <v>32</v>
      </c>
      <c r="E541">
        <v>316</v>
      </c>
      <c r="F541" t="s">
        <v>33</v>
      </c>
      <c r="G541">
        <v>8</v>
      </c>
      <c r="H541" t="s">
        <v>58</v>
      </c>
      <c r="I541" t="s">
        <v>72</v>
      </c>
      <c r="J541" t="s">
        <v>41</v>
      </c>
      <c r="K541" t="s">
        <v>50</v>
      </c>
      <c r="L541">
        <v>54</v>
      </c>
      <c r="M541" t="s">
        <v>38</v>
      </c>
      <c r="N541" t="s">
        <v>56</v>
      </c>
      <c r="O541" t="s">
        <v>69</v>
      </c>
      <c r="P541" t="s">
        <v>36</v>
      </c>
      <c r="Q541" t="s">
        <v>52</v>
      </c>
      <c r="R541">
        <v>3875</v>
      </c>
      <c r="S541">
        <v>9983</v>
      </c>
      <c r="T541">
        <v>7</v>
      </c>
      <c r="U541" t="s">
        <v>46</v>
      </c>
      <c r="V541">
        <v>15</v>
      </c>
      <c r="W541" t="s">
        <v>43</v>
      </c>
      <c r="X541" t="s">
        <v>41</v>
      </c>
      <c r="Y541">
        <v>1</v>
      </c>
      <c r="Z541">
        <v>4</v>
      </c>
      <c r="AA541">
        <v>2</v>
      </c>
      <c r="AB541" t="s">
        <v>54</v>
      </c>
      <c r="AC541">
        <v>2</v>
      </c>
      <c r="AD541" t="str" cm="1">
        <f t="array" ref="AD541">_xlfn.IFS(AC541&lt;=5,"0-5",AC541&lt;=10,"5-10",AC541&lt;=40,"10-40")</f>
        <v>0-5</v>
      </c>
      <c r="AE541">
        <v>2</v>
      </c>
      <c r="AF541">
        <v>2</v>
      </c>
      <c r="AG541">
        <v>2</v>
      </c>
      <c r="AH541">
        <v>540</v>
      </c>
    </row>
    <row r="542" spans="1:34" x14ac:dyDescent="0.3">
      <c r="A542">
        <v>28</v>
      </c>
      <c r="B542" t="str" cm="1">
        <f t="array" ref="B542">_xlfn.IFS(A542&lt;=25,"18-25",A542&lt;=35,"26-35",A542&lt;=45,"36-45",A542&lt;=55,"46-55",A542&gt;55,"55+")</f>
        <v>26-35</v>
      </c>
      <c r="C542">
        <v>1</v>
      </c>
      <c r="D542" t="s">
        <v>32</v>
      </c>
      <c r="E542">
        <v>654</v>
      </c>
      <c r="F542" t="s">
        <v>48</v>
      </c>
      <c r="G542">
        <v>1</v>
      </c>
      <c r="H542" t="s">
        <v>34</v>
      </c>
      <c r="I542" t="s">
        <v>35</v>
      </c>
      <c r="J542" t="s">
        <v>44</v>
      </c>
      <c r="K542" t="s">
        <v>37</v>
      </c>
      <c r="L542">
        <v>67</v>
      </c>
      <c r="M542" t="s">
        <v>44</v>
      </c>
      <c r="N542" t="s">
        <v>56</v>
      </c>
      <c r="O542" t="s">
        <v>51</v>
      </c>
      <c r="P542" t="s">
        <v>36</v>
      </c>
      <c r="Q542" t="s">
        <v>42</v>
      </c>
      <c r="R542">
        <v>2216</v>
      </c>
      <c r="S542">
        <v>3872</v>
      </c>
      <c r="T542">
        <v>7</v>
      </c>
      <c r="U542" t="s">
        <v>31</v>
      </c>
      <c r="V542">
        <v>13</v>
      </c>
      <c r="W542" t="s">
        <v>43</v>
      </c>
      <c r="X542" t="s">
        <v>41</v>
      </c>
      <c r="Y542">
        <v>0</v>
      </c>
      <c r="Z542">
        <v>10</v>
      </c>
      <c r="AA542">
        <v>4</v>
      </c>
      <c r="AB542" t="s">
        <v>54</v>
      </c>
      <c r="AC542">
        <v>7</v>
      </c>
      <c r="AD542" t="str" cm="1">
        <f t="array" ref="AD542">_xlfn.IFS(AC542&lt;=5,"0-5",AC542&lt;=10,"5-10",AC542&lt;=40,"10-40")</f>
        <v>5-10</v>
      </c>
      <c r="AE542">
        <v>7</v>
      </c>
      <c r="AF542">
        <v>3</v>
      </c>
      <c r="AG542">
        <v>7</v>
      </c>
      <c r="AH542">
        <v>541</v>
      </c>
    </row>
    <row r="543" spans="1:34" x14ac:dyDescent="0.3">
      <c r="A543">
        <v>36</v>
      </c>
      <c r="B543" t="str" cm="1">
        <f t="array" ref="B543">_xlfn.IFS(A543&lt;=25,"18-25",A543&lt;=35,"26-35",A543&lt;=45,"36-45",A543&lt;=55,"46-55",A543&gt;55,"55+")</f>
        <v>36-45</v>
      </c>
      <c r="C543">
        <v>0</v>
      </c>
      <c r="D543" t="s">
        <v>66</v>
      </c>
      <c r="E543">
        <v>427</v>
      </c>
      <c r="F543" t="s">
        <v>48</v>
      </c>
      <c r="G543">
        <v>8</v>
      </c>
      <c r="H543" t="s">
        <v>61</v>
      </c>
      <c r="I543" t="s">
        <v>35</v>
      </c>
      <c r="J543" t="s">
        <v>44</v>
      </c>
      <c r="K543" t="s">
        <v>37</v>
      </c>
      <c r="L543">
        <v>63</v>
      </c>
      <c r="M543" t="s">
        <v>41</v>
      </c>
      <c r="N543" t="s">
        <v>63</v>
      </c>
      <c r="O543" t="s">
        <v>70</v>
      </c>
      <c r="P543" t="s">
        <v>44</v>
      </c>
      <c r="Q543" t="s">
        <v>52</v>
      </c>
      <c r="R543">
        <v>11713</v>
      </c>
      <c r="S543">
        <v>20335</v>
      </c>
      <c r="T543">
        <v>9</v>
      </c>
      <c r="U543" t="s">
        <v>46</v>
      </c>
      <c r="V543">
        <v>14</v>
      </c>
      <c r="W543" t="s">
        <v>43</v>
      </c>
      <c r="X543" t="s">
        <v>44</v>
      </c>
      <c r="Y543">
        <v>1</v>
      </c>
      <c r="Z543">
        <v>10</v>
      </c>
      <c r="AA543">
        <v>2</v>
      </c>
      <c r="AB543" t="s">
        <v>54</v>
      </c>
      <c r="AC543">
        <v>8</v>
      </c>
      <c r="AD543" t="str" cm="1">
        <f t="array" ref="AD543">_xlfn.IFS(AC543&lt;=5,"0-5",AC543&lt;=10,"5-10",AC543&lt;=40,"10-40")</f>
        <v>5-10</v>
      </c>
      <c r="AE543">
        <v>7</v>
      </c>
      <c r="AF543">
        <v>0</v>
      </c>
      <c r="AG543">
        <v>5</v>
      </c>
      <c r="AH543">
        <v>542</v>
      </c>
    </row>
    <row r="544" spans="1:34" x14ac:dyDescent="0.3">
      <c r="A544">
        <v>38</v>
      </c>
      <c r="B544" t="str" cm="1">
        <f t="array" ref="B544">_xlfn.IFS(A544&lt;=25,"18-25",A544&lt;=35,"26-35",A544&lt;=45,"36-45",A544&lt;=55,"46-55",A544&gt;55,"55+")</f>
        <v>36-45</v>
      </c>
      <c r="C544">
        <v>0</v>
      </c>
      <c r="D544" t="s">
        <v>32</v>
      </c>
      <c r="E544">
        <v>168</v>
      </c>
      <c r="F544" t="s">
        <v>48</v>
      </c>
      <c r="G544">
        <v>1</v>
      </c>
      <c r="H544" t="s">
        <v>61</v>
      </c>
      <c r="I544" t="s">
        <v>35</v>
      </c>
      <c r="J544" t="s">
        <v>38</v>
      </c>
      <c r="K544" t="s">
        <v>37</v>
      </c>
      <c r="L544">
        <v>81</v>
      </c>
      <c r="M544" t="s">
        <v>38</v>
      </c>
      <c r="N544" t="s">
        <v>63</v>
      </c>
      <c r="O544" t="s">
        <v>64</v>
      </c>
      <c r="P544" t="s">
        <v>38</v>
      </c>
      <c r="Q544" t="s">
        <v>42</v>
      </c>
      <c r="R544">
        <v>7861</v>
      </c>
      <c r="S544">
        <v>15397</v>
      </c>
      <c r="T544">
        <v>4</v>
      </c>
      <c r="U544" t="s">
        <v>31</v>
      </c>
      <c r="V544">
        <v>14</v>
      </c>
      <c r="W544" t="s">
        <v>43</v>
      </c>
      <c r="X544" t="s">
        <v>41</v>
      </c>
      <c r="Y544">
        <v>0</v>
      </c>
      <c r="Z544">
        <v>10</v>
      </c>
      <c r="AA544">
        <v>4</v>
      </c>
      <c r="AB544" t="s">
        <v>73</v>
      </c>
      <c r="AC544">
        <v>1</v>
      </c>
      <c r="AD544" t="str" cm="1">
        <f t="array" ref="AD544">_xlfn.IFS(AC544&lt;=5,"0-5",AC544&lt;=10,"5-10",AC544&lt;=40,"10-40")</f>
        <v>0-5</v>
      </c>
      <c r="AE544">
        <v>0</v>
      </c>
      <c r="AF544">
        <v>0</v>
      </c>
      <c r="AG544">
        <v>0</v>
      </c>
      <c r="AH544">
        <v>543</v>
      </c>
    </row>
    <row r="545" spans="1:34" x14ac:dyDescent="0.3">
      <c r="A545">
        <v>44</v>
      </c>
      <c r="B545" t="str" cm="1">
        <f t="array" ref="B545">_xlfn.IFS(A545&lt;=25,"18-25",A545&lt;=35,"26-35",A545&lt;=45,"36-45",A545&lt;=55,"46-55",A545&gt;55,"55+")</f>
        <v>36-45</v>
      </c>
      <c r="C545">
        <v>0</v>
      </c>
      <c r="D545" t="s">
        <v>66</v>
      </c>
      <c r="E545">
        <v>381</v>
      </c>
      <c r="F545" t="s">
        <v>48</v>
      </c>
      <c r="G545">
        <v>24</v>
      </c>
      <c r="H545" t="s">
        <v>61</v>
      </c>
      <c r="I545" t="s">
        <v>59</v>
      </c>
      <c r="J545" t="s">
        <v>44</v>
      </c>
      <c r="K545" t="s">
        <v>50</v>
      </c>
      <c r="L545">
        <v>49</v>
      </c>
      <c r="M545" t="s">
        <v>44</v>
      </c>
      <c r="N545" t="s">
        <v>56</v>
      </c>
      <c r="O545" t="s">
        <v>57</v>
      </c>
      <c r="P545" t="s">
        <v>38</v>
      </c>
      <c r="Q545" t="s">
        <v>42</v>
      </c>
      <c r="R545">
        <v>3708</v>
      </c>
      <c r="S545">
        <v>2104</v>
      </c>
      <c r="T545">
        <v>2</v>
      </c>
      <c r="U545" t="s">
        <v>46</v>
      </c>
      <c r="V545">
        <v>14</v>
      </c>
      <c r="W545" t="s">
        <v>43</v>
      </c>
      <c r="X545" t="s">
        <v>38</v>
      </c>
      <c r="Y545">
        <v>0</v>
      </c>
      <c r="Z545">
        <v>9</v>
      </c>
      <c r="AA545">
        <v>5</v>
      </c>
      <c r="AB545" t="s">
        <v>54</v>
      </c>
      <c r="AC545">
        <v>5</v>
      </c>
      <c r="AD545" t="str" cm="1">
        <f t="array" ref="AD545">_xlfn.IFS(AC545&lt;=5,"0-5",AC545&lt;=10,"5-10",AC545&lt;=40,"10-40")</f>
        <v>0-5</v>
      </c>
      <c r="AE545">
        <v>2</v>
      </c>
      <c r="AF545">
        <v>1</v>
      </c>
      <c r="AG545">
        <v>4</v>
      </c>
      <c r="AH545">
        <v>544</v>
      </c>
    </row>
    <row r="546" spans="1:34" x14ac:dyDescent="0.3">
      <c r="A546">
        <v>47</v>
      </c>
      <c r="B546" t="str" cm="1">
        <f t="array" ref="B546">_xlfn.IFS(A546&lt;=25,"18-25",A546&lt;=35,"26-35",A546&lt;=45,"36-45",A546&lt;=55,"46-55",A546&gt;55,"55+")</f>
        <v>46-55</v>
      </c>
      <c r="C546">
        <v>0</v>
      </c>
      <c r="D546" t="s">
        <v>47</v>
      </c>
      <c r="E546">
        <v>217</v>
      </c>
      <c r="F546" t="s">
        <v>33</v>
      </c>
      <c r="G546">
        <v>3</v>
      </c>
      <c r="H546" t="s">
        <v>61</v>
      </c>
      <c r="I546" t="s">
        <v>59</v>
      </c>
      <c r="J546" t="s">
        <v>41</v>
      </c>
      <c r="K546" t="s">
        <v>37</v>
      </c>
      <c r="L546">
        <v>49</v>
      </c>
      <c r="M546" t="s">
        <v>38</v>
      </c>
      <c r="N546" t="s">
        <v>67</v>
      </c>
      <c r="O546" t="s">
        <v>40</v>
      </c>
      <c r="P546" t="s">
        <v>38</v>
      </c>
      <c r="Q546" t="s">
        <v>62</v>
      </c>
      <c r="R546">
        <v>13770</v>
      </c>
      <c r="S546">
        <v>10225</v>
      </c>
      <c r="T546">
        <v>9</v>
      </c>
      <c r="U546" t="s">
        <v>31</v>
      </c>
      <c r="V546">
        <v>12</v>
      </c>
      <c r="W546" t="s">
        <v>43</v>
      </c>
      <c r="X546" t="s">
        <v>41</v>
      </c>
      <c r="Y546">
        <v>2</v>
      </c>
      <c r="Z546">
        <v>28</v>
      </c>
      <c r="AA546">
        <v>2</v>
      </c>
      <c r="AB546" t="s">
        <v>60</v>
      </c>
      <c r="AC546">
        <v>22</v>
      </c>
      <c r="AD546" t="str" cm="1">
        <f t="array" ref="AD546">_xlfn.IFS(AC546&lt;=5,"0-5",AC546&lt;=10,"5-10",AC546&lt;=40,"10-40")</f>
        <v>10-40</v>
      </c>
      <c r="AE546">
        <v>2</v>
      </c>
      <c r="AF546">
        <v>11</v>
      </c>
      <c r="AG546">
        <v>13</v>
      </c>
      <c r="AH546">
        <v>545</v>
      </c>
    </row>
    <row r="547" spans="1:34" x14ac:dyDescent="0.3">
      <c r="A547">
        <v>30</v>
      </c>
      <c r="B547" t="str" cm="1">
        <f t="array" ref="B547">_xlfn.IFS(A547&lt;=25,"18-25",A547&lt;=35,"26-35",A547&lt;=45,"36-45",A547&lt;=55,"46-55",A547&gt;55,"55+")</f>
        <v>26-35</v>
      </c>
      <c r="C547">
        <v>0</v>
      </c>
      <c r="D547" t="s">
        <v>32</v>
      </c>
      <c r="E547">
        <v>501</v>
      </c>
      <c r="F547" t="s">
        <v>33</v>
      </c>
      <c r="G547">
        <v>27</v>
      </c>
      <c r="H547" t="s">
        <v>75</v>
      </c>
      <c r="I547" t="s">
        <v>72</v>
      </c>
      <c r="J547" t="s">
        <v>38</v>
      </c>
      <c r="K547" t="s">
        <v>50</v>
      </c>
      <c r="L547">
        <v>99</v>
      </c>
      <c r="M547" t="s">
        <v>38</v>
      </c>
      <c r="N547" t="s">
        <v>39</v>
      </c>
      <c r="O547" t="s">
        <v>40</v>
      </c>
      <c r="P547" t="s">
        <v>41</v>
      </c>
      <c r="Q547" t="s">
        <v>62</v>
      </c>
      <c r="R547">
        <v>5304</v>
      </c>
      <c r="S547">
        <v>25275</v>
      </c>
      <c r="T547">
        <v>7</v>
      </c>
      <c r="U547" t="s">
        <v>46</v>
      </c>
      <c r="V547">
        <v>23</v>
      </c>
      <c r="W547" t="s">
        <v>53</v>
      </c>
      <c r="X547" t="s">
        <v>41</v>
      </c>
      <c r="Y547">
        <v>1</v>
      </c>
      <c r="Z547">
        <v>10</v>
      </c>
      <c r="AA547">
        <v>2</v>
      </c>
      <c r="AB547" t="s">
        <v>60</v>
      </c>
      <c r="AC547">
        <v>8</v>
      </c>
      <c r="AD547" t="str" cm="1">
        <f t="array" ref="AD547">_xlfn.IFS(AC547&lt;=5,"0-5",AC547&lt;=10,"5-10",AC547&lt;=40,"10-40")</f>
        <v>5-10</v>
      </c>
      <c r="AE547">
        <v>7</v>
      </c>
      <c r="AF547">
        <v>7</v>
      </c>
      <c r="AG547">
        <v>7</v>
      </c>
      <c r="AH547">
        <v>546</v>
      </c>
    </row>
    <row r="548" spans="1:34" x14ac:dyDescent="0.3">
      <c r="A548">
        <v>29</v>
      </c>
      <c r="B548" t="str" cm="1">
        <f t="array" ref="B548">_xlfn.IFS(A548&lt;=25,"18-25",A548&lt;=35,"26-35",A548&lt;=45,"36-45",A548&lt;=55,"46-55",A548&gt;55,"55+")</f>
        <v>26-35</v>
      </c>
      <c r="C548">
        <v>0</v>
      </c>
      <c r="D548" t="s">
        <v>32</v>
      </c>
      <c r="E548">
        <v>1396</v>
      </c>
      <c r="F548" t="s">
        <v>33</v>
      </c>
      <c r="G548">
        <v>10</v>
      </c>
      <c r="H548" t="s">
        <v>61</v>
      </c>
      <c r="I548" t="s">
        <v>35</v>
      </c>
      <c r="J548" t="s">
        <v>38</v>
      </c>
      <c r="K548" t="s">
        <v>50</v>
      </c>
      <c r="L548">
        <v>99</v>
      </c>
      <c r="M548" t="s">
        <v>38</v>
      </c>
      <c r="N548" t="s">
        <v>56</v>
      </c>
      <c r="O548" t="s">
        <v>69</v>
      </c>
      <c r="P548" t="s">
        <v>38</v>
      </c>
      <c r="Q548" t="s">
        <v>42</v>
      </c>
      <c r="R548">
        <v>2642</v>
      </c>
      <c r="S548">
        <v>2755</v>
      </c>
      <c r="T548">
        <v>1</v>
      </c>
      <c r="U548" t="s">
        <v>46</v>
      </c>
      <c r="V548">
        <v>11</v>
      </c>
      <c r="W548" t="s">
        <v>43</v>
      </c>
      <c r="X548" t="s">
        <v>38</v>
      </c>
      <c r="Y548">
        <v>0</v>
      </c>
      <c r="Z548">
        <v>1</v>
      </c>
      <c r="AA548">
        <v>6</v>
      </c>
      <c r="AB548" t="s">
        <v>54</v>
      </c>
      <c r="AC548">
        <v>1</v>
      </c>
      <c r="AD548" t="str" cm="1">
        <f t="array" ref="AD548">_xlfn.IFS(AC548&lt;=5,"0-5",AC548&lt;=10,"5-10",AC548&lt;=40,"10-40")</f>
        <v>0-5</v>
      </c>
      <c r="AE548">
        <v>0</v>
      </c>
      <c r="AF548">
        <v>0</v>
      </c>
      <c r="AG548">
        <v>0</v>
      </c>
      <c r="AH548">
        <v>547</v>
      </c>
    </row>
    <row r="549" spans="1:34" x14ac:dyDescent="0.3">
      <c r="A549">
        <v>42</v>
      </c>
      <c r="B549" t="str" cm="1">
        <f t="array" ref="B549">_xlfn.IFS(A549&lt;=25,"18-25",A549&lt;=35,"26-35",A549&lt;=45,"36-45",A549&lt;=55,"46-55",A549&gt;55,"55+")</f>
        <v>36-45</v>
      </c>
      <c r="C549">
        <v>1</v>
      </c>
      <c r="D549" t="s">
        <v>47</v>
      </c>
      <c r="E549">
        <v>933</v>
      </c>
      <c r="F549" t="s">
        <v>48</v>
      </c>
      <c r="G549">
        <v>19</v>
      </c>
      <c r="H549" t="s">
        <v>61</v>
      </c>
      <c r="I549" t="s">
        <v>59</v>
      </c>
      <c r="J549" t="s">
        <v>38</v>
      </c>
      <c r="K549" t="s">
        <v>50</v>
      </c>
      <c r="L549">
        <v>57</v>
      </c>
      <c r="M549" t="s">
        <v>41</v>
      </c>
      <c r="N549" t="s">
        <v>56</v>
      </c>
      <c r="O549" t="s">
        <v>51</v>
      </c>
      <c r="P549" t="s">
        <v>38</v>
      </c>
      <c r="Q549" t="s">
        <v>62</v>
      </c>
      <c r="R549">
        <v>2759</v>
      </c>
      <c r="S549">
        <v>20366</v>
      </c>
      <c r="T549">
        <v>6</v>
      </c>
      <c r="U549" t="s">
        <v>31</v>
      </c>
      <c r="V549">
        <v>12</v>
      </c>
      <c r="W549" t="s">
        <v>43</v>
      </c>
      <c r="X549" t="s">
        <v>41</v>
      </c>
      <c r="Y549">
        <v>0</v>
      </c>
      <c r="Z549">
        <v>7</v>
      </c>
      <c r="AA549">
        <v>2</v>
      </c>
      <c r="AB549" t="s">
        <v>54</v>
      </c>
      <c r="AC549">
        <v>2</v>
      </c>
      <c r="AD549" t="str" cm="1">
        <f t="array" ref="AD549">_xlfn.IFS(AC549&lt;=5,"0-5",AC549&lt;=10,"5-10",AC549&lt;=40,"10-40")</f>
        <v>0-5</v>
      </c>
      <c r="AE549">
        <v>2</v>
      </c>
      <c r="AF549">
        <v>2</v>
      </c>
      <c r="AG549">
        <v>2</v>
      </c>
      <c r="AH549">
        <v>548</v>
      </c>
    </row>
    <row r="550" spans="1:34" x14ac:dyDescent="0.3">
      <c r="A550">
        <v>43</v>
      </c>
      <c r="B550" t="str" cm="1">
        <f t="array" ref="B550">_xlfn.IFS(A550&lt;=25,"18-25",A550&lt;=35,"26-35",A550&lt;=45,"36-45",A550&lt;=55,"46-55",A550&gt;55,"55+")</f>
        <v>36-45</v>
      </c>
      <c r="C550">
        <v>0</v>
      </c>
      <c r="D550" t="s">
        <v>47</v>
      </c>
      <c r="E550">
        <v>775</v>
      </c>
      <c r="F550" t="s">
        <v>33</v>
      </c>
      <c r="G550">
        <v>15</v>
      </c>
      <c r="H550" t="s">
        <v>61</v>
      </c>
      <c r="I550" t="s">
        <v>35</v>
      </c>
      <c r="J550" t="s">
        <v>41</v>
      </c>
      <c r="K550" t="s">
        <v>50</v>
      </c>
      <c r="L550">
        <v>47</v>
      </c>
      <c r="M550" t="s">
        <v>36</v>
      </c>
      <c r="N550" t="s">
        <v>39</v>
      </c>
      <c r="O550" t="s">
        <v>40</v>
      </c>
      <c r="P550" t="s">
        <v>41</v>
      </c>
      <c r="Q550" t="s">
        <v>52</v>
      </c>
      <c r="R550">
        <v>6804</v>
      </c>
      <c r="S550">
        <v>23683</v>
      </c>
      <c r="T550">
        <v>3</v>
      </c>
      <c r="U550" t="s">
        <v>46</v>
      </c>
      <c r="V550">
        <v>18</v>
      </c>
      <c r="W550" t="s">
        <v>43</v>
      </c>
      <c r="X550" t="s">
        <v>38</v>
      </c>
      <c r="Y550">
        <v>1</v>
      </c>
      <c r="Z550">
        <v>7</v>
      </c>
      <c r="AA550">
        <v>5</v>
      </c>
      <c r="AB550" t="s">
        <v>54</v>
      </c>
      <c r="AC550">
        <v>2</v>
      </c>
      <c r="AD550" t="str" cm="1">
        <f t="array" ref="AD550">_xlfn.IFS(AC550&lt;=5,"0-5",AC550&lt;=10,"5-10",AC550&lt;=40,"10-40")</f>
        <v>0-5</v>
      </c>
      <c r="AE550">
        <v>2</v>
      </c>
      <c r="AF550">
        <v>2</v>
      </c>
      <c r="AG550">
        <v>2</v>
      </c>
      <c r="AH550">
        <v>549</v>
      </c>
    </row>
    <row r="551" spans="1:34" x14ac:dyDescent="0.3">
      <c r="A551">
        <v>34</v>
      </c>
      <c r="B551" t="str" cm="1">
        <f t="array" ref="B551">_xlfn.IFS(A551&lt;=25,"18-25",A551&lt;=35,"26-35",A551&lt;=45,"36-45",A551&lt;=55,"46-55",A551&gt;55,"55+")</f>
        <v>26-35</v>
      </c>
      <c r="C551">
        <v>0</v>
      </c>
      <c r="D551" t="s">
        <v>32</v>
      </c>
      <c r="E551">
        <v>970</v>
      </c>
      <c r="F551" t="s">
        <v>48</v>
      </c>
      <c r="G551">
        <v>8</v>
      </c>
      <c r="H551" t="s">
        <v>34</v>
      </c>
      <c r="I551" t="s">
        <v>59</v>
      </c>
      <c r="J551" t="s">
        <v>36</v>
      </c>
      <c r="K551" t="s">
        <v>37</v>
      </c>
      <c r="L551">
        <v>96</v>
      </c>
      <c r="M551" t="s">
        <v>38</v>
      </c>
      <c r="N551" t="s">
        <v>39</v>
      </c>
      <c r="O551" t="s">
        <v>65</v>
      </c>
      <c r="P551" t="s">
        <v>38</v>
      </c>
      <c r="Q551" t="s">
        <v>42</v>
      </c>
      <c r="R551">
        <v>6142</v>
      </c>
      <c r="S551">
        <v>7360</v>
      </c>
      <c r="T551">
        <v>3</v>
      </c>
      <c r="U551" t="s">
        <v>46</v>
      </c>
      <c r="V551">
        <v>11</v>
      </c>
      <c r="W551" t="s">
        <v>43</v>
      </c>
      <c r="X551" t="s">
        <v>41</v>
      </c>
      <c r="Y551">
        <v>0</v>
      </c>
      <c r="Z551">
        <v>10</v>
      </c>
      <c r="AA551">
        <v>2</v>
      </c>
      <c r="AB551" t="s">
        <v>54</v>
      </c>
      <c r="AC551">
        <v>5</v>
      </c>
      <c r="AD551" t="str" cm="1">
        <f t="array" ref="AD551">_xlfn.IFS(AC551&lt;=5,"0-5",AC551&lt;=10,"5-10",AC551&lt;=40,"10-40")</f>
        <v>0-5</v>
      </c>
      <c r="AE551">
        <v>1</v>
      </c>
      <c r="AF551">
        <v>4</v>
      </c>
      <c r="AG551">
        <v>3</v>
      </c>
      <c r="AH551">
        <v>550</v>
      </c>
    </row>
    <row r="552" spans="1:34" x14ac:dyDescent="0.3">
      <c r="A552">
        <v>23</v>
      </c>
      <c r="B552" t="str" cm="1">
        <f t="array" ref="B552">_xlfn.IFS(A552&lt;=25,"18-25",A552&lt;=35,"26-35",A552&lt;=45,"36-45",A552&lt;=55,"46-55",A552&gt;55,"55+")</f>
        <v>18-25</v>
      </c>
      <c r="C552">
        <v>0</v>
      </c>
      <c r="D552" t="s">
        <v>32</v>
      </c>
      <c r="E552">
        <v>650</v>
      </c>
      <c r="F552" t="s">
        <v>48</v>
      </c>
      <c r="G552">
        <v>9</v>
      </c>
      <c r="H552" t="s">
        <v>49</v>
      </c>
      <c r="I552" t="s">
        <v>59</v>
      </c>
      <c r="J552" t="s">
        <v>36</v>
      </c>
      <c r="K552" t="s">
        <v>50</v>
      </c>
      <c r="L552">
        <v>37</v>
      </c>
      <c r="M552" t="s">
        <v>38</v>
      </c>
      <c r="N552" t="s">
        <v>56</v>
      </c>
      <c r="O552" t="s">
        <v>57</v>
      </c>
      <c r="P552" t="s">
        <v>44</v>
      </c>
      <c r="Q552" t="s">
        <v>52</v>
      </c>
      <c r="R552">
        <v>2500</v>
      </c>
      <c r="S552">
        <v>4344</v>
      </c>
      <c r="T552">
        <v>1</v>
      </c>
      <c r="U552" t="s">
        <v>46</v>
      </c>
      <c r="V552">
        <v>14</v>
      </c>
      <c r="W552" t="s">
        <v>43</v>
      </c>
      <c r="X552" t="s">
        <v>41</v>
      </c>
      <c r="Y552">
        <v>1</v>
      </c>
      <c r="Z552">
        <v>5</v>
      </c>
      <c r="AA552">
        <v>2</v>
      </c>
      <c r="AB552" t="s">
        <v>73</v>
      </c>
      <c r="AC552">
        <v>4</v>
      </c>
      <c r="AD552" t="str" cm="1">
        <f t="array" ref="AD552">_xlfn.IFS(AC552&lt;=5,"0-5",AC552&lt;=10,"5-10",AC552&lt;=40,"10-40")</f>
        <v>0-5</v>
      </c>
      <c r="AE552">
        <v>3</v>
      </c>
      <c r="AF552">
        <v>0</v>
      </c>
      <c r="AG552">
        <v>2</v>
      </c>
      <c r="AH552">
        <v>551</v>
      </c>
    </row>
    <row r="553" spans="1:34" x14ac:dyDescent="0.3">
      <c r="A553">
        <v>39</v>
      </c>
      <c r="B553" t="str" cm="1">
        <f t="array" ref="B553">_xlfn.IFS(A553&lt;=25,"18-25",A553&lt;=35,"26-35",A553&lt;=45,"36-45",A553&lt;=55,"46-55",A553&gt;55,"55+")</f>
        <v>36-45</v>
      </c>
      <c r="C553">
        <v>0</v>
      </c>
      <c r="D553" t="s">
        <v>32</v>
      </c>
      <c r="E553">
        <v>141</v>
      </c>
      <c r="F553" t="s">
        <v>76</v>
      </c>
      <c r="G553">
        <v>3</v>
      </c>
      <c r="H553" t="s">
        <v>61</v>
      </c>
      <c r="I553" t="s">
        <v>76</v>
      </c>
      <c r="J553" t="s">
        <v>38</v>
      </c>
      <c r="K553" t="s">
        <v>37</v>
      </c>
      <c r="L553">
        <v>44</v>
      </c>
      <c r="M553" t="s">
        <v>41</v>
      </c>
      <c r="N553" t="s">
        <v>39</v>
      </c>
      <c r="O553" t="s">
        <v>76</v>
      </c>
      <c r="P553" t="s">
        <v>36</v>
      </c>
      <c r="Q553" t="s">
        <v>52</v>
      </c>
      <c r="R553">
        <v>6389</v>
      </c>
      <c r="S553">
        <v>18767</v>
      </c>
      <c r="T553">
        <v>9</v>
      </c>
      <c r="U553" t="s">
        <v>46</v>
      </c>
      <c r="V553">
        <v>15</v>
      </c>
      <c r="W553" t="s">
        <v>43</v>
      </c>
      <c r="X553" t="s">
        <v>38</v>
      </c>
      <c r="Y553">
        <v>1</v>
      </c>
      <c r="Z553">
        <v>12</v>
      </c>
      <c r="AA553">
        <v>3</v>
      </c>
      <c r="AB553" t="s">
        <v>45</v>
      </c>
      <c r="AC553">
        <v>8</v>
      </c>
      <c r="AD553" t="str" cm="1">
        <f t="array" ref="AD553">_xlfn.IFS(AC553&lt;=5,"0-5",AC553&lt;=10,"5-10",AC553&lt;=40,"10-40")</f>
        <v>5-10</v>
      </c>
      <c r="AE553">
        <v>3</v>
      </c>
      <c r="AF553">
        <v>3</v>
      </c>
      <c r="AG553">
        <v>6</v>
      </c>
      <c r="AH553">
        <v>552</v>
      </c>
    </row>
    <row r="554" spans="1:34" x14ac:dyDescent="0.3">
      <c r="A554">
        <v>56</v>
      </c>
      <c r="B554" t="str" cm="1">
        <f t="array" ref="B554">_xlfn.IFS(A554&lt;=25,"18-25",A554&lt;=35,"26-35",A554&lt;=45,"36-45",A554&lt;=55,"46-55",A554&gt;55,"55+")</f>
        <v>55+</v>
      </c>
      <c r="C554">
        <v>0</v>
      </c>
      <c r="D554" t="s">
        <v>32</v>
      </c>
      <c r="E554">
        <v>832</v>
      </c>
      <c r="F554" t="s">
        <v>48</v>
      </c>
      <c r="G554">
        <v>9</v>
      </c>
      <c r="H554" t="s">
        <v>61</v>
      </c>
      <c r="I554" t="s">
        <v>59</v>
      </c>
      <c r="J554" t="s">
        <v>38</v>
      </c>
      <c r="K554" t="s">
        <v>50</v>
      </c>
      <c r="L554">
        <v>81</v>
      </c>
      <c r="M554" t="s">
        <v>38</v>
      </c>
      <c r="N554" t="s">
        <v>67</v>
      </c>
      <c r="O554" t="s">
        <v>65</v>
      </c>
      <c r="P554" t="s">
        <v>41</v>
      </c>
      <c r="Q554" t="s">
        <v>52</v>
      </c>
      <c r="R554">
        <v>11103</v>
      </c>
      <c r="S554">
        <v>20420</v>
      </c>
      <c r="T554">
        <v>7</v>
      </c>
      <c r="U554" t="s">
        <v>46</v>
      </c>
      <c r="V554">
        <v>11</v>
      </c>
      <c r="W554" t="s">
        <v>43</v>
      </c>
      <c r="X554" t="s">
        <v>38</v>
      </c>
      <c r="Y554">
        <v>0</v>
      </c>
      <c r="Z554">
        <v>30</v>
      </c>
      <c r="AA554">
        <v>1</v>
      </c>
      <c r="AB554" t="s">
        <v>60</v>
      </c>
      <c r="AC554">
        <v>10</v>
      </c>
      <c r="AD554" t="str" cm="1">
        <f t="array" ref="AD554">_xlfn.IFS(AC554&lt;=5,"0-5",AC554&lt;=10,"5-10",AC554&lt;=40,"10-40")</f>
        <v>5-10</v>
      </c>
      <c r="AE554">
        <v>7</v>
      </c>
      <c r="AF554">
        <v>1</v>
      </c>
      <c r="AG554">
        <v>1</v>
      </c>
      <c r="AH554">
        <v>553</v>
      </c>
    </row>
    <row r="555" spans="1:34" x14ac:dyDescent="0.3">
      <c r="A555">
        <v>40</v>
      </c>
      <c r="B555" t="str" cm="1">
        <f t="array" ref="B555">_xlfn.IFS(A555&lt;=25,"18-25",A555&lt;=35,"26-35",A555&lt;=45,"36-45",A555&lt;=55,"46-55",A555&gt;55,"55+")</f>
        <v>36-45</v>
      </c>
      <c r="C555">
        <v>0</v>
      </c>
      <c r="D555" t="s">
        <v>32</v>
      </c>
      <c r="E555">
        <v>804</v>
      </c>
      <c r="F555" t="s">
        <v>48</v>
      </c>
      <c r="G555">
        <v>2</v>
      </c>
      <c r="H555" t="s">
        <v>49</v>
      </c>
      <c r="I555" t="s">
        <v>59</v>
      </c>
      <c r="J555" t="s">
        <v>41</v>
      </c>
      <c r="K555" t="s">
        <v>37</v>
      </c>
      <c r="L555">
        <v>86</v>
      </c>
      <c r="M555" t="s">
        <v>36</v>
      </c>
      <c r="N555" t="s">
        <v>56</v>
      </c>
      <c r="O555" t="s">
        <v>51</v>
      </c>
      <c r="P555" t="s">
        <v>41</v>
      </c>
      <c r="Q555" t="s">
        <v>42</v>
      </c>
      <c r="R555">
        <v>2342</v>
      </c>
      <c r="S555">
        <v>22929</v>
      </c>
      <c r="T555">
        <v>0</v>
      </c>
      <c r="U555" t="s">
        <v>31</v>
      </c>
      <c r="V555">
        <v>20</v>
      </c>
      <c r="W555" t="s">
        <v>53</v>
      </c>
      <c r="X555" t="s">
        <v>41</v>
      </c>
      <c r="Y555">
        <v>0</v>
      </c>
      <c r="Z555">
        <v>5</v>
      </c>
      <c r="AA555">
        <v>2</v>
      </c>
      <c r="AB555" t="s">
        <v>60</v>
      </c>
      <c r="AC555">
        <v>4</v>
      </c>
      <c r="AD555" t="str" cm="1">
        <f t="array" ref="AD555">_xlfn.IFS(AC555&lt;=5,"0-5",AC555&lt;=10,"5-10",AC555&lt;=40,"10-40")</f>
        <v>0-5</v>
      </c>
      <c r="AE555">
        <v>2</v>
      </c>
      <c r="AF555">
        <v>2</v>
      </c>
      <c r="AG555">
        <v>3</v>
      </c>
      <c r="AH555">
        <v>554</v>
      </c>
    </row>
    <row r="556" spans="1:34" x14ac:dyDescent="0.3">
      <c r="A556">
        <v>27</v>
      </c>
      <c r="B556" t="str" cm="1">
        <f t="array" ref="B556">_xlfn.IFS(A556&lt;=25,"18-25",A556&lt;=35,"26-35",A556&lt;=45,"36-45",A556&lt;=55,"46-55",A556&gt;55,"55+")</f>
        <v>26-35</v>
      </c>
      <c r="C556">
        <v>0</v>
      </c>
      <c r="D556" t="s">
        <v>32</v>
      </c>
      <c r="E556">
        <v>975</v>
      </c>
      <c r="F556" t="s">
        <v>48</v>
      </c>
      <c r="G556">
        <v>7</v>
      </c>
      <c r="H556" t="s">
        <v>61</v>
      </c>
      <c r="I556" t="s">
        <v>59</v>
      </c>
      <c r="J556" t="s">
        <v>41</v>
      </c>
      <c r="K556" t="s">
        <v>37</v>
      </c>
      <c r="L556">
        <v>55</v>
      </c>
      <c r="M556" t="s">
        <v>36</v>
      </c>
      <c r="N556" t="s">
        <v>39</v>
      </c>
      <c r="O556" t="s">
        <v>65</v>
      </c>
      <c r="P556" t="s">
        <v>44</v>
      </c>
      <c r="Q556" t="s">
        <v>42</v>
      </c>
      <c r="R556">
        <v>6811</v>
      </c>
      <c r="S556">
        <v>23398</v>
      </c>
      <c r="T556">
        <v>8</v>
      </c>
      <c r="U556" t="s">
        <v>46</v>
      </c>
      <c r="V556">
        <v>19</v>
      </c>
      <c r="W556" t="s">
        <v>43</v>
      </c>
      <c r="X556" t="s">
        <v>44</v>
      </c>
      <c r="Y556">
        <v>0</v>
      </c>
      <c r="Z556">
        <v>9</v>
      </c>
      <c r="AA556">
        <v>2</v>
      </c>
      <c r="AB556" t="s">
        <v>45</v>
      </c>
      <c r="AC556">
        <v>7</v>
      </c>
      <c r="AD556" t="str" cm="1">
        <f t="array" ref="AD556">_xlfn.IFS(AC556&lt;=5,"0-5",AC556&lt;=10,"5-10",AC556&lt;=40,"10-40")</f>
        <v>5-10</v>
      </c>
      <c r="AE556">
        <v>6</v>
      </c>
      <c r="AF556">
        <v>0</v>
      </c>
      <c r="AG556">
        <v>7</v>
      </c>
      <c r="AH556">
        <v>555</v>
      </c>
    </row>
    <row r="557" spans="1:34" x14ac:dyDescent="0.3">
      <c r="A557">
        <v>29</v>
      </c>
      <c r="B557" t="str" cm="1">
        <f t="array" ref="B557">_xlfn.IFS(A557&lt;=25,"18-25",A557&lt;=35,"26-35",A557&lt;=45,"36-45",A557&lt;=55,"46-55",A557&gt;55,"55+")</f>
        <v>26-35</v>
      </c>
      <c r="C557">
        <v>0</v>
      </c>
      <c r="D557" t="s">
        <v>32</v>
      </c>
      <c r="E557">
        <v>1090</v>
      </c>
      <c r="F557" t="s">
        <v>33</v>
      </c>
      <c r="G557">
        <v>10</v>
      </c>
      <c r="H557" t="s">
        <v>61</v>
      </c>
      <c r="I557" t="s">
        <v>72</v>
      </c>
      <c r="J557" t="s">
        <v>41</v>
      </c>
      <c r="K557" t="s">
        <v>50</v>
      </c>
      <c r="L557">
        <v>83</v>
      </c>
      <c r="M557" t="s">
        <v>38</v>
      </c>
      <c r="N557" t="s">
        <v>56</v>
      </c>
      <c r="O557" t="s">
        <v>69</v>
      </c>
      <c r="P557" t="s">
        <v>36</v>
      </c>
      <c r="Q557" t="s">
        <v>62</v>
      </c>
      <c r="R557">
        <v>2297</v>
      </c>
      <c r="S557">
        <v>17967</v>
      </c>
      <c r="T557">
        <v>1</v>
      </c>
      <c r="U557" t="s">
        <v>46</v>
      </c>
      <c r="V557">
        <v>14</v>
      </c>
      <c r="W557" t="s">
        <v>43</v>
      </c>
      <c r="X557" t="s">
        <v>41</v>
      </c>
      <c r="Y557">
        <v>2</v>
      </c>
      <c r="Z557">
        <v>2</v>
      </c>
      <c r="AA557">
        <v>2</v>
      </c>
      <c r="AB557" t="s">
        <v>54</v>
      </c>
      <c r="AC557">
        <v>2</v>
      </c>
      <c r="AD557" t="str" cm="1">
        <f t="array" ref="AD557">_xlfn.IFS(AC557&lt;=5,"0-5",AC557&lt;=10,"5-10",AC557&lt;=40,"10-40")</f>
        <v>0-5</v>
      </c>
      <c r="AE557">
        <v>2</v>
      </c>
      <c r="AF557">
        <v>2</v>
      </c>
      <c r="AG557">
        <v>2</v>
      </c>
      <c r="AH557">
        <v>556</v>
      </c>
    </row>
    <row r="558" spans="1:34" x14ac:dyDescent="0.3">
      <c r="A558">
        <v>53</v>
      </c>
      <c r="B558" t="str" cm="1">
        <f t="array" ref="B558">_xlfn.IFS(A558&lt;=25,"18-25",A558&lt;=35,"26-35",A558&lt;=45,"36-45",A558&lt;=55,"46-55",A558&gt;55,"55+")</f>
        <v>46-55</v>
      </c>
      <c r="C558">
        <v>0</v>
      </c>
      <c r="D558" t="s">
        <v>32</v>
      </c>
      <c r="E558">
        <v>346</v>
      </c>
      <c r="F558" t="s">
        <v>48</v>
      </c>
      <c r="G558">
        <v>6</v>
      </c>
      <c r="H558" t="s">
        <v>61</v>
      </c>
      <c r="I558" t="s">
        <v>35</v>
      </c>
      <c r="J558" t="s">
        <v>41</v>
      </c>
      <c r="K558" t="s">
        <v>50</v>
      </c>
      <c r="L558">
        <v>86</v>
      </c>
      <c r="M558" t="s">
        <v>38</v>
      </c>
      <c r="N558" t="s">
        <v>39</v>
      </c>
      <c r="O558" t="s">
        <v>57</v>
      </c>
      <c r="P558" t="s">
        <v>41</v>
      </c>
      <c r="Q558" t="s">
        <v>42</v>
      </c>
      <c r="R558">
        <v>2450</v>
      </c>
      <c r="S558">
        <v>10919</v>
      </c>
      <c r="T558">
        <v>2</v>
      </c>
      <c r="U558" t="s">
        <v>46</v>
      </c>
      <c r="V558">
        <v>17</v>
      </c>
      <c r="W558" t="s">
        <v>43</v>
      </c>
      <c r="X558" t="s">
        <v>41</v>
      </c>
      <c r="Y558">
        <v>0</v>
      </c>
      <c r="Z558">
        <v>19</v>
      </c>
      <c r="AA558">
        <v>4</v>
      </c>
      <c r="AB558" t="s">
        <v>54</v>
      </c>
      <c r="AC558">
        <v>2</v>
      </c>
      <c r="AD558" t="str" cm="1">
        <f t="array" ref="AD558">_xlfn.IFS(AC558&lt;=5,"0-5",AC558&lt;=10,"5-10",AC558&lt;=40,"10-40")</f>
        <v>0-5</v>
      </c>
      <c r="AE558">
        <v>2</v>
      </c>
      <c r="AF558">
        <v>2</v>
      </c>
      <c r="AG558">
        <v>2</v>
      </c>
      <c r="AH558">
        <v>557</v>
      </c>
    </row>
    <row r="559" spans="1:34" x14ac:dyDescent="0.3">
      <c r="A559">
        <v>35</v>
      </c>
      <c r="B559" t="str" cm="1">
        <f t="array" ref="B559">_xlfn.IFS(A559&lt;=25,"18-25",A559&lt;=35,"26-35",A559&lt;=45,"36-45",A559&lt;=55,"46-55",A559&gt;55,"55+")</f>
        <v>26-35</v>
      </c>
      <c r="C559">
        <v>0</v>
      </c>
      <c r="D559" t="s">
        <v>66</v>
      </c>
      <c r="E559">
        <v>1225</v>
      </c>
      <c r="F559" t="s">
        <v>48</v>
      </c>
      <c r="G559">
        <v>2</v>
      </c>
      <c r="H559" t="s">
        <v>58</v>
      </c>
      <c r="I559" t="s">
        <v>35</v>
      </c>
      <c r="J559" t="s">
        <v>41</v>
      </c>
      <c r="K559" t="s">
        <v>37</v>
      </c>
      <c r="L559">
        <v>61</v>
      </c>
      <c r="M559" t="s">
        <v>38</v>
      </c>
      <c r="N559" t="s">
        <v>39</v>
      </c>
      <c r="O559" t="s">
        <v>65</v>
      </c>
      <c r="P559" t="s">
        <v>44</v>
      </c>
      <c r="Q559" t="s">
        <v>62</v>
      </c>
      <c r="R559">
        <v>5093</v>
      </c>
      <c r="S559">
        <v>4761</v>
      </c>
      <c r="T559">
        <v>2</v>
      </c>
      <c r="U559" t="s">
        <v>46</v>
      </c>
      <c r="V559">
        <v>11</v>
      </c>
      <c r="W559" t="s">
        <v>43</v>
      </c>
      <c r="X559" t="s">
        <v>44</v>
      </c>
      <c r="Y559">
        <v>1</v>
      </c>
      <c r="Z559">
        <v>16</v>
      </c>
      <c r="AA559">
        <v>2</v>
      </c>
      <c r="AB559" t="s">
        <v>73</v>
      </c>
      <c r="AC559">
        <v>1</v>
      </c>
      <c r="AD559" t="str" cm="1">
        <f t="array" ref="AD559">_xlfn.IFS(AC559&lt;=5,"0-5",AC559&lt;=10,"5-10",AC559&lt;=40,"10-40")</f>
        <v>0-5</v>
      </c>
      <c r="AE559">
        <v>0</v>
      </c>
      <c r="AF559">
        <v>0</v>
      </c>
      <c r="AG559">
        <v>0</v>
      </c>
      <c r="AH559">
        <v>558</v>
      </c>
    </row>
    <row r="560" spans="1:34" x14ac:dyDescent="0.3">
      <c r="A560">
        <v>32</v>
      </c>
      <c r="B560" t="str" cm="1">
        <f t="array" ref="B560">_xlfn.IFS(A560&lt;=25,"18-25",A560&lt;=35,"26-35",A560&lt;=45,"36-45",A560&lt;=55,"46-55",A560&gt;55,"55+")</f>
        <v>26-35</v>
      </c>
      <c r="C560">
        <v>0</v>
      </c>
      <c r="D560" t="s">
        <v>47</v>
      </c>
      <c r="E560">
        <v>430</v>
      </c>
      <c r="F560" t="s">
        <v>48</v>
      </c>
      <c r="G560">
        <v>24</v>
      </c>
      <c r="H560" t="s">
        <v>58</v>
      </c>
      <c r="I560" t="s">
        <v>35</v>
      </c>
      <c r="J560" t="s">
        <v>44</v>
      </c>
      <c r="K560" t="s">
        <v>50</v>
      </c>
      <c r="L560">
        <v>80</v>
      </c>
      <c r="M560" t="s">
        <v>38</v>
      </c>
      <c r="N560" t="s">
        <v>39</v>
      </c>
      <c r="O560" t="s">
        <v>57</v>
      </c>
      <c r="P560" t="s">
        <v>41</v>
      </c>
      <c r="Q560" t="s">
        <v>52</v>
      </c>
      <c r="R560">
        <v>5309</v>
      </c>
      <c r="S560">
        <v>21146</v>
      </c>
      <c r="T560">
        <v>1</v>
      </c>
      <c r="U560" t="s">
        <v>46</v>
      </c>
      <c r="V560">
        <v>15</v>
      </c>
      <c r="W560" t="s">
        <v>43</v>
      </c>
      <c r="X560" t="s">
        <v>41</v>
      </c>
      <c r="Y560">
        <v>2</v>
      </c>
      <c r="Z560">
        <v>10</v>
      </c>
      <c r="AA560">
        <v>2</v>
      </c>
      <c r="AB560" t="s">
        <v>54</v>
      </c>
      <c r="AC560">
        <v>10</v>
      </c>
      <c r="AD560" t="str" cm="1">
        <f t="array" ref="AD560">_xlfn.IFS(AC560&lt;=5,"0-5",AC560&lt;=10,"5-10",AC560&lt;=40,"10-40")</f>
        <v>5-10</v>
      </c>
      <c r="AE560">
        <v>8</v>
      </c>
      <c r="AF560">
        <v>4</v>
      </c>
      <c r="AG560">
        <v>7</v>
      </c>
      <c r="AH560">
        <v>559</v>
      </c>
    </row>
    <row r="561" spans="1:34" x14ac:dyDescent="0.3">
      <c r="A561">
        <v>38</v>
      </c>
      <c r="B561" t="str" cm="1">
        <f t="array" ref="B561">_xlfn.IFS(A561&lt;=25,"18-25",A561&lt;=35,"26-35",A561&lt;=45,"36-45",A561&lt;=55,"46-55",A561&gt;55,"55+")</f>
        <v>36-45</v>
      </c>
      <c r="C561">
        <v>0</v>
      </c>
      <c r="D561" t="s">
        <v>32</v>
      </c>
      <c r="E561">
        <v>268</v>
      </c>
      <c r="F561" t="s">
        <v>48</v>
      </c>
      <c r="G561">
        <v>2</v>
      </c>
      <c r="H561" t="s">
        <v>75</v>
      </c>
      <c r="I561" t="s">
        <v>59</v>
      </c>
      <c r="J561" t="s">
        <v>41</v>
      </c>
      <c r="K561" t="s">
        <v>50</v>
      </c>
      <c r="L561">
        <v>92</v>
      </c>
      <c r="M561" t="s">
        <v>38</v>
      </c>
      <c r="N561" t="s">
        <v>56</v>
      </c>
      <c r="O561" t="s">
        <v>51</v>
      </c>
      <c r="P561" t="s">
        <v>38</v>
      </c>
      <c r="Q561" t="s">
        <v>52</v>
      </c>
      <c r="R561">
        <v>3057</v>
      </c>
      <c r="S561">
        <v>20471</v>
      </c>
      <c r="T561">
        <v>6</v>
      </c>
      <c r="U561" t="s">
        <v>31</v>
      </c>
      <c r="V561">
        <v>13</v>
      </c>
      <c r="W561" t="s">
        <v>43</v>
      </c>
      <c r="X561" t="s">
        <v>36</v>
      </c>
      <c r="Y561">
        <v>1</v>
      </c>
      <c r="Z561">
        <v>6</v>
      </c>
      <c r="AA561">
        <v>0</v>
      </c>
      <c r="AB561" t="s">
        <v>45</v>
      </c>
      <c r="AC561">
        <v>1</v>
      </c>
      <c r="AD561" t="str" cm="1">
        <f t="array" ref="AD561">_xlfn.IFS(AC561&lt;=5,"0-5",AC561&lt;=10,"5-10",AC561&lt;=40,"10-40")</f>
        <v>0-5</v>
      </c>
      <c r="AE561">
        <v>0</v>
      </c>
      <c r="AF561">
        <v>0</v>
      </c>
      <c r="AG561">
        <v>1</v>
      </c>
      <c r="AH561">
        <v>560</v>
      </c>
    </row>
    <row r="562" spans="1:34" x14ac:dyDescent="0.3">
      <c r="A562">
        <v>34</v>
      </c>
      <c r="B562" t="str" cm="1">
        <f t="array" ref="B562">_xlfn.IFS(A562&lt;=25,"18-25",A562&lt;=35,"26-35",A562&lt;=45,"36-45",A562&lt;=55,"46-55",A562&gt;55,"55+")</f>
        <v>26-35</v>
      </c>
      <c r="C562">
        <v>0</v>
      </c>
      <c r="D562" t="s">
        <v>32</v>
      </c>
      <c r="E562">
        <v>167</v>
      </c>
      <c r="F562" t="s">
        <v>48</v>
      </c>
      <c r="G562">
        <v>8</v>
      </c>
      <c r="H562" t="s">
        <v>75</v>
      </c>
      <c r="I562" t="s">
        <v>35</v>
      </c>
      <c r="J562" t="s">
        <v>36</v>
      </c>
      <c r="K562" t="s">
        <v>37</v>
      </c>
      <c r="L562">
        <v>32</v>
      </c>
      <c r="M562" t="s">
        <v>38</v>
      </c>
      <c r="N562" t="s">
        <v>39</v>
      </c>
      <c r="O562" t="s">
        <v>64</v>
      </c>
      <c r="P562" t="s">
        <v>44</v>
      </c>
      <c r="Q562" t="s">
        <v>62</v>
      </c>
      <c r="R562">
        <v>5121</v>
      </c>
      <c r="S562">
        <v>4187</v>
      </c>
      <c r="T562">
        <v>3</v>
      </c>
      <c r="U562" t="s">
        <v>46</v>
      </c>
      <c r="V562">
        <v>14</v>
      </c>
      <c r="W562" t="s">
        <v>43</v>
      </c>
      <c r="X562" t="s">
        <v>38</v>
      </c>
      <c r="Y562">
        <v>1</v>
      </c>
      <c r="Z562">
        <v>7</v>
      </c>
      <c r="AA562">
        <v>3</v>
      </c>
      <c r="AB562" t="s">
        <v>54</v>
      </c>
      <c r="AC562">
        <v>0</v>
      </c>
      <c r="AD562" t="str" cm="1">
        <f t="array" ref="AD562">_xlfn.IFS(AC562&lt;=5,"0-5",AC562&lt;=10,"5-10",AC562&lt;=40,"10-40")</f>
        <v>0-5</v>
      </c>
      <c r="AE562">
        <v>0</v>
      </c>
      <c r="AF562">
        <v>0</v>
      </c>
      <c r="AG562">
        <v>0</v>
      </c>
      <c r="AH562">
        <v>561</v>
      </c>
    </row>
    <row r="563" spans="1:34" x14ac:dyDescent="0.3">
      <c r="A563">
        <v>52</v>
      </c>
      <c r="B563" t="str" cm="1">
        <f t="array" ref="B563">_xlfn.IFS(A563&lt;=25,"18-25",A563&lt;=35,"26-35",A563&lt;=45,"36-45",A563&lt;=55,"46-55",A563&gt;55,"55+")</f>
        <v>46-55</v>
      </c>
      <c r="C563">
        <v>0</v>
      </c>
      <c r="D563" t="s">
        <v>32</v>
      </c>
      <c r="E563">
        <v>621</v>
      </c>
      <c r="F563" t="s">
        <v>33</v>
      </c>
      <c r="G563">
        <v>3</v>
      </c>
      <c r="H563" t="s">
        <v>58</v>
      </c>
      <c r="I563" t="s">
        <v>72</v>
      </c>
      <c r="J563" t="s">
        <v>38</v>
      </c>
      <c r="K563" t="s">
        <v>50</v>
      </c>
      <c r="L563">
        <v>31</v>
      </c>
      <c r="M563" t="s">
        <v>36</v>
      </c>
      <c r="N563" t="s">
        <v>67</v>
      </c>
      <c r="O563" t="s">
        <v>68</v>
      </c>
      <c r="P563" t="s">
        <v>44</v>
      </c>
      <c r="Q563" t="s">
        <v>52</v>
      </c>
      <c r="R563">
        <v>16856</v>
      </c>
      <c r="S563">
        <v>10084</v>
      </c>
      <c r="T563">
        <v>1</v>
      </c>
      <c r="U563" t="s">
        <v>46</v>
      </c>
      <c r="V563">
        <v>11</v>
      </c>
      <c r="W563" t="s">
        <v>43</v>
      </c>
      <c r="X563" t="s">
        <v>44</v>
      </c>
      <c r="Y563">
        <v>0</v>
      </c>
      <c r="Z563">
        <v>34</v>
      </c>
      <c r="AA563">
        <v>3</v>
      </c>
      <c r="AB563" t="s">
        <v>73</v>
      </c>
      <c r="AC563">
        <v>34</v>
      </c>
      <c r="AD563" t="str" cm="1">
        <f t="array" ref="AD563">_xlfn.IFS(AC563&lt;=5,"0-5",AC563&lt;=10,"5-10",AC563&lt;=40,"10-40")</f>
        <v>10-40</v>
      </c>
      <c r="AE563">
        <v>6</v>
      </c>
      <c r="AF563">
        <v>1</v>
      </c>
      <c r="AG563">
        <v>16</v>
      </c>
      <c r="AH563">
        <v>562</v>
      </c>
    </row>
    <row r="564" spans="1:34" x14ac:dyDescent="0.3">
      <c r="A564">
        <v>33</v>
      </c>
      <c r="B564" t="str" cm="1">
        <f t="array" ref="B564">_xlfn.IFS(A564&lt;=25,"18-25",A564&lt;=35,"26-35",A564&lt;=45,"36-45",A564&lt;=55,"46-55",A564&gt;55,"55+")</f>
        <v>26-35</v>
      </c>
      <c r="C564">
        <v>1</v>
      </c>
      <c r="D564" t="s">
        <v>32</v>
      </c>
      <c r="E564">
        <v>527</v>
      </c>
      <c r="F564" t="s">
        <v>48</v>
      </c>
      <c r="G564">
        <v>1</v>
      </c>
      <c r="H564" t="s">
        <v>58</v>
      </c>
      <c r="I564" t="s">
        <v>55</v>
      </c>
      <c r="J564" t="s">
        <v>41</v>
      </c>
      <c r="K564" t="s">
        <v>50</v>
      </c>
      <c r="L564">
        <v>63</v>
      </c>
      <c r="M564" t="s">
        <v>38</v>
      </c>
      <c r="N564" t="s">
        <v>56</v>
      </c>
      <c r="O564" t="s">
        <v>51</v>
      </c>
      <c r="P564" t="s">
        <v>41</v>
      </c>
      <c r="Q564" t="s">
        <v>42</v>
      </c>
      <c r="R564">
        <v>2686</v>
      </c>
      <c r="S564">
        <v>5207</v>
      </c>
      <c r="T564">
        <v>1</v>
      </c>
      <c r="U564" t="s">
        <v>31</v>
      </c>
      <c r="V564">
        <v>13</v>
      </c>
      <c r="W564" t="s">
        <v>43</v>
      </c>
      <c r="X564" t="s">
        <v>38</v>
      </c>
      <c r="Y564">
        <v>0</v>
      </c>
      <c r="Z564">
        <v>10</v>
      </c>
      <c r="AA564">
        <v>2</v>
      </c>
      <c r="AB564" t="s">
        <v>60</v>
      </c>
      <c r="AC564">
        <v>10</v>
      </c>
      <c r="AD564" t="str" cm="1">
        <f t="array" ref="AD564">_xlfn.IFS(AC564&lt;=5,"0-5",AC564&lt;=10,"5-10",AC564&lt;=40,"10-40")</f>
        <v>5-10</v>
      </c>
      <c r="AE564">
        <v>9</v>
      </c>
      <c r="AF564">
        <v>7</v>
      </c>
      <c r="AG564">
        <v>8</v>
      </c>
      <c r="AH564">
        <v>563</v>
      </c>
    </row>
    <row r="565" spans="1:34" x14ac:dyDescent="0.3">
      <c r="A565">
        <v>25</v>
      </c>
      <c r="B565" t="str" cm="1">
        <f t="array" ref="B565">_xlfn.IFS(A565&lt;=25,"18-25",A565&lt;=35,"26-35",A565&lt;=45,"36-45",A565&lt;=55,"46-55",A565&gt;55,"55+")</f>
        <v>18-25</v>
      </c>
      <c r="C565">
        <v>0</v>
      </c>
      <c r="D565" t="s">
        <v>32</v>
      </c>
      <c r="E565">
        <v>883</v>
      </c>
      <c r="F565" t="s">
        <v>33</v>
      </c>
      <c r="G565">
        <v>26</v>
      </c>
      <c r="H565" t="s">
        <v>49</v>
      </c>
      <c r="I565" t="s">
        <v>59</v>
      </c>
      <c r="J565" t="s">
        <v>38</v>
      </c>
      <c r="K565" t="s">
        <v>37</v>
      </c>
      <c r="L565">
        <v>32</v>
      </c>
      <c r="M565" t="s">
        <v>38</v>
      </c>
      <c r="N565" t="s">
        <v>39</v>
      </c>
      <c r="O565" t="s">
        <v>40</v>
      </c>
      <c r="P565" t="s">
        <v>41</v>
      </c>
      <c r="Q565" t="s">
        <v>42</v>
      </c>
      <c r="R565">
        <v>6180</v>
      </c>
      <c r="S565">
        <v>22807</v>
      </c>
      <c r="T565">
        <v>1</v>
      </c>
      <c r="U565" t="s">
        <v>46</v>
      </c>
      <c r="V565">
        <v>23</v>
      </c>
      <c r="W565" t="s">
        <v>53</v>
      </c>
      <c r="X565" t="s">
        <v>36</v>
      </c>
      <c r="Y565">
        <v>0</v>
      </c>
      <c r="Z565">
        <v>6</v>
      </c>
      <c r="AA565">
        <v>5</v>
      </c>
      <c r="AB565" t="s">
        <v>60</v>
      </c>
      <c r="AC565">
        <v>6</v>
      </c>
      <c r="AD565" t="str" cm="1">
        <f t="array" ref="AD565">_xlfn.IFS(AC565&lt;=5,"0-5",AC565&lt;=10,"5-10",AC565&lt;=40,"10-40")</f>
        <v>5-10</v>
      </c>
      <c r="AE565">
        <v>5</v>
      </c>
      <c r="AF565">
        <v>1</v>
      </c>
      <c r="AG565">
        <v>4</v>
      </c>
      <c r="AH565">
        <v>564</v>
      </c>
    </row>
    <row r="566" spans="1:34" x14ac:dyDescent="0.3">
      <c r="A566">
        <v>45</v>
      </c>
      <c r="B566" t="str" cm="1">
        <f t="array" ref="B566">_xlfn.IFS(A566&lt;=25,"18-25",A566&lt;=35,"26-35",A566&lt;=45,"36-45",A566&lt;=55,"46-55",A566&gt;55,"55+")</f>
        <v>36-45</v>
      </c>
      <c r="C566">
        <v>0</v>
      </c>
      <c r="D566" t="s">
        <v>32</v>
      </c>
      <c r="E566">
        <v>954</v>
      </c>
      <c r="F566" t="s">
        <v>33</v>
      </c>
      <c r="G566">
        <v>2</v>
      </c>
      <c r="H566" t="s">
        <v>34</v>
      </c>
      <c r="I566" t="s">
        <v>74</v>
      </c>
      <c r="J566" t="s">
        <v>36</v>
      </c>
      <c r="K566" t="s">
        <v>50</v>
      </c>
      <c r="L566">
        <v>46</v>
      </c>
      <c r="M566" t="s">
        <v>44</v>
      </c>
      <c r="N566" t="s">
        <v>39</v>
      </c>
      <c r="O566" t="s">
        <v>69</v>
      </c>
      <c r="P566" t="s">
        <v>38</v>
      </c>
      <c r="Q566" t="s">
        <v>42</v>
      </c>
      <c r="R566">
        <v>6632</v>
      </c>
      <c r="S566">
        <v>12388</v>
      </c>
      <c r="T566">
        <v>0</v>
      </c>
      <c r="U566" t="s">
        <v>46</v>
      </c>
      <c r="V566">
        <v>13</v>
      </c>
      <c r="W566" t="s">
        <v>43</v>
      </c>
      <c r="X566" t="s">
        <v>44</v>
      </c>
      <c r="Y566">
        <v>0</v>
      </c>
      <c r="Z566">
        <v>9</v>
      </c>
      <c r="AA566">
        <v>3</v>
      </c>
      <c r="AB566" t="s">
        <v>54</v>
      </c>
      <c r="AC566">
        <v>8</v>
      </c>
      <c r="AD566" t="str" cm="1">
        <f t="array" ref="AD566">_xlfn.IFS(AC566&lt;=5,"0-5",AC566&lt;=10,"5-10",AC566&lt;=40,"10-40")</f>
        <v>5-10</v>
      </c>
      <c r="AE566">
        <v>7</v>
      </c>
      <c r="AF566">
        <v>3</v>
      </c>
      <c r="AG566">
        <v>1</v>
      </c>
      <c r="AH566">
        <v>565</v>
      </c>
    </row>
    <row r="567" spans="1:34" x14ac:dyDescent="0.3">
      <c r="A567">
        <v>23</v>
      </c>
      <c r="B567" t="str" cm="1">
        <f t="array" ref="B567">_xlfn.IFS(A567&lt;=25,"18-25",A567&lt;=35,"26-35",A567&lt;=45,"36-45",A567&lt;=55,"46-55",A567&gt;55,"55+")</f>
        <v>18-25</v>
      </c>
      <c r="C567">
        <v>0</v>
      </c>
      <c r="D567" t="s">
        <v>32</v>
      </c>
      <c r="E567">
        <v>310</v>
      </c>
      <c r="F567" t="s">
        <v>48</v>
      </c>
      <c r="G567">
        <v>10</v>
      </c>
      <c r="H567" t="s">
        <v>49</v>
      </c>
      <c r="I567" t="s">
        <v>59</v>
      </c>
      <c r="J567" t="s">
        <v>44</v>
      </c>
      <c r="K567" t="s">
        <v>50</v>
      </c>
      <c r="L567">
        <v>79</v>
      </c>
      <c r="M567" t="s">
        <v>41</v>
      </c>
      <c r="N567" t="s">
        <v>56</v>
      </c>
      <c r="O567" t="s">
        <v>51</v>
      </c>
      <c r="P567" t="s">
        <v>38</v>
      </c>
      <c r="Q567" t="s">
        <v>42</v>
      </c>
      <c r="R567">
        <v>3505</v>
      </c>
      <c r="S567">
        <v>19630</v>
      </c>
      <c r="T567">
        <v>1</v>
      </c>
      <c r="U567" t="s">
        <v>46</v>
      </c>
      <c r="V567">
        <v>18</v>
      </c>
      <c r="W567" t="s">
        <v>43</v>
      </c>
      <c r="X567" t="s">
        <v>41</v>
      </c>
      <c r="Y567">
        <v>0</v>
      </c>
      <c r="Z567">
        <v>2</v>
      </c>
      <c r="AA567">
        <v>3</v>
      </c>
      <c r="AB567" t="s">
        <v>54</v>
      </c>
      <c r="AC567">
        <v>2</v>
      </c>
      <c r="AD567" t="str" cm="1">
        <f t="array" ref="AD567">_xlfn.IFS(AC567&lt;=5,"0-5",AC567&lt;=10,"5-10",AC567&lt;=40,"10-40")</f>
        <v>0-5</v>
      </c>
      <c r="AE567">
        <v>2</v>
      </c>
      <c r="AF567">
        <v>0</v>
      </c>
      <c r="AG567">
        <v>2</v>
      </c>
      <c r="AH567">
        <v>566</v>
      </c>
    </row>
    <row r="568" spans="1:34" x14ac:dyDescent="0.3">
      <c r="A568">
        <v>47</v>
      </c>
      <c r="B568" t="str" cm="1">
        <f t="array" ref="B568">_xlfn.IFS(A568&lt;=25,"18-25",A568&lt;=35,"26-35",A568&lt;=45,"36-45",A568&lt;=55,"46-55",A568&gt;55,"55+")</f>
        <v>46-55</v>
      </c>
      <c r="C568">
        <v>1</v>
      </c>
      <c r="D568" t="s">
        <v>47</v>
      </c>
      <c r="E568">
        <v>719</v>
      </c>
      <c r="F568" t="s">
        <v>33</v>
      </c>
      <c r="G568">
        <v>27</v>
      </c>
      <c r="H568" t="s">
        <v>34</v>
      </c>
      <c r="I568" t="s">
        <v>35</v>
      </c>
      <c r="J568" t="s">
        <v>36</v>
      </c>
      <c r="K568" t="s">
        <v>37</v>
      </c>
      <c r="L568">
        <v>77</v>
      </c>
      <c r="M568" t="s">
        <v>41</v>
      </c>
      <c r="N568" t="s">
        <v>39</v>
      </c>
      <c r="O568" t="s">
        <v>40</v>
      </c>
      <c r="P568" t="s">
        <v>38</v>
      </c>
      <c r="Q568" t="s">
        <v>42</v>
      </c>
      <c r="R568">
        <v>6397</v>
      </c>
      <c r="S568">
        <v>10339</v>
      </c>
      <c r="T568">
        <v>4</v>
      </c>
      <c r="U568" t="s">
        <v>31</v>
      </c>
      <c r="V568">
        <v>12</v>
      </c>
      <c r="W568" t="s">
        <v>43</v>
      </c>
      <c r="X568" t="s">
        <v>41</v>
      </c>
      <c r="Y568">
        <v>0</v>
      </c>
      <c r="Z568">
        <v>8</v>
      </c>
      <c r="AA568">
        <v>2</v>
      </c>
      <c r="AB568" t="s">
        <v>54</v>
      </c>
      <c r="AC568">
        <v>5</v>
      </c>
      <c r="AD568" t="str" cm="1">
        <f t="array" ref="AD568">_xlfn.IFS(AC568&lt;=5,"0-5",AC568&lt;=10,"5-10",AC568&lt;=40,"10-40")</f>
        <v>0-5</v>
      </c>
      <c r="AE568">
        <v>4</v>
      </c>
      <c r="AF568">
        <v>1</v>
      </c>
      <c r="AG568">
        <v>3</v>
      </c>
      <c r="AH568">
        <v>567</v>
      </c>
    </row>
    <row r="569" spans="1:34" x14ac:dyDescent="0.3">
      <c r="A569">
        <v>34</v>
      </c>
      <c r="B569" t="str" cm="1">
        <f t="array" ref="B569">_xlfn.IFS(A569&lt;=25,"18-25",A569&lt;=35,"26-35",A569&lt;=45,"36-45",A569&lt;=55,"46-55",A569&gt;55,"55+")</f>
        <v>26-35</v>
      </c>
      <c r="C569">
        <v>0</v>
      </c>
      <c r="D569" t="s">
        <v>32</v>
      </c>
      <c r="E569">
        <v>304</v>
      </c>
      <c r="F569" t="s">
        <v>33</v>
      </c>
      <c r="G569">
        <v>2</v>
      </c>
      <c r="H569" t="s">
        <v>61</v>
      </c>
      <c r="I569" t="s">
        <v>55</v>
      </c>
      <c r="J569" t="s">
        <v>41</v>
      </c>
      <c r="K569" t="s">
        <v>50</v>
      </c>
      <c r="L569">
        <v>60</v>
      </c>
      <c r="M569" t="s">
        <v>38</v>
      </c>
      <c r="N569" t="s">
        <v>39</v>
      </c>
      <c r="O569" t="s">
        <v>40</v>
      </c>
      <c r="P569" t="s">
        <v>41</v>
      </c>
      <c r="Q569" t="s">
        <v>42</v>
      </c>
      <c r="R569">
        <v>6274</v>
      </c>
      <c r="S569">
        <v>18686</v>
      </c>
      <c r="T569">
        <v>1</v>
      </c>
      <c r="U569" t="s">
        <v>46</v>
      </c>
      <c r="V569">
        <v>22</v>
      </c>
      <c r="W569" t="s">
        <v>53</v>
      </c>
      <c r="X569" t="s">
        <v>38</v>
      </c>
      <c r="Y569">
        <v>0</v>
      </c>
      <c r="Z569">
        <v>6</v>
      </c>
      <c r="AA569">
        <v>5</v>
      </c>
      <c r="AB569" t="s">
        <v>54</v>
      </c>
      <c r="AC569">
        <v>6</v>
      </c>
      <c r="AD569" t="str" cm="1">
        <f t="array" ref="AD569">_xlfn.IFS(AC569&lt;=5,"0-5",AC569&lt;=10,"5-10",AC569&lt;=40,"10-40")</f>
        <v>5-10</v>
      </c>
      <c r="AE569">
        <v>5</v>
      </c>
      <c r="AF569">
        <v>1</v>
      </c>
      <c r="AG569">
        <v>4</v>
      </c>
      <c r="AH569">
        <v>568</v>
      </c>
    </row>
    <row r="570" spans="1:34" x14ac:dyDescent="0.3">
      <c r="A570">
        <v>55</v>
      </c>
      <c r="B570" t="str" cm="1">
        <f t="array" ref="B570">_xlfn.IFS(A570&lt;=25,"18-25",A570&lt;=35,"26-35",A570&lt;=45,"36-45",A570&lt;=55,"46-55",A570&gt;55,"55+")</f>
        <v>46-55</v>
      </c>
      <c r="C570">
        <v>1</v>
      </c>
      <c r="D570" t="s">
        <v>32</v>
      </c>
      <c r="E570">
        <v>725</v>
      </c>
      <c r="F570" t="s">
        <v>48</v>
      </c>
      <c r="G570">
        <v>2</v>
      </c>
      <c r="H570" t="s">
        <v>61</v>
      </c>
      <c r="I570" t="s">
        <v>59</v>
      </c>
      <c r="J570" t="s">
        <v>41</v>
      </c>
      <c r="K570" t="s">
        <v>50</v>
      </c>
      <c r="L570">
        <v>78</v>
      </c>
      <c r="M570" t="s">
        <v>38</v>
      </c>
      <c r="N570" t="s">
        <v>71</v>
      </c>
      <c r="O570" t="s">
        <v>68</v>
      </c>
      <c r="P570" t="s">
        <v>44</v>
      </c>
      <c r="Q570" t="s">
        <v>52</v>
      </c>
      <c r="R570">
        <v>19859</v>
      </c>
      <c r="S570">
        <v>21199</v>
      </c>
      <c r="T570">
        <v>5</v>
      </c>
      <c r="U570" t="s">
        <v>31</v>
      </c>
      <c r="V570">
        <v>13</v>
      </c>
      <c r="W570" t="s">
        <v>43</v>
      </c>
      <c r="X570" t="s">
        <v>41</v>
      </c>
      <c r="Y570">
        <v>1</v>
      </c>
      <c r="Z570">
        <v>24</v>
      </c>
      <c r="AA570">
        <v>2</v>
      </c>
      <c r="AB570" t="s">
        <v>54</v>
      </c>
      <c r="AC570">
        <v>5</v>
      </c>
      <c r="AD570" t="str" cm="1">
        <f t="array" ref="AD570">_xlfn.IFS(AC570&lt;=5,"0-5",AC570&lt;=10,"5-10",AC570&lt;=40,"10-40")</f>
        <v>0-5</v>
      </c>
      <c r="AE570">
        <v>2</v>
      </c>
      <c r="AF570">
        <v>1</v>
      </c>
      <c r="AG570">
        <v>4</v>
      </c>
      <c r="AH570">
        <v>569</v>
      </c>
    </row>
    <row r="571" spans="1:34" x14ac:dyDescent="0.3">
      <c r="A571">
        <v>36</v>
      </c>
      <c r="B571" t="str" cm="1">
        <f t="array" ref="B571">_xlfn.IFS(A571&lt;=25,"18-25",A571&lt;=35,"26-35",A571&lt;=45,"36-45",A571&lt;=55,"46-55",A571&gt;55,"55+")</f>
        <v>36-45</v>
      </c>
      <c r="C571">
        <v>0</v>
      </c>
      <c r="D571" t="s">
        <v>66</v>
      </c>
      <c r="E571">
        <v>1434</v>
      </c>
      <c r="F571" t="s">
        <v>33</v>
      </c>
      <c r="G571">
        <v>8</v>
      </c>
      <c r="H571" t="s">
        <v>58</v>
      </c>
      <c r="I571" t="s">
        <v>35</v>
      </c>
      <c r="J571" t="s">
        <v>44</v>
      </c>
      <c r="K571" t="s">
        <v>50</v>
      </c>
      <c r="L571">
        <v>76</v>
      </c>
      <c r="M571" t="s">
        <v>36</v>
      </c>
      <c r="N571" t="s">
        <v>63</v>
      </c>
      <c r="O571" t="s">
        <v>40</v>
      </c>
      <c r="P571" t="s">
        <v>44</v>
      </c>
      <c r="Q571" t="s">
        <v>42</v>
      </c>
      <c r="R571">
        <v>7587</v>
      </c>
      <c r="S571">
        <v>14229</v>
      </c>
      <c r="T571">
        <v>1</v>
      </c>
      <c r="U571" t="s">
        <v>46</v>
      </c>
      <c r="V571">
        <v>15</v>
      </c>
      <c r="W571" t="s">
        <v>43</v>
      </c>
      <c r="X571" t="s">
        <v>36</v>
      </c>
      <c r="Y571">
        <v>0</v>
      </c>
      <c r="Z571">
        <v>10</v>
      </c>
      <c r="AA571">
        <v>1</v>
      </c>
      <c r="AB571" t="s">
        <v>54</v>
      </c>
      <c r="AC571">
        <v>10</v>
      </c>
      <c r="AD571" t="str" cm="1">
        <f t="array" ref="AD571">_xlfn.IFS(AC571&lt;=5,"0-5",AC571&lt;=10,"5-10",AC571&lt;=40,"10-40")</f>
        <v>5-10</v>
      </c>
      <c r="AE571">
        <v>7</v>
      </c>
      <c r="AF571">
        <v>0</v>
      </c>
      <c r="AG571">
        <v>9</v>
      </c>
      <c r="AH571">
        <v>570</v>
      </c>
    </row>
    <row r="572" spans="1:34" x14ac:dyDescent="0.3">
      <c r="A572">
        <v>52</v>
      </c>
      <c r="B572" t="str" cm="1">
        <f t="array" ref="B572">_xlfn.IFS(A572&lt;=25,"18-25",A572&lt;=35,"26-35",A572&lt;=45,"36-45",A572&lt;=55,"46-55",A572&gt;55,"55+")</f>
        <v>46-55</v>
      </c>
      <c r="C572">
        <v>0</v>
      </c>
      <c r="D572" t="s">
        <v>66</v>
      </c>
      <c r="E572">
        <v>715</v>
      </c>
      <c r="F572" t="s">
        <v>48</v>
      </c>
      <c r="G572">
        <v>19</v>
      </c>
      <c r="H572" t="s">
        <v>58</v>
      </c>
      <c r="I572" t="s">
        <v>59</v>
      </c>
      <c r="J572" t="s">
        <v>41</v>
      </c>
      <c r="K572" t="s">
        <v>50</v>
      </c>
      <c r="L572">
        <v>41</v>
      </c>
      <c r="M572" t="s">
        <v>38</v>
      </c>
      <c r="N572" t="s">
        <v>56</v>
      </c>
      <c r="O572" t="s">
        <v>51</v>
      </c>
      <c r="P572" t="s">
        <v>41</v>
      </c>
      <c r="Q572" t="s">
        <v>52</v>
      </c>
      <c r="R572">
        <v>4258</v>
      </c>
      <c r="S572">
        <v>26589</v>
      </c>
      <c r="T572">
        <v>0</v>
      </c>
      <c r="U572" t="s">
        <v>46</v>
      </c>
      <c r="V572">
        <v>18</v>
      </c>
      <c r="W572" t="s">
        <v>43</v>
      </c>
      <c r="X572" t="s">
        <v>44</v>
      </c>
      <c r="Y572">
        <v>1</v>
      </c>
      <c r="Z572">
        <v>5</v>
      </c>
      <c r="AA572">
        <v>3</v>
      </c>
      <c r="AB572" t="s">
        <v>54</v>
      </c>
      <c r="AC572">
        <v>4</v>
      </c>
      <c r="AD572" t="str" cm="1">
        <f t="array" ref="AD572">_xlfn.IFS(AC572&lt;=5,"0-5",AC572&lt;=10,"5-10",AC572&lt;=40,"10-40")</f>
        <v>0-5</v>
      </c>
      <c r="AE572">
        <v>3</v>
      </c>
      <c r="AF572">
        <v>1</v>
      </c>
      <c r="AG572">
        <v>2</v>
      </c>
      <c r="AH572">
        <v>571</v>
      </c>
    </row>
    <row r="573" spans="1:34" x14ac:dyDescent="0.3">
      <c r="A573">
        <v>26</v>
      </c>
      <c r="B573" t="str" cm="1">
        <f t="array" ref="B573">_xlfn.IFS(A573&lt;=25,"18-25",A573&lt;=35,"26-35",A573&lt;=45,"36-45",A573&lt;=55,"46-55",A573&gt;55,"55+")</f>
        <v>26-35</v>
      </c>
      <c r="C573">
        <v>0</v>
      </c>
      <c r="D573" t="s">
        <v>47</v>
      </c>
      <c r="E573">
        <v>575</v>
      </c>
      <c r="F573" t="s">
        <v>48</v>
      </c>
      <c r="G573">
        <v>1</v>
      </c>
      <c r="H573" t="s">
        <v>34</v>
      </c>
      <c r="I573" t="s">
        <v>35</v>
      </c>
      <c r="J573" t="s">
        <v>44</v>
      </c>
      <c r="K573" t="s">
        <v>37</v>
      </c>
      <c r="L573">
        <v>71</v>
      </c>
      <c r="M573" t="s">
        <v>44</v>
      </c>
      <c r="N573" t="s">
        <v>56</v>
      </c>
      <c r="O573" t="s">
        <v>57</v>
      </c>
      <c r="P573" t="s">
        <v>41</v>
      </c>
      <c r="Q573" t="s">
        <v>62</v>
      </c>
      <c r="R573">
        <v>4364</v>
      </c>
      <c r="S573">
        <v>5288</v>
      </c>
      <c r="T573">
        <v>3</v>
      </c>
      <c r="U573" t="s">
        <v>46</v>
      </c>
      <c r="V573">
        <v>14</v>
      </c>
      <c r="W573" t="s">
        <v>43</v>
      </c>
      <c r="X573" t="s">
        <v>44</v>
      </c>
      <c r="Y573">
        <v>1</v>
      </c>
      <c r="Z573">
        <v>5</v>
      </c>
      <c r="AA573">
        <v>2</v>
      </c>
      <c r="AB573" t="s">
        <v>54</v>
      </c>
      <c r="AC573">
        <v>2</v>
      </c>
      <c r="AD573" t="str" cm="1">
        <f t="array" ref="AD573">_xlfn.IFS(AC573&lt;=5,"0-5",AC573&lt;=10,"5-10",AC573&lt;=40,"10-40")</f>
        <v>0-5</v>
      </c>
      <c r="AE573">
        <v>2</v>
      </c>
      <c r="AF573">
        <v>2</v>
      </c>
      <c r="AG573">
        <v>0</v>
      </c>
      <c r="AH573">
        <v>572</v>
      </c>
    </row>
    <row r="574" spans="1:34" x14ac:dyDescent="0.3">
      <c r="A574">
        <v>29</v>
      </c>
      <c r="B574" t="str" cm="1">
        <f t="array" ref="B574">_xlfn.IFS(A574&lt;=25,"18-25",A574&lt;=35,"26-35",A574&lt;=45,"36-45",A574&lt;=55,"46-55",A574&gt;55,"55+")</f>
        <v>26-35</v>
      </c>
      <c r="C574">
        <v>0</v>
      </c>
      <c r="D574" t="s">
        <v>32</v>
      </c>
      <c r="E574">
        <v>657</v>
      </c>
      <c r="F574" t="s">
        <v>48</v>
      </c>
      <c r="G574">
        <v>27</v>
      </c>
      <c r="H574" t="s">
        <v>61</v>
      </c>
      <c r="I574" t="s">
        <v>59</v>
      </c>
      <c r="J574" t="s">
        <v>36</v>
      </c>
      <c r="K574" t="s">
        <v>37</v>
      </c>
      <c r="L574">
        <v>66</v>
      </c>
      <c r="M574" t="s">
        <v>38</v>
      </c>
      <c r="N574" t="s">
        <v>39</v>
      </c>
      <c r="O574" t="s">
        <v>65</v>
      </c>
      <c r="P574" t="s">
        <v>38</v>
      </c>
      <c r="Q574" t="s">
        <v>52</v>
      </c>
      <c r="R574">
        <v>4335</v>
      </c>
      <c r="S574">
        <v>25549</v>
      </c>
      <c r="T574">
        <v>4</v>
      </c>
      <c r="U574" t="s">
        <v>46</v>
      </c>
      <c r="V574">
        <v>12</v>
      </c>
      <c r="W574" t="s">
        <v>43</v>
      </c>
      <c r="X574" t="s">
        <v>44</v>
      </c>
      <c r="Y574">
        <v>1</v>
      </c>
      <c r="Z574">
        <v>11</v>
      </c>
      <c r="AA574">
        <v>3</v>
      </c>
      <c r="AB574" t="s">
        <v>60</v>
      </c>
      <c r="AC574">
        <v>8</v>
      </c>
      <c r="AD574" t="str" cm="1">
        <f t="array" ref="AD574">_xlfn.IFS(AC574&lt;=5,"0-5",AC574&lt;=10,"5-10",AC574&lt;=40,"10-40")</f>
        <v>5-10</v>
      </c>
      <c r="AE574">
        <v>7</v>
      </c>
      <c r="AF574">
        <v>1</v>
      </c>
      <c r="AG574">
        <v>1</v>
      </c>
      <c r="AH574">
        <v>573</v>
      </c>
    </row>
    <row r="575" spans="1:34" x14ac:dyDescent="0.3">
      <c r="A575">
        <v>26</v>
      </c>
      <c r="B575" t="str" cm="1">
        <f t="array" ref="B575">_xlfn.IFS(A575&lt;=25,"18-25",A575&lt;=35,"26-35",A575&lt;=45,"36-45",A575&lt;=55,"46-55",A575&gt;55,"55+")</f>
        <v>26-35</v>
      </c>
      <c r="C575">
        <v>1</v>
      </c>
      <c r="D575" t="s">
        <v>32</v>
      </c>
      <c r="E575">
        <v>1146</v>
      </c>
      <c r="F575" t="s">
        <v>33</v>
      </c>
      <c r="G575">
        <v>8</v>
      </c>
      <c r="H575" t="s">
        <v>61</v>
      </c>
      <c r="I575" t="s">
        <v>74</v>
      </c>
      <c r="J575" t="s">
        <v>41</v>
      </c>
      <c r="K575" t="s">
        <v>50</v>
      </c>
      <c r="L575">
        <v>38</v>
      </c>
      <c r="M575" t="s">
        <v>36</v>
      </c>
      <c r="N575" t="s">
        <v>39</v>
      </c>
      <c r="O575" t="s">
        <v>40</v>
      </c>
      <c r="P575" t="s">
        <v>44</v>
      </c>
      <c r="Q575" t="s">
        <v>42</v>
      </c>
      <c r="R575">
        <v>5326</v>
      </c>
      <c r="S575">
        <v>3064</v>
      </c>
      <c r="T575">
        <v>6</v>
      </c>
      <c r="U575" t="s">
        <v>46</v>
      </c>
      <c r="V575">
        <v>17</v>
      </c>
      <c r="W575" t="s">
        <v>43</v>
      </c>
      <c r="X575" t="s">
        <v>38</v>
      </c>
      <c r="Y575">
        <v>0</v>
      </c>
      <c r="Z575">
        <v>6</v>
      </c>
      <c r="AA575">
        <v>2</v>
      </c>
      <c r="AB575" t="s">
        <v>60</v>
      </c>
      <c r="AC575">
        <v>4</v>
      </c>
      <c r="AD575" t="str" cm="1">
        <f t="array" ref="AD575">_xlfn.IFS(AC575&lt;=5,"0-5",AC575&lt;=10,"5-10",AC575&lt;=40,"10-40")</f>
        <v>0-5</v>
      </c>
      <c r="AE575">
        <v>3</v>
      </c>
      <c r="AF575">
        <v>1</v>
      </c>
      <c r="AG575">
        <v>2</v>
      </c>
      <c r="AH575">
        <v>574</v>
      </c>
    </row>
    <row r="576" spans="1:34" x14ac:dyDescent="0.3">
      <c r="A576">
        <v>34</v>
      </c>
      <c r="B576" t="str" cm="1">
        <f t="array" ref="B576">_xlfn.IFS(A576&lt;=25,"18-25",A576&lt;=35,"26-35",A576&lt;=45,"36-45",A576&lt;=55,"46-55",A576&gt;55,"55+")</f>
        <v>26-35</v>
      </c>
      <c r="C576">
        <v>0</v>
      </c>
      <c r="D576" t="s">
        <v>32</v>
      </c>
      <c r="E576">
        <v>182</v>
      </c>
      <c r="F576" t="s">
        <v>48</v>
      </c>
      <c r="G576">
        <v>1</v>
      </c>
      <c r="H576" t="s">
        <v>58</v>
      </c>
      <c r="I576" t="s">
        <v>35</v>
      </c>
      <c r="J576" t="s">
        <v>36</v>
      </c>
      <c r="K576" t="s">
        <v>37</v>
      </c>
      <c r="L576">
        <v>72</v>
      </c>
      <c r="M576" t="s">
        <v>41</v>
      </c>
      <c r="N576" t="s">
        <v>56</v>
      </c>
      <c r="O576" t="s">
        <v>51</v>
      </c>
      <c r="P576" t="s">
        <v>41</v>
      </c>
      <c r="Q576" t="s">
        <v>42</v>
      </c>
      <c r="R576">
        <v>3280</v>
      </c>
      <c r="S576">
        <v>13551</v>
      </c>
      <c r="T576">
        <v>2</v>
      </c>
      <c r="U576" t="s">
        <v>46</v>
      </c>
      <c r="V576">
        <v>16</v>
      </c>
      <c r="W576" t="s">
        <v>43</v>
      </c>
      <c r="X576" t="s">
        <v>38</v>
      </c>
      <c r="Y576">
        <v>0</v>
      </c>
      <c r="Z576">
        <v>10</v>
      </c>
      <c r="AA576">
        <v>2</v>
      </c>
      <c r="AB576" t="s">
        <v>54</v>
      </c>
      <c r="AC576">
        <v>4</v>
      </c>
      <c r="AD576" t="str" cm="1">
        <f t="array" ref="AD576">_xlfn.IFS(AC576&lt;=5,"0-5",AC576&lt;=10,"5-10",AC576&lt;=40,"10-40")</f>
        <v>0-5</v>
      </c>
      <c r="AE576">
        <v>2</v>
      </c>
      <c r="AF576">
        <v>1</v>
      </c>
      <c r="AG576">
        <v>3</v>
      </c>
      <c r="AH576">
        <v>575</v>
      </c>
    </row>
    <row r="577" spans="1:34" x14ac:dyDescent="0.3">
      <c r="A577">
        <v>54</v>
      </c>
      <c r="B577" t="str" cm="1">
        <f t="array" ref="B577">_xlfn.IFS(A577&lt;=25,"18-25",A577&lt;=35,"26-35",A577&lt;=45,"36-45",A577&lt;=55,"46-55",A577&gt;55,"55+")</f>
        <v>46-55</v>
      </c>
      <c r="C577">
        <v>0</v>
      </c>
      <c r="D577" t="s">
        <v>32</v>
      </c>
      <c r="E577">
        <v>376</v>
      </c>
      <c r="F577" t="s">
        <v>48</v>
      </c>
      <c r="G577">
        <v>19</v>
      </c>
      <c r="H577" t="s">
        <v>58</v>
      </c>
      <c r="I577" t="s">
        <v>59</v>
      </c>
      <c r="J577" t="s">
        <v>41</v>
      </c>
      <c r="K577" t="s">
        <v>37</v>
      </c>
      <c r="L577">
        <v>95</v>
      </c>
      <c r="M577" t="s">
        <v>38</v>
      </c>
      <c r="N577" t="s">
        <v>39</v>
      </c>
      <c r="O577" t="s">
        <v>64</v>
      </c>
      <c r="P577" t="s">
        <v>44</v>
      </c>
      <c r="Q577" t="s">
        <v>62</v>
      </c>
      <c r="R577">
        <v>5485</v>
      </c>
      <c r="S577">
        <v>22670</v>
      </c>
      <c r="T577">
        <v>9</v>
      </c>
      <c r="U577" t="s">
        <v>31</v>
      </c>
      <c r="V577">
        <v>11</v>
      </c>
      <c r="W577" t="s">
        <v>43</v>
      </c>
      <c r="X577" t="s">
        <v>36</v>
      </c>
      <c r="Y577">
        <v>2</v>
      </c>
      <c r="Z577">
        <v>9</v>
      </c>
      <c r="AA577">
        <v>4</v>
      </c>
      <c r="AB577" t="s">
        <v>54</v>
      </c>
      <c r="AC577">
        <v>5</v>
      </c>
      <c r="AD577" t="str" cm="1">
        <f t="array" ref="AD577">_xlfn.IFS(AC577&lt;=5,"0-5",AC577&lt;=10,"5-10",AC577&lt;=40,"10-40")</f>
        <v>0-5</v>
      </c>
      <c r="AE577">
        <v>3</v>
      </c>
      <c r="AF577">
        <v>1</v>
      </c>
      <c r="AG577">
        <v>4</v>
      </c>
      <c r="AH577">
        <v>576</v>
      </c>
    </row>
    <row r="578" spans="1:34" x14ac:dyDescent="0.3">
      <c r="A578">
        <v>27</v>
      </c>
      <c r="B578" t="str" cm="1">
        <f t="array" ref="B578">_xlfn.IFS(A578&lt;=25,"18-25",A578&lt;=35,"26-35",A578&lt;=45,"36-45",A578&lt;=55,"46-55",A578&gt;55,"55+")</f>
        <v>26-35</v>
      </c>
      <c r="C578">
        <v>0</v>
      </c>
      <c r="D578" t="s">
        <v>47</v>
      </c>
      <c r="E578">
        <v>829</v>
      </c>
      <c r="F578" t="s">
        <v>33</v>
      </c>
      <c r="G578">
        <v>8</v>
      </c>
      <c r="H578" t="s">
        <v>49</v>
      </c>
      <c r="I578" t="s">
        <v>72</v>
      </c>
      <c r="J578" t="s">
        <v>38</v>
      </c>
      <c r="K578" t="s">
        <v>50</v>
      </c>
      <c r="L578">
        <v>84</v>
      </c>
      <c r="M578" t="s">
        <v>38</v>
      </c>
      <c r="N578" t="s">
        <v>39</v>
      </c>
      <c r="O578" t="s">
        <v>40</v>
      </c>
      <c r="P578" t="s">
        <v>41</v>
      </c>
      <c r="Q578" t="s">
        <v>52</v>
      </c>
      <c r="R578">
        <v>4342</v>
      </c>
      <c r="S578">
        <v>24008</v>
      </c>
      <c r="T578">
        <v>0</v>
      </c>
      <c r="U578" t="s">
        <v>46</v>
      </c>
      <c r="V578">
        <v>19</v>
      </c>
      <c r="W578" t="s">
        <v>43</v>
      </c>
      <c r="X578" t="s">
        <v>36</v>
      </c>
      <c r="Y578">
        <v>1</v>
      </c>
      <c r="Z578">
        <v>5</v>
      </c>
      <c r="AA578">
        <v>3</v>
      </c>
      <c r="AB578" t="s">
        <v>54</v>
      </c>
      <c r="AC578">
        <v>4</v>
      </c>
      <c r="AD578" t="str" cm="1">
        <f t="array" ref="AD578">_xlfn.IFS(AC578&lt;=5,"0-5",AC578&lt;=10,"5-10",AC578&lt;=40,"10-40")</f>
        <v>0-5</v>
      </c>
      <c r="AE578">
        <v>2</v>
      </c>
      <c r="AF578">
        <v>1</v>
      </c>
      <c r="AG578">
        <v>1</v>
      </c>
      <c r="AH578">
        <v>577</v>
      </c>
    </row>
    <row r="579" spans="1:34" x14ac:dyDescent="0.3">
      <c r="A579">
        <v>37</v>
      </c>
      <c r="B579" t="str" cm="1">
        <f t="array" ref="B579">_xlfn.IFS(A579&lt;=25,"18-25",A579&lt;=35,"26-35",A579&lt;=45,"36-45",A579&lt;=55,"46-55",A579&gt;55,"55+")</f>
        <v>36-45</v>
      </c>
      <c r="C579">
        <v>0</v>
      </c>
      <c r="D579" t="s">
        <v>32</v>
      </c>
      <c r="E579">
        <v>571</v>
      </c>
      <c r="F579" t="s">
        <v>48</v>
      </c>
      <c r="G579">
        <v>10</v>
      </c>
      <c r="H579" t="s">
        <v>49</v>
      </c>
      <c r="I579" t="s">
        <v>35</v>
      </c>
      <c r="J579" t="s">
        <v>41</v>
      </c>
      <c r="K579" t="s">
        <v>37</v>
      </c>
      <c r="L579">
        <v>82</v>
      </c>
      <c r="M579" t="s">
        <v>38</v>
      </c>
      <c r="N579" t="s">
        <v>56</v>
      </c>
      <c r="O579" t="s">
        <v>51</v>
      </c>
      <c r="P579" t="s">
        <v>44</v>
      </c>
      <c r="Q579" t="s">
        <v>62</v>
      </c>
      <c r="R579">
        <v>2782</v>
      </c>
      <c r="S579">
        <v>19905</v>
      </c>
      <c r="T579">
        <v>0</v>
      </c>
      <c r="U579" t="s">
        <v>31</v>
      </c>
      <c r="V579">
        <v>13</v>
      </c>
      <c r="W579" t="s">
        <v>43</v>
      </c>
      <c r="X579" t="s">
        <v>36</v>
      </c>
      <c r="Y579">
        <v>2</v>
      </c>
      <c r="Z579">
        <v>6</v>
      </c>
      <c r="AA579">
        <v>3</v>
      </c>
      <c r="AB579" t="s">
        <v>60</v>
      </c>
      <c r="AC579">
        <v>5</v>
      </c>
      <c r="AD579" t="str" cm="1">
        <f t="array" ref="AD579">_xlfn.IFS(AC579&lt;=5,"0-5",AC579&lt;=10,"5-10",AC579&lt;=40,"10-40")</f>
        <v>0-5</v>
      </c>
      <c r="AE579">
        <v>3</v>
      </c>
      <c r="AF579">
        <v>4</v>
      </c>
      <c r="AG579">
        <v>3</v>
      </c>
      <c r="AH579">
        <v>578</v>
      </c>
    </row>
    <row r="580" spans="1:34" x14ac:dyDescent="0.3">
      <c r="A580">
        <v>38</v>
      </c>
      <c r="B580" t="str" cm="1">
        <f t="array" ref="B580">_xlfn.IFS(A580&lt;=25,"18-25",A580&lt;=35,"26-35",A580&lt;=45,"36-45",A580&lt;=55,"46-55",A580&gt;55,"55+")</f>
        <v>36-45</v>
      </c>
      <c r="C580">
        <v>0</v>
      </c>
      <c r="D580" t="s">
        <v>47</v>
      </c>
      <c r="E580">
        <v>240</v>
      </c>
      <c r="F580" t="s">
        <v>48</v>
      </c>
      <c r="G580">
        <v>2</v>
      </c>
      <c r="H580" t="s">
        <v>58</v>
      </c>
      <c r="I580" t="s">
        <v>35</v>
      </c>
      <c r="J580" t="s">
        <v>44</v>
      </c>
      <c r="K580" t="s">
        <v>37</v>
      </c>
      <c r="L580">
        <v>75</v>
      </c>
      <c r="M580" t="s">
        <v>41</v>
      </c>
      <c r="N580" t="s">
        <v>39</v>
      </c>
      <c r="O580" t="s">
        <v>64</v>
      </c>
      <c r="P580" t="s">
        <v>44</v>
      </c>
      <c r="Q580" t="s">
        <v>42</v>
      </c>
      <c r="R580">
        <v>5980</v>
      </c>
      <c r="S580">
        <v>26085</v>
      </c>
      <c r="T580">
        <v>6</v>
      </c>
      <c r="U580" t="s">
        <v>31</v>
      </c>
      <c r="V580">
        <v>12</v>
      </c>
      <c r="W580" t="s">
        <v>43</v>
      </c>
      <c r="X580" t="s">
        <v>41</v>
      </c>
      <c r="Y580">
        <v>0</v>
      </c>
      <c r="Z580">
        <v>17</v>
      </c>
      <c r="AA580">
        <v>2</v>
      </c>
      <c r="AB580" t="s">
        <v>54</v>
      </c>
      <c r="AC580">
        <v>15</v>
      </c>
      <c r="AD580" t="str" cm="1">
        <f t="array" ref="AD580">_xlfn.IFS(AC580&lt;=5,"0-5",AC580&lt;=10,"5-10",AC580&lt;=40,"10-40")</f>
        <v>10-40</v>
      </c>
      <c r="AE580">
        <v>7</v>
      </c>
      <c r="AF580">
        <v>4</v>
      </c>
      <c r="AG580">
        <v>12</v>
      </c>
      <c r="AH580">
        <v>579</v>
      </c>
    </row>
    <row r="581" spans="1:34" x14ac:dyDescent="0.3">
      <c r="A581">
        <v>34</v>
      </c>
      <c r="B581" t="str" cm="1">
        <f t="array" ref="B581">_xlfn.IFS(A581&lt;=25,"18-25",A581&lt;=35,"26-35",A581&lt;=45,"36-45",A581&lt;=55,"46-55",A581&gt;55,"55+")</f>
        <v>26-35</v>
      </c>
      <c r="C581">
        <v>0</v>
      </c>
      <c r="D581" t="s">
        <v>32</v>
      </c>
      <c r="E581">
        <v>121</v>
      </c>
      <c r="F581" t="s">
        <v>48</v>
      </c>
      <c r="G581">
        <v>2</v>
      </c>
      <c r="H581" t="s">
        <v>58</v>
      </c>
      <c r="I581" t="s">
        <v>59</v>
      </c>
      <c r="J581" t="s">
        <v>38</v>
      </c>
      <c r="K581" t="s">
        <v>37</v>
      </c>
      <c r="L581">
        <v>86</v>
      </c>
      <c r="M581" t="s">
        <v>36</v>
      </c>
      <c r="N581" t="s">
        <v>56</v>
      </c>
      <c r="O581" t="s">
        <v>51</v>
      </c>
      <c r="P581" t="s">
        <v>44</v>
      </c>
      <c r="Q581" t="s">
        <v>42</v>
      </c>
      <c r="R581">
        <v>4381</v>
      </c>
      <c r="S581">
        <v>7530</v>
      </c>
      <c r="T581">
        <v>1</v>
      </c>
      <c r="U581" t="s">
        <v>46</v>
      </c>
      <c r="V581">
        <v>11</v>
      </c>
      <c r="W581" t="s">
        <v>43</v>
      </c>
      <c r="X581" t="s">
        <v>38</v>
      </c>
      <c r="Y581">
        <v>0</v>
      </c>
      <c r="Z581">
        <v>6</v>
      </c>
      <c r="AA581">
        <v>3</v>
      </c>
      <c r="AB581" t="s">
        <v>54</v>
      </c>
      <c r="AC581">
        <v>6</v>
      </c>
      <c r="AD581" t="str" cm="1">
        <f t="array" ref="AD581">_xlfn.IFS(AC581&lt;=5,"0-5",AC581&lt;=10,"5-10",AC581&lt;=40,"10-40")</f>
        <v>5-10</v>
      </c>
      <c r="AE581">
        <v>5</v>
      </c>
      <c r="AF581">
        <v>1</v>
      </c>
      <c r="AG581">
        <v>3</v>
      </c>
      <c r="AH581">
        <v>580</v>
      </c>
    </row>
    <row r="582" spans="1:34" x14ac:dyDescent="0.3">
      <c r="A582">
        <v>35</v>
      </c>
      <c r="B582" t="str" cm="1">
        <f t="array" ref="B582">_xlfn.IFS(A582&lt;=25,"18-25",A582&lt;=35,"26-35",A582&lt;=45,"36-45",A582&lt;=55,"46-55",A582&gt;55,"55+")</f>
        <v>26-35</v>
      </c>
      <c r="C582">
        <v>0</v>
      </c>
      <c r="D582" t="s">
        <v>32</v>
      </c>
      <c r="E582">
        <v>384</v>
      </c>
      <c r="F582" t="s">
        <v>33</v>
      </c>
      <c r="G582">
        <v>8</v>
      </c>
      <c r="H582" t="s">
        <v>58</v>
      </c>
      <c r="I582" t="s">
        <v>35</v>
      </c>
      <c r="J582" t="s">
        <v>44</v>
      </c>
      <c r="K582" t="s">
        <v>37</v>
      </c>
      <c r="L582">
        <v>72</v>
      </c>
      <c r="M582" t="s">
        <v>38</v>
      </c>
      <c r="N582" t="s">
        <v>56</v>
      </c>
      <c r="O582" t="s">
        <v>69</v>
      </c>
      <c r="P582" t="s">
        <v>41</v>
      </c>
      <c r="Q582" t="s">
        <v>52</v>
      </c>
      <c r="R582">
        <v>2572</v>
      </c>
      <c r="S582">
        <v>20317</v>
      </c>
      <c r="T582">
        <v>1</v>
      </c>
      <c r="U582" t="s">
        <v>46</v>
      </c>
      <c r="V582">
        <v>16</v>
      </c>
      <c r="W582" t="s">
        <v>43</v>
      </c>
      <c r="X582" t="s">
        <v>36</v>
      </c>
      <c r="Y582">
        <v>1</v>
      </c>
      <c r="Z582">
        <v>3</v>
      </c>
      <c r="AA582">
        <v>1</v>
      </c>
      <c r="AB582" t="s">
        <v>60</v>
      </c>
      <c r="AC582">
        <v>3</v>
      </c>
      <c r="AD582" t="str" cm="1">
        <f t="array" ref="AD582">_xlfn.IFS(AC582&lt;=5,"0-5",AC582&lt;=10,"5-10",AC582&lt;=40,"10-40")</f>
        <v>0-5</v>
      </c>
      <c r="AE582">
        <v>2</v>
      </c>
      <c r="AF582">
        <v>0</v>
      </c>
      <c r="AG582">
        <v>2</v>
      </c>
      <c r="AH582">
        <v>581</v>
      </c>
    </row>
    <row r="583" spans="1:34" x14ac:dyDescent="0.3">
      <c r="A583">
        <v>30</v>
      </c>
      <c r="B583" t="str" cm="1">
        <f t="array" ref="B583">_xlfn.IFS(A583&lt;=25,"18-25",A583&lt;=35,"26-35",A583&lt;=45,"36-45",A583&lt;=55,"46-55",A583&gt;55,"55+")</f>
        <v>26-35</v>
      </c>
      <c r="C583">
        <v>0</v>
      </c>
      <c r="D583" t="s">
        <v>32</v>
      </c>
      <c r="E583">
        <v>921</v>
      </c>
      <c r="F583" t="s">
        <v>48</v>
      </c>
      <c r="G583">
        <v>1</v>
      </c>
      <c r="H583" t="s">
        <v>61</v>
      </c>
      <c r="I583" t="s">
        <v>35</v>
      </c>
      <c r="J583" t="s">
        <v>41</v>
      </c>
      <c r="K583" t="s">
        <v>50</v>
      </c>
      <c r="L583">
        <v>38</v>
      </c>
      <c r="M583" t="s">
        <v>44</v>
      </c>
      <c r="N583" t="s">
        <v>56</v>
      </c>
      <c r="O583" t="s">
        <v>57</v>
      </c>
      <c r="P583" t="s">
        <v>38</v>
      </c>
      <c r="Q583" t="s">
        <v>52</v>
      </c>
      <c r="R583">
        <v>3833</v>
      </c>
      <c r="S583">
        <v>24375</v>
      </c>
      <c r="T583">
        <v>3</v>
      </c>
      <c r="U583" t="s">
        <v>46</v>
      </c>
      <c r="V583">
        <v>21</v>
      </c>
      <c r="W583" t="s">
        <v>53</v>
      </c>
      <c r="X583" t="s">
        <v>38</v>
      </c>
      <c r="Y583">
        <v>2</v>
      </c>
      <c r="Z583">
        <v>7</v>
      </c>
      <c r="AA583">
        <v>2</v>
      </c>
      <c r="AB583" t="s">
        <v>54</v>
      </c>
      <c r="AC583">
        <v>2</v>
      </c>
      <c r="AD583" t="str" cm="1">
        <f t="array" ref="AD583">_xlfn.IFS(AC583&lt;=5,"0-5",AC583&lt;=10,"5-10",AC583&lt;=40,"10-40")</f>
        <v>0-5</v>
      </c>
      <c r="AE583">
        <v>2</v>
      </c>
      <c r="AF583">
        <v>0</v>
      </c>
      <c r="AG583">
        <v>2</v>
      </c>
      <c r="AH583">
        <v>582</v>
      </c>
    </row>
    <row r="584" spans="1:34" x14ac:dyDescent="0.3">
      <c r="A584">
        <v>40</v>
      </c>
      <c r="B584" t="str" cm="1">
        <f t="array" ref="B584">_xlfn.IFS(A584&lt;=25,"18-25",A584&lt;=35,"26-35",A584&lt;=45,"36-45",A584&lt;=55,"46-55",A584&gt;55,"55+")</f>
        <v>36-45</v>
      </c>
      <c r="C584">
        <v>0</v>
      </c>
      <c r="D584" t="s">
        <v>47</v>
      </c>
      <c r="E584">
        <v>791</v>
      </c>
      <c r="F584" t="s">
        <v>48</v>
      </c>
      <c r="G584">
        <v>2</v>
      </c>
      <c r="H584" t="s">
        <v>34</v>
      </c>
      <c r="I584" t="s">
        <v>59</v>
      </c>
      <c r="J584" t="s">
        <v>38</v>
      </c>
      <c r="K584" t="s">
        <v>37</v>
      </c>
      <c r="L584">
        <v>38</v>
      </c>
      <c r="M584" t="s">
        <v>41</v>
      </c>
      <c r="N584" t="s">
        <v>39</v>
      </c>
      <c r="O584" t="s">
        <v>65</v>
      </c>
      <c r="P584" t="s">
        <v>36</v>
      </c>
      <c r="Q584" t="s">
        <v>52</v>
      </c>
      <c r="R584">
        <v>4244</v>
      </c>
      <c r="S584">
        <v>9931</v>
      </c>
      <c r="T584">
        <v>1</v>
      </c>
      <c r="U584" t="s">
        <v>46</v>
      </c>
      <c r="V584">
        <v>24</v>
      </c>
      <c r="W584" t="s">
        <v>53</v>
      </c>
      <c r="X584" t="s">
        <v>41</v>
      </c>
      <c r="Y584">
        <v>1</v>
      </c>
      <c r="Z584">
        <v>8</v>
      </c>
      <c r="AA584">
        <v>2</v>
      </c>
      <c r="AB584" t="s">
        <v>54</v>
      </c>
      <c r="AC584">
        <v>8</v>
      </c>
      <c r="AD584" t="str" cm="1">
        <f t="array" ref="AD584">_xlfn.IFS(AC584&lt;=5,"0-5",AC584&lt;=10,"5-10",AC584&lt;=40,"10-40")</f>
        <v>5-10</v>
      </c>
      <c r="AE584">
        <v>7</v>
      </c>
      <c r="AF584">
        <v>3</v>
      </c>
      <c r="AG584">
        <v>7</v>
      </c>
      <c r="AH584">
        <v>583</v>
      </c>
    </row>
    <row r="585" spans="1:34" x14ac:dyDescent="0.3">
      <c r="A585">
        <v>34</v>
      </c>
      <c r="B585" t="str" cm="1">
        <f t="array" ref="B585">_xlfn.IFS(A585&lt;=25,"18-25",A585&lt;=35,"26-35",A585&lt;=45,"36-45",A585&lt;=55,"46-55",A585&gt;55,"55+")</f>
        <v>26-35</v>
      </c>
      <c r="C585">
        <v>0</v>
      </c>
      <c r="D585" t="s">
        <v>32</v>
      </c>
      <c r="E585">
        <v>1111</v>
      </c>
      <c r="F585" t="s">
        <v>33</v>
      </c>
      <c r="G585">
        <v>8</v>
      </c>
      <c r="H585" t="s">
        <v>34</v>
      </c>
      <c r="I585" t="s">
        <v>35</v>
      </c>
      <c r="J585" t="s">
        <v>38</v>
      </c>
      <c r="K585" t="s">
        <v>37</v>
      </c>
      <c r="L585">
        <v>93</v>
      </c>
      <c r="M585" t="s">
        <v>38</v>
      </c>
      <c r="N585" t="s">
        <v>39</v>
      </c>
      <c r="O585" t="s">
        <v>40</v>
      </c>
      <c r="P585" t="s">
        <v>44</v>
      </c>
      <c r="Q585" t="s">
        <v>52</v>
      </c>
      <c r="R585">
        <v>6500</v>
      </c>
      <c r="S585">
        <v>13305</v>
      </c>
      <c r="T585">
        <v>5</v>
      </c>
      <c r="U585" t="s">
        <v>46</v>
      </c>
      <c r="V585">
        <v>17</v>
      </c>
      <c r="W585" t="s">
        <v>43</v>
      </c>
      <c r="X585" t="s">
        <v>36</v>
      </c>
      <c r="Y585">
        <v>1</v>
      </c>
      <c r="Z585">
        <v>6</v>
      </c>
      <c r="AA585">
        <v>1</v>
      </c>
      <c r="AB585" t="s">
        <v>54</v>
      </c>
      <c r="AC585">
        <v>3</v>
      </c>
      <c r="AD585" t="str" cm="1">
        <f t="array" ref="AD585">_xlfn.IFS(AC585&lt;=5,"0-5",AC585&lt;=10,"5-10",AC585&lt;=40,"10-40")</f>
        <v>0-5</v>
      </c>
      <c r="AE585">
        <v>2</v>
      </c>
      <c r="AF585">
        <v>1</v>
      </c>
      <c r="AG585">
        <v>2</v>
      </c>
      <c r="AH585">
        <v>584</v>
      </c>
    </row>
    <row r="586" spans="1:34" x14ac:dyDescent="0.3">
      <c r="A586">
        <v>42</v>
      </c>
      <c r="B586" t="str" cm="1">
        <f t="array" ref="B586">_xlfn.IFS(A586&lt;=25,"18-25",A586&lt;=35,"26-35",A586&lt;=45,"36-45",A586&lt;=55,"46-55",A586&gt;55,"55+")</f>
        <v>36-45</v>
      </c>
      <c r="C586">
        <v>0</v>
      </c>
      <c r="D586" t="s">
        <v>47</v>
      </c>
      <c r="E586">
        <v>570</v>
      </c>
      <c r="F586" t="s">
        <v>48</v>
      </c>
      <c r="G586">
        <v>8</v>
      </c>
      <c r="H586" t="s">
        <v>61</v>
      </c>
      <c r="I586" t="s">
        <v>35</v>
      </c>
      <c r="J586" t="s">
        <v>36</v>
      </c>
      <c r="K586" t="s">
        <v>50</v>
      </c>
      <c r="L586">
        <v>66</v>
      </c>
      <c r="M586" t="s">
        <v>38</v>
      </c>
      <c r="N586" t="s">
        <v>71</v>
      </c>
      <c r="O586" t="s">
        <v>68</v>
      </c>
      <c r="P586" t="s">
        <v>41</v>
      </c>
      <c r="Q586" t="s">
        <v>62</v>
      </c>
      <c r="R586">
        <v>18430</v>
      </c>
      <c r="S586">
        <v>16225</v>
      </c>
      <c r="T586">
        <v>1</v>
      </c>
      <c r="U586" t="s">
        <v>46</v>
      </c>
      <c r="V586">
        <v>13</v>
      </c>
      <c r="W586" t="s">
        <v>43</v>
      </c>
      <c r="X586" t="s">
        <v>36</v>
      </c>
      <c r="Y586">
        <v>1</v>
      </c>
      <c r="Z586">
        <v>24</v>
      </c>
      <c r="AA586">
        <v>4</v>
      </c>
      <c r="AB586" t="s">
        <v>60</v>
      </c>
      <c r="AC586">
        <v>24</v>
      </c>
      <c r="AD586" t="str" cm="1">
        <f t="array" ref="AD586">_xlfn.IFS(AC586&lt;=5,"0-5",AC586&lt;=10,"5-10",AC586&lt;=40,"10-40")</f>
        <v>10-40</v>
      </c>
      <c r="AE586">
        <v>7</v>
      </c>
      <c r="AF586">
        <v>14</v>
      </c>
      <c r="AG586">
        <v>9</v>
      </c>
      <c r="AH586">
        <v>585</v>
      </c>
    </row>
    <row r="587" spans="1:34" x14ac:dyDescent="0.3">
      <c r="A587">
        <v>23</v>
      </c>
      <c r="B587" t="str" cm="1">
        <f t="array" ref="B587">_xlfn.IFS(A587&lt;=25,"18-25",A587&lt;=35,"26-35",A587&lt;=45,"36-45",A587&lt;=55,"46-55",A587&gt;55,"55+")</f>
        <v>18-25</v>
      </c>
      <c r="C587">
        <v>1</v>
      </c>
      <c r="D587" t="s">
        <v>32</v>
      </c>
      <c r="E587">
        <v>1243</v>
      </c>
      <c r="F587" t="s">
        <v>48</v>
      </c>
      <c r="G587">
        <v>6</v>
      </c>
      <c r="H587" t="s">
        <v>61</v>
      </c>
      <c r="I587" t="s">
        <v>35</v>
      </c>
      <c r="J587" t="s">
        <v>38</v>
      </c>
      <c r="K587" t="s">
        <v>50</v>
      </c>
      <c r="L587">
        <v>63</v>
      </c>
      <c r="M587" t="s">
        <v>41</v>
      </c>
      <c r="N587" t="s">
        <v>56</v>
      </c>
      <c r="O587" t="s">
        <v>57</v>
      </c>
      <c r="P587" t="s">
        <v>44</v>
      </c>
      <c r="Q587" t="s">
        <v>52</v>
      </c>
      <c r="R587">
        <v>1601</v>
      </c>
      <c r="S587">
        <v>3445</v>
      </c>
      <c r="T587">
        <v>1</v>
      </c>
      <c r="U587" t="s">
        <v>31</v>
      </c>
      <c r="V587">
        <v>21</v>
      </c>
      <c r="W587" t="s">
        <v>53</v>
      </c>
      <c r="X587" t="s">
        <v>38</v>
      </c>
      <c r="Y587">
        <v>2</v>
      </c>
      <c r="Z587">
        <v>1</v>
      </c>
      <c r="AA587">
        <v>2</v>
      </c>
      <c r="AB587" t="s">
        <v>54</v>
      </c>
      <c r="AC587">
        <v>0</v>
      </c>
      <c r="AD587" t="str" cm="1">
        <f t="array" ref="AD587">_xlfn.IFS(AC587&lt;=5,"0-5",AC587&lt;=10,"5-10",AC587&lt;=40,"10-40")</f>
        <v>0-5</v>
      </c>
      <c r="AE587">
        <v>0</v>
      </c>
      <c r="AF587">
        <v>0</v>
      </c>
      <c r="AG587">
        <v>0</v>
      </c>
      <c r="AH587">
        <v>586</v>
      </c>
    </row>
    <row r="588" spans="1:34" x14ac:dyDescent="0.3">
      <c r="A588">
        <v>24</v>
      </c>
      <c r="B588" t="str" cm="1">
        <f t="array" ref="B588">_xlfn.IFS(A588&lt;=25,"18-25",A588&lt;=35,"26-35",A588&lt;=45,"36-45",A588&lt;=55,"46-55",A588&gt;55,"55+")</f>
        <v>18-25</v>
      </c>
      <c r="C588">
        <v>0</v>
      </c>
      <c r="D588" t="s">
        <v>66</v>
      </c>
      <c r="E588">
        <v>1092</v>
      </c>
      <c r="F588" t="s">
        <v>48</v>
      </c>
      <c r="G588">
        <v>9</v>
      </c>
      <c r="H588" t="s">
        <v>61</v>
      </c>
      <c r="I588" t="s">
        <v>35</v>
      </c>
      <c r="J588" t="s">
        <v>38</v>
      </c>
      <c r="K588" t="s">
        <v>50</v>
      </c>
      <c r="L588">
        <v>60</v>
      </c>
      <c r="M588" t="s">
        <v>36</v>
      </c>
      <c r="N588" t="s">
        <v>56</v>
      </c>
      <c r="O588" t="s">
        <v>57</v>
      </c>
      <c r="P588" t="s">
        <v>36</v>
      </c>
      <c r="Q588" t="s">
        <v>62</v>
      </c>
      <c r="R588">
        <v>2694</v>
      </c>
      <c r="S588">
        <v>26551</v>
      </c>
      <c r="T588">
        <v>1</v>
      </c>
      <c r="U588" t="s">
        <v>46</v>
      </c>
      <c r="V588">
        <v>11</v>
      </c>
      <c r="W588" t="s">
        <v>43</v>
      </c>
      <c r="X588" t="s">
        <v>38</v>
      </c>
      <c r="Y588">
        <v>3</v>
      </c>
      <c r="Z588">
        <v>1</v>
      </c>
      <c r="AA588">
        <v>4</v>
      </c>
      <c r="AB588" t="s">
        <v>54</v>
      </c>
      <c r="AC588">
        <v>1</v>
      </c>
      <c r="AD588" t="str" cm="1">
        <f t="array" ref="AD588">_xlfn.IFS(AC588&lt;=5,"0-5",AC588&lt;=10,"5-10",AC588&lt;=40,"10-40")</f>
        <v>0-5</v>
      </c>
      <c r="AE588">
        <v>0</v>
      </c>
      <c r="AF588">
        <v>0</v>
      </c>
      <c r="AG588">
        <v>0</v>
      </c>
      <c r="AH588">
        <v>587</v>
      </c>
    </row>
    <row r="589" spans="1:34" x14ac:dyDescent="0.3">
      <c r="A589">
        <v>52</v>
      </c>
      <c r="B589" t="str" cm="1">
        <f t="array" ref="B589">_xlfn.IFS(A589&lt;=25,"18-25",A589&lt;=35,"26-35",A589&lt;=45,"36-45",A589&lt;=55,"46-55",A589&gt;55,"55+")</f>
        <v>46-55</v>
      </c>
      <c r="C589">
        <v>0</v>
      </c>
      <c r="D589" t="s">
        <v>32</v>
      </c>
      <c r="E589">
        <v>1325</v>
      </c>
      <c r="F589" t="s">
        <v>48</v>
      </c>
      <c r="G589">
        <v>11</v>
      </c>
      <c r="H589" t="s">
        <v>58</v>
      </c>
      <c r="I589" t="s">
        <v>35</v>
      </c>
      <c r="J589" t="s">
        <v>41</v>
      </c>
      <c r="K589" t="s">
        <v>37</v>
      </c>
      <c r="L589">
        <v>82</v>
      </c>
      <c r="M589" t="s">
        <v>38</v>
      </c>
      <c r="N589" t="s">
        <v>39</v>
      </c>
      <c r="O589" t="s">
        <v>57</v>
      </c>
      <c r="P589" t="s">
        <v>38</v>
      </c>
      <c r="Q589" t="s">
        <v>52</v>
      </c>
      <c r="R589">
        <v>3149</v>
      </c>
      <c r="S589">
        <v>21821</v>
      </c>
      <c r="T589">
        <v>8</v>
      </c>
      <c r="U589" t="s">
        <v>46</v>
      </c>
      <c r="V589">
        <v>20</v>
      </c>
      <c r="W589" t="s">
        <v>53</v>
      </c>
      <c r="X589" t="s">
        <v>36</v>
      </c>
      <c r="Y589">
        <v>1</v>
      </c>
      <c r="Z589">
        <v>9</v>
      </c>
      <c r="AA589">
        <v>3</v>
      </c>
      <c r="AB589" t="s">
        <v>54</v>
      </c>
      <c r="AC589">
        <v>5</v>
      </c>
      <c r="AD589" t="str" cm="1">
        <f t="array" ref="AD589">_xlfn.IFS(AC589&lt;=5,"0-5",AC589&lt;=10,"5-10",AC589&lt;=40,"10-40")</f>
        <v>0-5</v>
      </c>
      <c r="AE589">
        <v>2</v>
      </c>
      <c r="AF589">
        <v>1</v>
      </c>
      <c r="AG589">
        <v>4</v>
      </c>
      <c r="AH589">
        <v>588</v>
      </c>
    </row>
    <row r="590" spans="1:34" x14ac:dyDescent="0.3">
      <c r="A590">
        <v>50</v>
      </c>
      <c r="B590" t="str" cm="1">
        <f t="array" ref="B590">_xlfn.IFS(A590&lt;=25,"18-25",A590&lt;=35,"26-35",A590&lt;=45,"36-45",A590&lt;=55,"46-55",A590&gt;55,"55+")</f>
        <v>46-55</v>
      </c>
      <c r="C590">
        <v>0</v>
      </c>
      <c r="D590" t="s">
        <v>32</v>
      </c>
      <c r="E590">
        <v>691</v>
      </c>
      <c r="F590" t="s">
        <v>48</v>
      </c>
      <c r="G590">
        <v>2</v>
      </c>
      <c r="H590" t="s">
        <v>61</v>
      </c>
      <c r="I590" t="s">
        <v>59</v>
      </c>
      <c r="J590" t="s">
        <v>38</v>
      </c>
      <c r="K590" t="s">
        <v>50</v>
      </c>
      <c r="L590">
        <v>64</v>
      </c>
      <c r="M590" t="s">
        <v>38</v>
      </c>
      <c r="N590" t="s">
        <v>67</v>
      </c>
      <c r="O590" t="s">
        <v>70</v>
      </c>
      <c r="P590" t="s">
        <v>38</v>
      </c>
      <c r="Q590" t="s">
        <v>52</v>
      </c>
      <c r="R590">
        <v>17639</v>
      </c>
      <c r="S590">
        <v>6881</v>
      </c>
      <c r="T590">
        <v>5</v>
      </c>
      <c r="U590" t="s">
        <v>46</v>
      </c>
      <c r="V590">
        <v>16</v>
      </c>
      <c r="W590" t="s">
        <v>43</v>
      </c>
      <c r="X590" t="s">
        <v>41</v>
      </c>
      <c r="Y590">
        <v>0</v>
      </c>
      <c r="Z590">
        <v>30</v>
      </c>
      <c r="AA590">
        <v>3</v>
      </c>
      <c r="AB590" t="s">
        <v>54</v>
      </c>
      <c r="AC590">
        <v>4</v>
      </c>
      <c r="AD590" t="str" cm="1">
        <f t="array" ref="AD590">_xlfn.IFS(AC590&lt;=5,"0-5",AC590&lt;=10,"5-10",AC590&lt;=40,"10-40")</f>
        <v>0-5</v>
      </c>
      <c r="AE590">
        <v>3</v>
      </c>
      <c r="AF590">
        <v>0</v>
      </c>
      <c r="AG590">
        <v>3</v>
      </c>
      <c r="AH590">
        <v>589</v>
      </c>
    </row>
    <row r="591" spans="1:34" x14ac:dyDescent="0.3">
      <c r="A591">
        <v>29</v>
      </c>
      <c r="B591" t="str" cm="1">
        <f t="array" ref="B591">_xlfn.IFS(A591&lt;=25,"18-25",A591&lt;=35,"26-35",A591&lt;=45,"36-45",A591&lt;=55,"46-55",A591&gt;55,"55+")</f>
        <v>26-35</v>
      </c>
      <c r="C591">
        <v>1</v>
      </c>
      <c r="D591" t="s">
        <v>32</v>
      </c>
      <c r="E591">
        <v>805</v>
      </c>
      <c r="F591" t="s">
        <v>48</v>
      </c>
      <c r="G591">
        <v>1</v>
      </c>
      <c r="H591" t="s">
        <v>34</v>
      </c>
      <c r="I591" t="s">
        <v>35</v>
      </c>
      <c r="J591" t="s">
        <v>36</v>
      </c>
      <c r="K591" t="s">
        <v>37</v>
      </c>
      <c r="L591">
        <v>36</v>
      </c>
      <c r="M591" t="s">
        <v>36</v>
      </c>
      <c r="N591" t="s">
        <v>56</v>
      </c>
      <c r="O591" t="s">
        <v>57</v>
      </c>
      <c r="P591" t="s">
        <v>44</v>
      </c>
      <c r="Q591" t="s">
        <v>52</v>
      </c>
      <c r="R591">
        <v>2319</v>
      </c>
      <c r="S591">
        <v>6689</v>
      </c>
      <c r="T591">
        <v>1</v>
      </c>
      <c r="U591" t="s">
        <v>31</v>
      </c>
      <c r="V591">
        <v>11</v>
      </c>
      <c r="W591" t="s">
        <v>43</v>
      </c>
      <c r="X591" t="s">
        <v>41</v>
      </c>
      <c r="Y591">
        <v>1</v>
      </c>
      <c r="Z591">
        <v>1</v>
      </c>
      <c r="AA591">
        <v>1</v>
      </c>
      <c r="AB591" t="s">
        <v>54</v>
      </c>
      <c r="AC591">
        <v>1</v>
      </c>
      <c r="AD591" t="str" cm="1">
        <f t="array" ref="AD591">_xlfn.IFS(AC591&lt;=5,"0-5",AC591&lt;=10,"5-10",AC591&lt;=40,"10-40")</f>
        <v>0-5</v>
      </c>
      <c r="AE591">
        <v>0</v>
      </c>
      <c r="AF591">
        <v>0</v>
      </c>
      <c r="AG591">
        <v>0</v>
      </c>
      <c r="AH591">
        <v>590</v>
      </c>
    </row>
    <row r="592" spans="1:34" x14ac:dyDescent="0.3">
      <c r="A592">
        <v>33</v>
      </c>
      <c r="B592" t="str" cm="1">
        <f t="array" ref="B592">_xlfn.IFS(A592&lt;=25,"18-25",A592&lt;=35,"26-35",A592&lt;=45,"36-45",A592&lt;=55,"46-55",A592&gt;55,"55+")</f>
        <v>26-35</v>
      </c>
      <c r="C592">
        <v>0</v>
      </c>
      <c r="D592" t="s">
        <v>32</v>
      </c>
      <c r="E592">
        <v>213</v>
      </c>
      <c r="F592" t="s">
        <v>48</v>
      </c>
      <c r="G592">
        <v>7</v>
      </c>
      <c r="H592" t="s">
        <v>61</v>
      </c>
      <c r="I592" t="s">
        <v>59</v>
      </c>
      <c r="J592" t="s">
        <v>38</v>
      </c>
      <c r="K592" t="s">
        <v>50</v>
      </c>
      <c r="L592">
        <v>49</v>
      </c>
      <c r="M592" t="s">
        <v>38</v>
      </c>
      <c r="N592" t="s">
        <v>63</v>
      </c>
      <c r="O592" t="s">
        <v>70</v>
      </c>
      <c r="P592" t="s">
        <v>38</v>
      </c>
      <c r="Q592" t="s">
        <v>52</v>
      </c>
      <c r="R592">
        <v>11691</v>
      </c>
      <c r="S592">
        <v>25995</v>
      </c>
      <c r="T592">
        <v>0</v>
      </c>
      <c r="U592" t="s">
        <v>46</v>
      </c>
      <c r="V592">
        <v>11</v>
      </c>
      <c r="W592" t="s">
        <v>43</v>
      </c>
      <c r="X592" t="s">
        <v>41</v>
      </c>
      <c r="Y592">
        <v>0</v>
      </c>
      <c r="Z592">
        <v>14</v>
      </c>
      <c r="AA592">
        <v>3</v>
      </c>
      <c r="AB592" t="s">
        <v>73</v>
      </c>
      <c r="AC592">
        <v>13</v>
      </c>
      <c r="AD592" t="str" cm="1">
        <f t="array" ref="AD592">_xlfn.IFS(AC592&lt;=5,"0-5",AC592&lt;=10,"5-10",AC592&lt;=40,"10-40")</f>
        <v>10-40</v>
      </c>
      <c r="AE592">
        <v>9</v>
      </c>
      <c r="AF592">
        <v>3</v>
      </c>
      <c r="AG592">
        <v>7</v>
      </c>
      <c r="AH592">
        <v>591</v>
      </c>
    </row>
    <row r="593" spans="1:34" x14ac:dyDescent="0.3">
      <c r="A593">
        <v>33</v>
      </c>
      <c r="B593" t="str" cm="1">
        <f t="array" ref="B593">_xlfn.IFS(A593&lt;=25,"18-25",A593&lt;=35,"26-35",A593&lt;=45,"36-45",A593&lt;=55,"46-55",A593&gt;55,"55+")</f>
        <v>26-35</v>
      </c>
      <c r="C593">
        <v>1</v>
      </c>
      <c r="D593" t="s">
        <v>32</v>
      </c>
      <c r="E593">
        <v>118</v>
      </c>
      <c r="F593" t="s">
        <v>33</v>
      </c>
      <c r="G593">
        <v>16</v>
      </c>
      <c r="H593" t="s">
        <v>61</v>
      </c>
      <c r="I593" t="s">
        <v>72</v>
      </c>
      <c r="J593" t="s">
        <v>44</v>
      </c>
      <c r="K593" t="s">
        <v>37</v>
      </c>
      <c r="L593">
        <v>69</v>
      </c>
      <c r="M593" t="s">
        <v>38</v>
      </c>
      <c r="N593" t="s">
        <v>39</v>
      </c>
      <c r="O593" t="s">
        <v>40</v>
      </c>
      <c r="P593" t="s">
        <v>44</v>
      </c>
      <c r="Q593" t="s">
        <v>42</v>
      </c>
      <c r="R593">
        <v>5324</v>
      </c>
      <c r="S593">
        <v>26507</v>
      </c>
      <c r="T593">
        <v>5</v>
      </c>
      <c r="U593" t="s">
        <v>46</v>
      </c>
      <c r="V593">
        <v>15</v>
      </c>
      <c r="W593" t="s">
        <v>43</v>
      </c>
      <c r="X593" t="s">
        <v>38</v>
      </c>
      <c r="Y593">
        <v>0</v>
      </c>
      <c r="Z593">
        <v>6</v>
      </c>
      <c r="AA593">
        <v>3</v>
      </c>
      <c r="AB593" t="s">
        <v>54</v>
      </c>
      <c r="AC593">
        <v>3</v>
      </c>
      <c r="AD593" t="str" cm="1">
        <f t="array" ref="AD593">_xlfn.IFS(AC593&lt;=5,"0-5",AC593&lt;=10,"5-10",AC593&lt;=40,"10-40")</f>
        <v>0-5</v>
      </c>
      <c r="AE593">
        <v>2</v>
      </c>
      <c r="AF593">
        <v>0</v>
      </c>
      <c r="AG593">
        <v>2</v>
      </c>
      <c r="AH593">
        <v>592</v>
      </c>
    </row>
    <row r="594" spans="1:34" x14ac:dyDescent="0.3">
      <c r="A594">
        <v>47</v>
      </c>
      <c r="B594" t="str" cm="1">
        <f t="array" ref="B594">_xlfn.IFS(A594&lt;=25,"18-25",A594&lt;=35,"26-35",A594&lt;=45,"36-45",A594&lt;=55,"46-55",A594&gt;55,"55+")</f>
        <v>46-55</v>
      </c>
      <c r="C594">
        <v>0</v>
      </c>
      <c r="D594" t="s">
        <v>32</v>
      </c>
      <c r="E594">
        <v>202</v>
      </c>
      <c r="F594" t="s">
        <v>48</v>
      </c>
      <c r="G594">
        <v>2</v>
      </c>
      <c r="H594" t="s">
        <v>34</v>
      </c>
      <c r="I594" t="s">
        <v>55</v>
      </c>
      <c r="J594" t="s">
        <v>38</v>
      </c>
      <c r="K594" t="s">
        <v>37</v>
      </c>
      <c r="L594">
        <v>33</v>
      </c>
      <c r="M594" t="s">
        <v>38</v>
      </c>
      <c r="N594" t="s">
        <v>67</v>
      </c>
      <c r="O594" t="s">
        <v>68</v>
      </c>
      <c r="P594" t="s">
        <v>41</v>
      </c>
      <c r="Q594" t="s">
        <v>52</v>
      </c>
      <c r="R594">
        <v>16752</v>
      </c>
      <c r="S594">
        <v>12982</v>
      </c>
      <c r="T594">
        <v>1</v>
      </c>
      <c r="U594" t="s">
        <v>31</v>
      </c>
      <c r="V594">
        <v>11</v>
      </c>
      <c r="W594" t="s">
        <v>43</v>
      </c>
      <c r="X594" t="s">
        <v>38</v>
      </c>
      <c r="Y594">
        <v>1</v>
      </c>
      <c r="Z594">
        <v>26</v>
      </c>
      <c r="AA594">
        <v>3</v>
      </c>
      <c r="AB594" t="s">
        <v>60</v>
      </c>
      <c r="AC594">
        <v>26</v>
      </c>
      <c r="AD594" t="str" cm="1">
        <f t="array" ref="AD594">_xlfn.IFS(AC594&lt;=5,"0-5",AC594&lt;=10,"5-10",AC594&lt;=40,"10-40")</f>
        <v>10-40</v>
      </c>
      <c r="AE594">
        <v>14</v>
      </c>
      <c r="AF594">
        <v>3</v>
      </c>
      <c r="AG594">
        <v>0</v>
      </c>
      <c r="AH594">
        <v>593</v>
      </c>
    </row>
    <row r="595" spans="1:34" x14ac:dyDescent="0.3">
      <c r="A595">
        <v>36</v>
      </c>
      <c r="B595" t="str" cm="1">
        <f t="array" ref="B595">_xlfn.IFS(A595&lt;=25,"18-25",A595&lt;=35,"26-35",A595&lt;=45,"36-45",A595&lt;=55,"46-55",A595&gt;55,"55+")</f>
        <v>36-45</v>
      </c>
      <c r="C595">
        <v>0</v>
      </c>
      <c r="D595" t="s">
        <v>32</v>
      </c>
      <c r="E595">
        <v>676</v>
      </c>
      <c r="F595" t="s">
        <v>48</v>
      </c>
      <c r="G595">
        <v>1</v>
      </c>
      <c r="H595" t="s">
        <v>61</v>
      </c>
      <c r="I595" t="s">
        <v>55</v>
      </c>
      <c r="J595" t="s">
        <v>38</v>
      </c>
      <c r="K595" t="s">
        <v>37</v>
      </c>
      <c r="L595">
        <v>35</v>
      </c>
      <c r="M595" t="s">
        <v>38</v>
      </c>
      <c r="N595" t="s">
        <v>39</v>
      </c>
      <c r="O595" t="s">
        <v>64</v>
      </c>
      <c r="P595" t="s">
        <v>36</v>
      </c>
      <c r="Q595" t="s">
        <v>52</v>
      </c>
      <c r="R595">
        <v>5228</v>
      </c>
      <c r="S595">
        <v>23361</v>
      </c>
      <c r="T595">
        <v>0</v>
      </c>
      <c r="U595" t="s">
        <v>46</v>
      </c>
      <c r="V595">
        <v>15</v>
      </c>
      <c r="W595" t="s">
        <v>43</v>
      </c>
      <c r="X595" t="s">
        <v>44</v>
      </c>
      <c r="Y595">
        <v>1</v>
      </c>
      <c r="Z595">
        <v>10</v>
      </c>
      <c r="AA595">
        <v>2</v>
      </c>
      <c r="AB595" t="s">
        <v>54</v>
      </c>
      <c r="AC595">
        <v>9</v>
      </c>
      <c r="AD595" t="str" cm="1">
        <f t="array" ref="AD595">_xlfn.IFS(AC595&lt;=5,"0-5",AC595&lt;=10,"5-10",AC595&lt;=40,"10-40")</f>
        <v>5-10</v>
      </c>
      <c r="AE595">
        <v>7</v>
      </c>
      <c r="AF595">
        <v>0</v>
      </c>
      <c r="AG595">
        <v>5</v>
      </c>
      <c r="AH595">
        <v>594</v>
      </c>
    </row>
    <row r="596" spans="1:34" x14ac:dyDescent="0.3">
      <c r="A596">
        <v>29</v>
      </c>
      <c r="B596" t="str" cm="1">
        <f t="array" ref="B596">_xlfn.IFS(A596&lt;=25,"18-25",A596&lt;=35,"26-35",A596&lt;=45,"36-45",A596&lt;=55,"46-55",A596&gt;55,"55+")</f>
        <v>26-35</v>
      </c>
      <c r="C596">
        <v>0</v>
      </c>
      <c r="D596" t="s">
        <v>32</v>
      </c>
      <c r="E596">
        <v>1252</v>
      </c>
      <c r="F596" t="s">
        <v>48</v>
      </c>
      <c r="G596">
        <v>23</v>
      </c>
      <c r="H596" t="s">
        <v>34</v>
      </c>
      <c r="I596" t="s">
        <v>35</v>
      </c>
      <c r="J596" t="s">
        <v>38</v>
      </c>
      <c r="K596" t="s">
        <v>50</v>
      </c>
      <c r="L596">
        <v>81</v>
      </c>
      <c r="M596" t="s">
        <v>41</v>
      </c>
      <c r="N596" t="s">
        <v>56</v>
      </c>
      <c r="O596" t="s">
        <v>51</v>
      </c>
      <c r="P596" t="s">
        <v>38</v>
      </c>
      <c r="Q596" t="s">
        <v>52</v>
      </c>
      <c r="R596">
        <v>2700</v>
      </c>
      <c r="S596">
        <v>23779</v>
      </c>
      <c r="T596">
        <v>1</v>
      </c>
      <c r="U596" t="s">
        <v>46</v>
      </c>
      <c r="V596">
        <v>24</v>
      </c>
      <c r="W596" t="s">
        <v>53</v>
      </c>
      <c r="X596" t="s">
        <v>38</v>
      </c>
      <c r="Y596">
        <v>1</v>
      </c>
      <c r="Z596">
        <v>10</v>
      </c>
      <c r="AA596">
        <v>3</v>
      </c>
      <c r="AB596" t="s">
        <v>54</v>
      </c>
      <c r="AC596">
        <v>10</v>
      </c>
      <c r="AD596" t="str" cm="1">
        <f t="array" ref="AD596">_xlfn.IFS(AC596&lt;=5,"0-5",AC596&lt;=10,"5-10",AC596&lt;=40,"10-40")</f>
        <v>5-10</v>
      </c>
      <c r="AE596">
        <v>7</v>
      </c>
      <c r="AF596">
        <v>0</v>
      </c>
      <c r="AG596">
        <v>7</v>
      </c>
      <c r="AH596">
        <v>595</v>
      </c>
    </row>
    <row r="597" spans="1:34" x14ac:dyDescent="0.3">
      <c r="A597">
        <v>58</v>
      </c>
      <c r="B597" t="str" cm="1">
        <f t="array" ref="B597">_xlfn.IFS(A597&lt;=25,"18-25",A597&lt;=35,"26-35",A597&lt;=45,"36-45",A597&lt;=55,"46-55",A597&gt;55,"55+")</f>
        <v>55+</v>
      </c>
      <c r="C597">
        <v>1</v>
      </c>
      <c r="D597" t="s">
        <v>32</v>
      </c>
      <c r="E597">
        <v>286</v>
      </c>
      <c r="F597" t="s">
        <v>48</v>
      </c>
      <c r="G597">
        <v>2</v>
      </c>
      <c r="H597" t="s">
        <v>58</v>
      </c>
      <c r="I597" t="s">
        <v>35</v>
      </c>
      <c r="J597" t="s">
        <v>41</v>
      </c>
      <c r="K597" t="s">
        <v>50</v>
      </c>
      <c r="L597">
        <v>31</v>
      </c>
      <c r="M597" t="s">
        <v>38</v>
      </c>
      <c r="N597" t="s">
        <v>71</v>
      </c>
      <c r="O597" t="s">
        <v>70</v>
      </c>
      <c r="P597" t="s">
        <v>36</v>
      </c>
      <c r="Q597" t="s">
        <v>42</v>
      </c>
      <c r="R597">
        <v>19246</v>
      </c>
      <c r="S597">
        <v>25761</v>
      </c>
      <c r="T597">
        <v>7</v>
      </c>
      <c r="U597" t="s">
        <v>31</v>
      </c>
      <c r="V597">
        <v>12</v>
      </c>
      <c r="W597" t="s">
        <v>43</v>
      </c>
      <c r="X597" t="s">
        <v>41</v>
      </c>
      <c r="Y597">
        <v>0</v>
      </c>
      <c r="Z597">
        <v>40</v>
      </c>
      <c r="AA597">
        <v>2</v>
      </c>
      <c r="AB597" t="s">
        <v>54</v>
      </c>
      <c r="AC597">
        <v>31</v>
      </c>
      <c r="AD597" t="str" cm="1">
        <f t="array" ref="AD597">_xlfn.IFS(AC597&lt;=5,"0-5",AC597&lt;=10,"5-10",AC597&lt;=40,"10-40")</f>
        <v>10-40</v>
      </c>
      <c r="AE597">
        <v>15</v>
      </c>
      <c r="AF597">
        <v>13</v>
      </c>
      <c r="AG597">
        <v>8</v>
      </c>
      <c r="AH597">
        <v>596</v>
      </c>
    </row>
    <row r="598" spans="1:34" x14ac:dyDescent="0.3">
      <c r="A598">
        <v>35</v>
      </c>
      <c r="B598" t="str" cm="1">
        <f t="array" ref="B598">_xlfn.IFS(A598&lt;=25,"18-25",A598&lt;=35,"26-35",A598&lt;=45,"36-45",A598&lt;=55,"46-55",A598&gt;55,"55+")</f>
        <v>26-35</v>
      </c>
      <c r="C598">
        <v>0</v>
      </c>
      <c r="D598" t="s">
        <v>32</v>
      </c>
      <c r="E598">
        <v>1258</v>
      </c>
      <c r="F598" t="s">
        <v>48</v>
      </c>
      <c r="G598">
        <v>1</v>
      </c>
      <c r="H598" t="s">
        <v>58</v>
      </c>
      <c r="I598" t="s">
        <v>35</v>
      </c>
      <c r="J598" t="s">
        <v>41</v>
      </c>
      <c r="K598" t="s">
        <v>37</v>
      </c>
      <c r="L598">
        <v>40</v>
      </c>
      <c r="M598" t="s">
        <v>41</v>
      </c>
      <c r="N598" t="s">
        <v>56</v>
      </c>
      <c r="O598" t="s">
        <v>51</v>
      </c>
      <c r="P598" t="s">
        <v>38</v>
      </c>
      <c r="Q598" t="s">
        <v>42</v>
      </c>
      <c r="R598">
        <v>2506</v>
      </c>
      <c r="S598">
        <v>13301</v>
      </c>
      <c r="T598">
        <v>3</v>
      </c>
      <c r="U598" t="s">
        <v>46</v>
      </c>
      <c r="V598">
        <v>13</v>
      </c>
      <c r="W598" t="s">
        <v>43</v>
      </c>
      <c r="X598" t="s">
        <v>38</v>
      </c>
      <c r="Y598">
        <v>0</v>
      </c>
      <c r="Z598">
        <v>7</v>
      </c>
      <c r="AA598">
        <v>0</v>
      </c>
      <c r="AB598" t="s">
        <v>54</v>
      </c>
      <c r="AC598">
        <v>2</v>
      </c>
      <c r="AD598" t="str" cm="1">
        <f t="array" ref="AD598">_xlfn.IFS(AC598&lt;=5,"0-5",AC598&lt;=10,"5-10",AC598&lt;=40,"10-40")</f>
        <v>0-5</v>
      </c>
      <c r="AE598">
        <v>2</v>
      </c>
      <c r="AF598">
        <v>2</v>
      </c>
      <c r="AG598">
        <v>2</v>
      </c>
      <c r="AH598">
        <v>597</v>
      </c>
    </row>
    <row r="599" spans="1:34" x14ac:dyDescent="0.3">
      <c r="A599">
        <v>42</v>
      </c>
      <c r="B599" t="str" cm="1">
        <f t="array" ref="B599">_xlfn.IFS(A599&lt;=25,"18-25",A599&lt;=35,"26-35",A599&lt;=45,"36-45",A599&lt;=55,"46-55",A599&gt;55,"55+")</f>
        <v>36-45</v>
      </c>
      <c r="C599">
        <v>0</v>
      </c>
      <c r="D599" t="s">
        <v>32</v>
      </c>
      <c r="E599">
        <v>932</v>
      </c>
      <c r="F599" t="s">
        <v>48</v>
      </c>
      <c r="G599">
        <v>1</v>
      </c>
      <c r="H599" t="s">
        <v>34</v>
      </c>
      <c r="I599" t="s">
        <v>35</v>
      </c>
      <c r="J599" t="s">
        <v>41</v>
      </c>
      <c r="K599" t="s">
        <v>37</v>
      </c>
      <c r="L599">
        <v>43</v>
      </c>
      <c r="M599" t="s">
        <v>36</v>
      </c>
      <c r="N599" t="s">
        <v>39</v>
      </c>
      <c r="O599" t="s">
        <v>64</v>
      </c>
      <c r="P599" t="s">
        <v>41</v>
      </c>
      <c r="Q599" t="s">
        <v>52</v>
      </c>
      <c r="R599">
        <v>6062</v>
      </c>
      <c r="S599">
        <v>4051</v>
      </c>
      <c r="T599">
        <v>9</v>
      </c>
      <c r="U599" t="s">
        <v>31</v>
      </c>
      <c r="V599">
        <v>13</v>
      </c>
      <c r="W599" t="s">
        <v>43</v>
      </c>
      <c r="X599" t="s">
        <v>41</v>
      </c>
      <c r="Y599">
        <v>1</v>
      </c>
      <c r="Z599">
        <v>8</v>
      </c>
      <c r="AA599">
        <v>4</v>
      </c>
      <c r="AB599" t="s">
        <v>54</v>
      </c>
      <c r="AC599">
        <v>4</v>
      </c>
      <c r="AD599" t="str" cm="1">
        <f t="array" ref="AD599">_xlfn.IFS(AC599&lt;=5,"0-5",AC599&lt;=10,"5-10",AC599&lt;=40,"10-40")</f>
        <v>0-5</v>
      </c>
      <c r="AE599">
        <v>3</v>
      </c>
      <c r="AF599">
        <v>0</v>
      </c>
      <c r="AG599">
        <v>2</v>
      </c>
      <c r="AH599">
        <v>598</v>
      </c>
    </row>
    <row r="600" spans="1:34" x14ac:dyDescent="0.3">
      <c r="A600">
        <v>28</v>
      </c>
      <c r="B600" t="str" cm="1">
        <f t="array" ref="B600">_xlfn.IFS(A600&lt;=25,"18-25",A600&lt;=35,"26-35",A600&lt;=45,"36-45",A600&lt;=55,"46-55",A600&gt;55,"55+")</f>
        <v>26-35</v>
      </c>
      <c r="C600">
        <v>1</v>
      </c>
      <c r="D600" t="s">
        <v>32</v>
      </c>
      <c r="E600">
        <v>890</v>
      </c>
      <c r="F600" t="s">
        <v>48</v>
      </c>
      <c r="G600">
        <v>2</v>
      </c>
      <c r="H600" t="s">
        <v>58</v>
      </c>
      <c r="I600" t="s">
        <v>59</v>
      </c>
      <c r="J600" t="s">
        <v>38</v>
      </c>
      <c r="K600" t="s">
        <v>50</v>
      </c>
      <c r="L600">
        <v>46</v>
      </c>
      <c r="M600" t="s">
        <v>38</v>
      </c>
      <c r="N600" t="s">
        <v>56</v>
      </c>
      <c r="O600" t="s">
        <v>51</v>
      </c>
      <c r="P600" t="s">
        <v>38</v>
      </c>
      <c r="Q600" t="s">
        <v>42</v>
      </c>
      <c r="R600">
        <v>4382</v>
      </c>
      <c r="S600">
        <v>16374</v>
      </c>
      <c r="T600">
        <v>6</v>
      </c>
      <c r="U600" t="s">
        <v>46</v>
      </c>
      <c r="V600">
        <v>17</v>
      </c>
      <c r="W600" t="s">
        <v>43</v>
      </c>
      <c r="X600" t="s">
        <v>41</v>
      </c>
      <c r="Y600">
        <v>0</v>
      </c>
      <c r="Z600">
        <v>5</v>
      </c>
      <c r="AA600">
        <v>3</v>
      </c>
      <c r="AB600" t="s">
        <v>60</v>
      </c>
      <c r="AC600">
        <v>2</v>
      </c>
      <c r="AD600" t="str" cm="1">
        <f t="array" ref="AD600">_xlfn.IFS(AC600&lt;=5,"0-5",AC600&lt;=10,"5-10",AC600&lt;=40,"10-40")</f>
        <v>0-5</v>
      </c>
      <c r="AE600">
        <v>2</v>
      </c>
      <c r="AF600">
        <v>2</v>
      </c>
      <c r="AG600">
        <v>1</v>
      </c>
      <c r="AH600">
        <v>599</v>
      </c>
    </row>
    <row r="601" spans="1:34" x14ac:dyDescent="0.3">
      <c r="A601">
        <v>36</v>
      </c>
      <c r="B601" t="str" cm="1">
        <f t="array" ref="B601">_xlfn.IFS(A601&lt;=25,"18-25",A601&lt;=35,"26-35",A601&lt;=45,"36-45",A601&lt;=55,"46-55",A601&gt;55,"55+")</f>
        <v>36-45</v>
      </c>
      <c r="C601">
        <v>0</v>
      </c>
      <c r="D601" t="s">
        <v>32</v>
      </c>
      <c r="E601">
        <v>1041</v>
      </c>
      <c r="F601" t="s">
        <v>76</v>
      </c>
      <c r="G601">
        <v>13</v>
      </c>
      <c r="H601" t="s">
        <v>61</v>
      </c>
      <c r="I601" t="s">
        <v>76</v>
      </c>
      <c r="J601" t="s">
        <v>38</v>
      </c>
      <c r="K601" t="s">
        <v>50</v>
      </c>
      <c r="L601">
        <v>36</v>
      </c>
      <c r="M601" t="s">
        <v>38</v>
      </c>
      <c r="N601" t="s">
        <v>56</v>
      </c>
      <c r="O601" t="s">
        <v>76</v>
      </c>
      <c r="P601" t="s">
        <v>36</v>
      </c>
      <c r="Q601" t="s">
        <v>52</v>
      </c>
      <c r="R601">
        <v>2143</v>
      </c>
      <c r="S601">
        <v>25527</v>
      </c>
      <c r="T601">
        <v>4</v>
      </c>
      <c r="U601" t="s">
        <v>46</v>
      </c>
      <c r="V601">
        <v>13</v>
      </c>
      <c r="W601" t="s">
        <v>43</v>
      </c>
      <c r="X601" t="s">
        <v>36</v>
      </c>
      <c r="Y601">
        <v>1</v>
      </c>
      <c r="Z601">
        <v>8</v>
      </c>
      <c r="AA601">
        <v>2</v>
      </c>
      <c r="AB601" t="s">
        <v>54</v>
      </c>
      <c r="AC601">
        <v>5</v>
      </c>
      <c r="AD601" t="str" cm="1">
        <f t="array" ref="AD601">_xlfn.IFS(AC601&lt;=5,"0-5",AC601&lt;=10,"5-10",AC601&lt;=40,"10-40")</f>
        <v>0-5</v>
      </c>
      <c r="AE601">
        <v>2</v>
      </c>
      <c r="AF601">
        <v>0</v>
      </c>
      <c r="AG601">
        <v>4</v>
      </c>
      <c r="AH601">
        <v>600</v>
      </c>
    </row>
    <row r="602" spans="1:34" x14ac:dyDescent="0.3">
      <c r="A602">
        <v>32</v>
      </c>
      <c r="B602" t="str" cm="1">
        <f t="array" ref="B602">_xlfn.IFS(A602&lt;=25,"18-25",A602&lt;=35,"26-35",A602&lt;=45,"36-45",A602&lt;=55,"46-55",A602&gt;55,"55+")</f>
        <v>26-35</v>
      </c>
      <c r="C602">
        <v>0</v>
      </c>
      <c r="D602" t="s">
        <v>32</v>
      </c>
      <c r="E602">
        <v>859</v>
      </c>
      <c r="F602" t="s">
        <v>48</v>
      </c>
      <c r="G602">
        <v>4</v>
      </c>
      <c r="H602" t="s">
        <v>61</v>
      </c>
      <c r="I602" t="s">
        <v>35</v>
      </c>
      <c r="J602" t="s">
        <v>38</v>
      </c>
      <c r="K602" t="s">
        <v>37</v>
      </c>
      <c r="L602">
        <v>98</v>
      </c>
      <c r="M602" t="s">
        <v>36</v>
      </c>
      <c r="N602" t="s">
        <v>39</v>
      </c>
      <c r="O602" t="s">
        <v>64</v>
      </c>
      <c r="P602" t="s">
        <v>38</v>
      </c>
      <c r="Q602" t="s">
        <v>52</v>
      </c>
      <c r="R602">
        <v>6162</v>
      </c>
      <c r="S602">
        <v>19124</v>
      </c>
      <c r="T602">
        <v>1</v>
      </c>
      <c r="U602" t="s">
        <v>46</v>
      </c>
      <c r="V602">
        <v>12</v>
      </c>
      <c r="W602" t="s">
        <v>43</v>
      </c>
      <c r="X602" t="s">
        <v>38</v>
      </c>
      <c r="Y602">
        <v>1</v>
      </c>
      <c r="Z602">
        <v>14</v>
      </c>
      <c r="AA602">
        <v>3</v>
      </c>
      <c r="AB602" t="s">
        <v>54</v>
      </c>
      <c r="AC602">
        <v>14</v>
      </c>
      <c r="AD602" t="str" cm="1">
        <f t="array" ref="AD602">_xlfn.IFS(AC602&lt;=5,"0-5",AC602&lt;=10,"5-10",AC602&lt;=40,"10-40")</f>
        <v>10-40</v>
      </c>
      <c r="AE602">
        <v>13</v>
      </c>
      <c r="AF602">
        <v>6</v>
      </c>
      <c r="AG602">
        <v>8</v>
      </c>
      <c r="AH602">
        <v>601</v>
      </c>
    </row>
    <row r="603" spans="1:34" x14ac:dyDescent="0.3">
      <c r="A603">
        <v>40</v>
      </c>
      <c r="B603" t="str" cm="1">
        <f t="array" ref="B603">_xlfn.IFS(A603&lt;=25,"18-25",A603&lt;=35,"26-35",A603&lt;=45,"36-45",A603&lt;=55,"46-55",A603&gt;55,"55+")</f>
        <v>36-45</v>
      </c>
      <c r="C603">
        <v>0</v>
      </c>
      <c r="D603" t="s">
        <v>47</v>
      </c>
      <c r="E603">
        <v>720</v>
      </c>
      <c r="F603" t="s">
        <v>48</v>
      </c>
      <c r="G603">
        <v>16</v>
      </c>
      <c r="H603" t="s">
        <v>58</v>
      </c>
      <c r="I603" t="s">
        <v>59</v>
      </c>
      <c r="J603" t="s">
        <v>44</v>
      </c>
      <c r="K603" t="s">
        <v>50</v>
      </c>
      <c r="L603">
        <v>51</v>
      </c>
      <c r="M603" t="s">
        <v>36</v>
      </c>
      <c r="N603" t="s">
        <v>39</v>
      </c>
      <c r="O603" t="s">
        <v>57</v>
      </c>
      <c r="P603" t="s">
        <v>38</v>
      </c>
      <c r="Q603" t="s">
        <v>42</v>
      </c>
      <c r="R603">
        <v>5094</v>
      </c>
      <c r="S603">
        <v>11983</v>
      </c>
      <c r="T603">
        <v>6</v>
      </c>
      <c r="U603" t="s">
        <v>46</v>
      </c>
      <c r="V603">
        <v>14</v>
      </c>
      <c r="W603" t="s">
        <v>43</v>
      </c>
      <c r="X603" t="s">
        <v>41</v>
      </c>
      <c r="Y603">
        <v>0</v>
      </c>
      <c r="Z603">
        <v>10</v>
      </c>
      <c r="AA603">
        <v>6</v>
      </c>
      <c r="AB603" t="s">
        <v>54</v>
      </c>
      <c r="AC603">
        <v>1</v>
      </c>
      <c r="AD603" t="str" cm="1">
        <f t="array" ref="AD603">_xlfn.IFS(AC603&lt;=5,"0-5",AC603&lt;=10,"5-10",AC603&lt;=40,"10-40")</f>
        <v>0-5</v>
      </c>
      <c r="AE603">
        <v>0</v>
      </c>
      <c r="AF603">
        <v>0</v>
      </c>
      <c r="AG603">
        <v>0</v>
      </c>
      <c r="AH603">
        <v>602</v>
      </c>
    </row>
    <row r="604" spans="1:34" x14ac:dyDescent="0.3">
      <c r="A604">
        <v>30</v>
      </c>
      <c r="B604" t="str" cm="1">
        <f t="array" ref="B604">_xlfn.IFS(A604&lt;=25,"18-25",A604&lt;=35,"26-35",A604&lt;=45,"36-45",A604&lt;=55,"46-55",A604&gt;55,"55+")</f>
        <v>26-35</v>
      </c>
      <c r="C604">
        <v>0</v>
      </c>
      <c r="D604" t="s">
        <v>32</v>
      </c>
      <c r="E604">
        <v>946</v>
      </c>
      <c r="F604" t="s">
        <v>48</v>
      </c>
      <c r="G604">
        <v>2</v>
      </c>
      <c r="H604" t="s">
        <v>61</v>
      </c>
      <c r="I604" t="s">
        <v>59</v>
      </c>
      <c r="J604" t="s">
        <v>38</v>
      </c>
      <c r="K604" t="s">
        <v>37</v>
      </c>
      <c r="L604">
        <v>52</v>
      </c>
      <c r="M604" t="s">
        <v>36</v>
      </c>
      <c r="N604" t="s">
        <v>39</v>
      </c>
      <c r="O604" t="s">
        <v>64</v>
      </c>
      <c r="P604" t="s">
        <v>41</v>
      </c>
      <c r="Q604" t="s">
        <v>42</v>
      </c>
      <c r="R604">
        <v>6877</v>
      </c>
      <c r="S604">
        <v>20234</v>
      </c>
      <c r="T604">
        <v>5</v>
      </c>
      <c r="U604" t="s">
        <v>31</v>
      </c>
      <c r="V604">
        <v>24</v>
      </c>
      <c r="W604" t="s">
        <v>53</v>
      </c>
      <c r="X604" t="s">
        <v>36</v>
      </c>
      <c r="Y604">
        <v>0</v>
      </c>
      <c r="Z604">
        <v>12</v>
      </c>
      <c r="AA604">
        <v>4</v>
      </c>
      <c r="AB604" t="s">
        <v>60</v>
      </c>
      <c r="AC604">
        <v>0</v>
      </c>
      <c r="AD604" t="str" cm="1">
        <f t="array" ref="AD604">_xlfn.IFS(AC604&lt;=5,"0-5",AC604&lt;=10,"5-10",AC604&lt;=40,"10-40")</f>
        <v>0-5</v>
      </c>
      <c r="AE604">
        <v>0</v>
      </c>
      <c r="AF604">
        <v>0</v>
      </c>
      <c r="AG604">
        <v>0</v>
      </c>
      <c r="AH604">
        <v>603</v>
      </c>
    </row>
    <row r="605" spans="1:34" x14ac:dyDescent="0.3">
      <c r="A605">
        <v>45</v>
      </c>
      <c r="B605" t="str" cm="1">
        <f t="array" ref="B605">_xlfn.IFS(A605&lt;=25,"18-25",A605&lt;=35,"26-35",A605&lt;=45,"36-45",A605&lt;=55,"46-55",A605&gt;55,"55+")</f>
        <v>36-45</v>
      </c>
      <c r="C605">
        <v>0</v>
      </c>
      <c r="D605" t="s">
        <v>32</v>
      </c>
      <c r="E605">
        <v>252</v>
      </c>
      <c r="F605" t="s">
        <v>48</v>
      </c>
      <c r="G605">
        <v>2</v>
      </c>
      <c r="H605" t="s">
        <v>61</v>
      </c>
      <c r="I605" t="s">
        <v>35</v>
      </c>
      <c r="J605" t="s">
        <v>36</v>
      </c>
      <c r="K605" t="s">
        <v>37</v>
      </c>
      <c r="L605">
        <v>95</v>
      </c>
      <c r="M605" t="s">
        <v>36</v>
      </c>
      <c r="N605" t="s">
        <v>56</v>
      </c>
      <c r="O605" t="s">
        <v>51</v>
      </c>
      <c r="P605" t="s">
        <v>38</v>
      </c>
      <c r="Q605" t="s">
        <v>42</v>
      </c>
      <c r="R605">
        <v>2274</v>
      </c>
      <c r="S605">
        <v>6153</v>
      </c>
      <c r="T605">
        <v>1</v>
      </c>
      <c r="U605" t="s">
        <v>46</v>
      </c>
      <c r="V605">
        <v>14</v>
      </c>
      <c r="W605" t="s">
        <v>43</v>
      </c>
      <c r="X605" t="s">
        <v>41</v>
      </c>
      <c r="Y605">
        <v>0</v>
      </c>
      <c r="Z605">
        <v>1</v>
      </c>
      <c r="AA605">
        <v>3</v>
      </c>
      <c r="AB605" t="s">
        <v>54</v>
      </c>
      <c r="AC605">
        <v>1</v>
      </c>
      <c r="AD605" t="str" cm="1">
        <f t="array" ref="AD605">_xlfn.IFS(AC605&lt;=5,"0-5",AC605&lt;=10,"5-10",AC605&lt;=40,"10-40")</f>
        <v>0-5</v>
      </c>
      <c r="AE605">
        <v>0</v>
      </c>
      <c r="AF605">
        <v>0</v>
      </c>
      <c r="AG605">
        <v>0</v>
      </c>
      <c r="AH605">
        <v>604</v>
      </c>
    </row>
    <row r="606" spans="1:34" x14ac:dyDescent="0.3">
      <c r="A606">
        <v>42</v>
      </c>
      <c r="B606" t="str" cm="1">
        <f t="array" ref="B606">_xlfn.IFS(A606&lt;=25,"18-25",A606&lt;=35,"26-35",A606&lt;=45,"36-45",A606&lt;=55,"46-55",A606&gt;55,"55+")</f>
        <v>36-45</v>
      </c>
      <c r="C606">
        <v>0</v>
      </c>
      <c r="D606" t="s">
        <v>32</v>
      </c>
      <c r="E606">
        <v>933</v>
      </c>
      <c r="F606" t="s">
        <v>48</v>
      </c>
      <c r="G606">
        <v>29</v>
      </c>
      <c r="H606" t="s">
        <v>61</v>
      </c>
      <c r="I606" t="s">
        <v>35</v>
      </c>
      <c r="J606" t="s">
        <v>36</v>
      </c>
      <c r="K606" t="s">
        <v>50</v>
      </c>
      <c r="L606">
        <v>98</v>
      </c>
      <c r="M606" t="s">
        <v>38</v>
      </c>
      <c r="N606" t="s">
        <v>39</v>
      </c>
      <c r="O606" t="s">
        <v>64</v>
      </c>
      <c r="P606" t="s">
        <v>36</v>
      </c>
      <c r="Q606" t="s">
        <v>52</v>
      </c>
      <c r="R606">
        <v>4434</v>
      </c>
      <c r="S606">
        <v>11806</v>
      </c>
      <c r="T606">
        <v>1</v>
      </c>
      <c r="U606" t="s">
        <v>46</v>
      </c>
      <c r="V606">
        <v>13</v>
      </c>
      <c r="W606" t="s">
        <v>43</v>
      </c>
      <c r="X606" t="s">
        <v>41</v>
      </c>
      <c r="Y606">
        <v>1</v>
      </c>
      <c r="Z606">
        <v>10</v>
      </c>
      <c r="AA606">
        <v>3</v>
      </c>
      <c r="AB606" t="s">
        <v>60</v>
      </c>
      <c r="AC606">
        <v>9</v>
      </c>
      <c r="AD606" t="str" cm="1">
        <f t="array" ref="AD606">_xlfn.IFS(AC606&lt;=5,"0-5",AC606&lt;=10,"5-10",AC606&lt;=40,"10-40")</f>
        <v>5-10</v>
      </c>
      <c r="AE606">
        <v>8</v>
      </c>
      <c r="AF606">
        <v>7</v>
      </c>
      <c r="AG606">
        <v>8</v>
      </c>
      <c r="AH606">
        <v>605</v>
      </c>
    </row>
    <row r="607" spans="1:34" x14ac:dyDescent="0.3">
      <c r="A607">
        <v>38</v>
      </c>
      <c r="B607" t="str" cm="1">
        <f t="array" ref="B607">_xlfn.IFS(A607&lt;=25,"18-25",A607&lt;=35,"26-35",A607&lt;=45,"36-45",A607&lt;=55,"46-55",A607&gt;55,"55+")</f>
        <v>36-45</v>
      </c>
      <c r="C607">
        <v>0</v>
      </c>
      <c r="D607" t="s">
        <v>47</v>
      </c>
      <c r="E607">
        <v>471</v>
      </c>
      <c r="F607" t="s">
        <v>48</v>
      </c>
      <c r="G607">
        <v>12</v>
      </c>
      <c r="H607" t="s">
        <v>61</v>
      </c>
      <c r="I607" t="s">
        <v>35</v>
      </c>
      <c r="J607" t="s">
        <v>44</v>
      </c>
      <c r="K607" t="s">
        <v>50</v>
      </c>
      <c r="L607">
        <v>45</v>
      </c>
      <c r="M607" t="s">
        <v>36</v>
      </c>
      <c r="N607" t="s">
        <v>39</v>
      </c>
      <c r="O607" t="s">
        <v>65</v>
      </c>
      <c r="P607" t="s">
        <v>44</v>
      </c>
      <c r="Q607" t="s">
        <v>62</v>
      </c>
      <c r="R607">
        <v>6288</v>
      </c>
      <c r="S607">
        <v>4284</v>
      </c>
      <c r="T607">
        <v>2</v>
      </c>
      <c r="U607" t="s">
        <v>46</v>
      </c>
      <c r="V607">
        <v>15</v>
      </c>
      <c r="W607" t="s">
        <v>43</v>
      </c>
      <c r="X607" t="s">
        <v>38</v>
      </c>
      <c r="Y607">
        <v>1</v>
      </c>
      <c r="Z607">
        <v>13</v>
      </c>
      <c r="AA607">
        <v>3</v>
      </c>
      <c r="AB607" t="s">
        <v>60</v>
      </c>
      <c r="AC607">
        <v>4</v>
      </c>
      <c r="AD607" t="str" cm="1">
        <f t="array" ref="AD607">_xlfn.IFS(AC607&lt;=5,"0-5",AC607&lt;=10,"5-10",AC607&lt;=40,"10-40")</f>
        <v>0-5</v>
      </c>
      <c r="AE607">
        <v>3</v>
      </c>
      <c r="AF607">
        <v>1</v>
      </c>
      <c r="AG607">
        <v>2</v>
      </c>
      <c r="AH607">
        <v>606</v>
      </c>
    </row>
    <row r="608" spans="1:34" x14ac:dyDescent="0.3">
      <c r="A608">
        <v>34</v>
      </c>
      <c r="B608" t="str" cm="1">
        <f t="array" ref="B608">_xlfn.IFS(A608&lt;=25,"18-25",A608&lt;=35,"26-35",A608&lt;=45,"36-45",A608&lt;=55,"46-55",A608&gt;55,"55+")</f>
        <v>26-35</v>
      </c>
      <c r="C608">
        <v>0</v>
      </c>
      <c r="D608" t="s">
        <v>47</v>
      </c>
      <c r="E608">
        <v>702</v>
      </c>
      <c r="F608" t="s">
        <v>48</v>
      </c>
      <c r="G608">
        <v>16</v>
      </c>
      <c r="H608" t="s">
        <v>58</v>
      </c>
      <c r="I608" t="s">
        <v>35</v>
      </c>
      <c r="J608" t="s">
        <v>38</v>
      </c>
      <c r="K608" t="s">
        <v>37</v>
      </c>
      <c r="L608">
        <v>100</v>
      </c>
      <c r="M608" t="s">
        <v>36</v>
      </c>
      <c r="N608" t="s">
        <v>56</v>
      </c>
      <c r="O608" t="s">
        <v>51</v>
      </c>
      <c r="P608" t="s">
        <v>41</v>
      </c>
      <c r="Q608" t="s">
        <v>42</v>
      </c>
      <c r="R608">
        <v>2553</v>
      </c>
      <c r="S608">
        <v>8306</v>
      </c>
      <c r="T608">
        <v>1</v>
      </c>
      <c r="U608" t="s">
        <v>46</v>
      </c>
      <c r="V608">
        <v>16</v>
      </c>
      <c r="W608" t="s">
        <v>43</v>
      </c>
      <c r="X608" t="s">
        <v>38</v>
      </c>
      <c r="Y608">
        <v>0</v>
      </c>
      <c r="Z608">
        <v>6</v>
      </c>
      <c r="AA608">
        <v>3</v>
      </c>
      <c r="AB608" t="s">
        <v>54</v>
      </c>
      <c r="AC608">
        <v>5</v>
      </c>
      <c r="AD608" t="str" cm="1">
        <f t="array" ref="AD608">_xlfn.IFS(AC608&lt;=5,"0-5",AC608&lt;=10,"5-10",AC608&lt;=40,"10-40")</f>
        <v>0-5</v>
      </c>
      <c r="AE608">
        <v>2</v>
      </c>
      <c r="AF608">
        <v>1</v>
      </c>
      <c r="AG608">
        <v>3</v>
      </c>
      <c r="AH608">
        <v>607</v>
      </c>
    </row>
    <row r="609" spans="1:34" x14ac:dyDescent="0.3">
      <c r="A609">
        <v>49</v>
      </c>
      <c r="B609" t="str" cm="1">
        <f t="array" ref="B609">_xlfn.IFS(A609&lt;=25,"18-25",A609&lt;=35,"26-35",A609&lt;=45,"36-45",A609&lt;=55,"46-55",A609&gt;55,"55+")</f>
        <v>46-55</v>
      </c>
      <c r="C609">
        <v>1</v>
      </c>
      <c r="D609" t="s">
        <v>32</v>
      </c>
      <c r="E609">
        <v>1184</v>
      </c>
      <c r="F609" t="s">
        <v>33</v>
      </c>
      <c r="G609">
        <v>11</v>
      </c>
      <c r="H609" t="s">
        <v>61</v>
      </c>
      <c r="I609" t="s">
        <v>72</v>
      </c>
      <c r="J609" t="s">
        <v>38</v>
      </c>
      <c r="K609" t="s">
        <v>37</v>
      </c>
      <c r="L609">
        <v>43</v>
      </c>
      <c r="M609" t="s">
        <v>38</v>
      </c>
      <c r="N609" t="s">
        <v>63</v>
      </c>
      <c r="O609" t="s">
        <v>40</v>
      </c>
      <c r="P609" t="s">
        <v>41</v>
      </c>
      <c r="Q609" t="s">
        <v>52</v>
      </c>
      <c r="R609">
        <v>7654</v>
      </c>
      <c r="S609">
        <v>5860</v>
      </c>
      <c r="T609">
        <v>1</v>
      </c>
      <c r="U609" t="s">
        <v>46</v>
      </c>
      <c r="V609">
        <v>18</v>
      </c>
      <c r="W609" t="s">
        <v>43</v>
      </c>
      <c r="X609" t="s">
        <v>44</v>
      </c>
      <c r="Y609">
        <v>2</v>
      </c>
      <c r="Z609">
        <v>9</v>
      </c>
      <c r="AA609">
        <v>3</v>
      </c>
      <c r="AB609" t="s">
        <v>73</v>
      </c>
      <c r="AC609">
        <v>9</v>
      </c>
      <c r="AD609" t="str" cm="1">
        <f t="array" ref="AD609">_xlfn.IFS(AC609&lt;=5,"0-5",AC609&lt;=10,"5-10",AC609&lt;=40,"10-40")</f>
        <v>5-10</v>
      </c>
      <c r="AE609">
        <v>8</v>
      </c>
      <c r="AF609">
        <v>7</v>
      </c>
      <c r="AG609">
        <v>7</v>
      </c>
      <c r="AH609">
        <v>608</v>
      </c>
    </row>
    <row r="610" spans="1:34" x14ac:dyDescent="0.3">
      <c r="A610">
        <v>55</v>
      </c>
      <c r="B610" t="str" cm="1">
        <f t="array" ref="B610">_xlfn.IFS(A610&lt;=25,"18-25",A610&lt;=35,"26-35",A610&lt;=45,"36-45",A610&lt;=55,"46-55",A610&gt;55,"55+")</f>
        <v>46-55</v>
      </c>
      <c r="C610">
        <v>1</v>
      </c>
      <c r="D610" t="s">
        <v>32</v>
      </c>
      <c r="E610">
        <v>436</v>
      </c>
      <c r="F610" t="s">
        <v>33</v>
      </c>
      <c r="G610">
        <v>2</v>
      </c>
      <c r="H610" t="s">
        <v>49</v>
      </c>
      <c r="I610" t="s">
        <v>59</v>
      </c>
      <c r="J610" t="s">
        <v>38</v>
      </c>
      <c r="K610" t="s">
        <v>50</v>
      </c>
      <c r="L610">
        <v>37</v>
      </c>
      <c r="M610" t="s">
        <v>38</v>
      </c>
      <c r="N610" t="s">
        <v>39</v>
      </c>
      <c r="O610" t="s">
        <v>40</v>
      </c>
      <c r="P610" t="s">
        <v>41</v>
      </c>
      <c r="Q610" t="s">
        <v>42</v>
      </c>
      <c r="R610">
        <v>5160</v>
      </c>
      <c r="S610">
        <v>21519</v>
      </c>
      <c r="T610">
        <v>4</v>
      </c>
      <c r="U610" t="s">
        <v>46</v>
      </c>
      <c r="V610">
        <v>16</v>
      </c>
      <c r="W610" t="s">
        <v>43</v>
      </c>
      <c r="X610" t="s">
        <v>38</v>
      </c>
      <c r="Y610">
        <v>0</v>
      </c>
      <c r="Z610">
        <v>12</v>
      </c>
      <c r="AA610">
        <v>3</v>
      </c>
      <c r="AB610" t="s">
        <v>60</v>
      </c>
      <c r="AC610">
        <v>9</v>
      </c>
      <c r="AD610" t="str" cm="1">
        <f t="array" ref="AD610">_xlfn.IFS(AC610&lt;=5,"0-5",AC610&lt;=10,"5-10",AC610&lt;=40,"10-40")</f>
        <v>5-10</v>
      </c>
      <c r="AE610">
        <v>7</v>
      </c>
      <c r="AF610">
        <v>7</v>
      </c>
      <c r="AG610">
        <v>3</v>
      </c>
      <c r="AH610">
        <v>609</v>
      </c>
    </row>
    <row r="611" spans="1:34" x14ac:dyDescent="0.3">
      <c r="A611">
        <v>43</v>
      </c>
      <c r="B611" t="str" cm="1">
        <f t="array" ref="B611">_xlfn.IFS(A611&lt;=25,"18-25",A611&lt;=35,"26-35",A611&lt;=45,"36-45",A611&lt;=55,"46-55",A611&gt;55,"55+")</f>
        <v>36-45</v>
      </c>
      <c r="C611">
        <v>0</v>
      </c>
      <c r="D611" t="s">
        <v>32</v>
      </c>
      <c r="E611">
        <v>589</v>
      </c>
      <c r="F611" t="s">
        <v>48</v>
      </c>
      <c r="G611">
        <v>14</v>
      </c>
      <c r="H611" t="s">
        <v>34</v>
      </c>
      <c r="I611" t="s">
        <v>35</v>
      </c>
      <c r="J611" t="s">
        <v>36</v>
      </c>
      <c r="K611" t="s">
        <v>50</v>
      </c>
      <c r="L611">
        <v>94</v>
      </c>
      <c r="M611" t="s">
        <v>38</v>
      </c>
      <c r="N611" t="s">
        <v>67</v>
      </c>
      <c r="O611" t="s">
        <v>70</v>
      </c>
      <c r="P611" t="s">
        <v>44</v>
      </c>
      <c r="Q611" t="s">
        <v>52</v>
      </c>
      <c r="R611">
        <v>17159</v>
      </c>
      <c r="S611">
        <v>5200</v>
      </c>
      <c r="T611">
        <v>6</v>
      </c>
      <c r="U611" t="s">
        <v>46</v>
      </c>
      <c r="V611">
        <v>24</v>
      </c>
      <c r="W611" t="s">
        <v>53</v>
      </c>
      <c r="X611" t="s">
        <v>38</v>
      </c>
      <c r="Y611">
        <v>1</v>
      </c>
      <c r="Z611">
        <v>22</v>
      </c>
      <c r="AA611">
        <v>3</v>
      </c>
      <c r="AB611" t="s">
        <v>54</v>
      </c>
      <c r="AC611">
        <v>4</v>
      </c>
      <c r="AD611" t="str" cm="1">
        <f t="array" ref="AD611">_xlfn.IFS(AC611&lt;=5,"0-5",AC611&lt;=10,"5-10",AC611&lt;=40,"10-40")</f>
        <v>0-5</v>
      </c>
      <c r="AE611">
        <v>1</v>
      </c>
      <c r="AF611">
        <v>1</v>
      </c>
      <c r="AG611">
        <v>0</v>
      </c>
      <c r="AH611">
        <v>610</v>
      </c>
    </row>
    <row r="612" spans="1:34" x14ac:dyDescent="0.3">
      <c r="A612">
        <v>27</v>
      </c>
      <c r="B612" t="str" cm="1">
        <f t="array" ref="B612">_xlfn.IFS(A612&lt;=25,"18-25",A612&lt;=35,"26-35",A612&lt;=45,"36-45",A612&lt;=55,"46-55",A612&gt;55,"55+")</f>
        <v>26-35</v>
      </c>
      <c r="C612">
        <v>0</v>
      </c>
      <c r="D612" t="s">
        <v>32</v>
      </c>
      <c r="E612">
        <v>269</v>
      </c>
      <c r="F612" t="s">
        <v>48</v>
      </c>
      <c r="G612">
        <v>5</v>
      </c>
      <c r="H612" t="s">
        <v>49</v>
      </c>
      <c r="I612" t="s">
        <v>74</v>
      </c>
      <c r="J612" t="s">
        <v>38</v>
      </c>
      <c r="K612" t="s">
        <v>50</v>
      </c>
      <c r="L612">
        <v>42</v>
      </c>
      <c r="M612" t="s">
        <v>36</v>
      </c>
      <c r="N612" t="s">
        <v>63</v>
      </c>
      <c r="O612" t="s">
        <v>70</v>
      </c>
      <c r="P612" t="s">
        <v>41</v>
      </c>
      <c r="Q612" t="s">
        <v>62</v>
      </c>
      <c r="R612">
        <v>12808</v>
      </c>
      <c r="S612">
        <v>8842</v>
      </c>
      <c r="T612">
        <v>1</v>
      </c>
      <c r="U612" t="s">
        <v>31</v>
      </c>
      <c r="V612">
        <v>16</v>
      </c>
      <c r="W612" t="s">
        <v>43</v>
      </c>
      <c r="X612" t="s">
        <v>36</v>
      </c>
      <c r="Y612">
        <v>1</v>
      </c>
      <c r="Z612">
        <v>9</v>
      </c>
      <c r="AA612">
        <v>3</v>
      </c>
      <c r="AB612" t="s">
        <v>54</v>
      </c>
      <c r="AC612">
        <v>9</v>
      </c>
      <c r="AD612" t="str" cm="1">
        <f t="array" ref="AD612">_xlfn.IFS(AC612&lt;=5,"0-5",AC612&lt;=10,"5-10",AC612&lt;=40,"10-40")</f>
        <v>5-10</v>
      </c>
      <c r="AE612">
        <v>8</v>
      </c>
      <c r="AF612">
        <v>0</v>
      </c>
      <c r="AG612">
        <v>8</v>
      </c>
      <c r="AH612">
        <v>611</v>
      </c>
    </row>
    <row r="613" spans="1:34" x14ac:dyDescent="0.3">
      <c r="A613">
        <v>35</v>
      </c>
      <c r="B613" t="str" cm="1">
        <f t="array" ref="B613">_xlfn.IFS(A613&lt;=25,"18-25",A613&lt;=35,"26-35",A613&lt;=45,"36-45",A613&lt;=55,"46-55",A613&gt;55,"55+")</f>
        <v>26-35</v>
      </c>
      <c r="C613">
        <v>0</v>
      </c>
      <c r="D613" t="s">
        <v>32</v>
      </c>
      <c r="E613">
        <v>950</v>
      </c>
      <c r="F613" t="s">
        <v>48</v>
      </c>
      <c r="G613">
        <v>7</v>
      </c>
      <c r="H613" t="s">
        <v>61</v>
      </c>
      <c r="I613" t="s">
        <v>55</v>
      </c>
      <c r="J613" t="s">
        <v>38</v>
      </c>
      <c r="K613" t="s">
        <v>50</v>
      </c>
      <c r="L613">
        <v>59</v>
      </c>
      <c r="M613" t="s">
        <v>38</v>
      </c>
      <c r="N613" t="s">
        <v>63</v>
      </c>
      <c r="O613" t="s">
        <v>64</v>
      </c>
      <c r="P613" t="s">
        <v>38</v>
      </c>
      <c r="Q613" t="s">
        <v>42</v>
      </c>
      <c r="R613">
        <v>10221</v>
      </c>
      <c r="S613">
        <v>18869</v>
      </c>
      <c r="T613">
        <v>3</v>
      </c>
      <c r="U613" t="s">
        <v>46</v>
      </c>
      <c r="V613">
        <v>21</v>
      </c>
      <c r="W613" t="s">
        <v>53</v>
      </c>
      <c r="X613" t="s">
        <v>36</v>
      </c>
      <c r="Y613">
        <v>0</v>
      </c>
      <c r="Z613">
        <v>17</v>
      </c>
      <c r="AA613">
        <v>3</v>
      </c>
      <c r="AB613" t="s">
        <v>73</v>
      </c>
      <c r="AC613">
        <v>8</v>
      </c>
      <c r="AD613" t="str" cm="1">
        <f t="array" ref="AD613">_xlfn.IFS(AC613&lt;=5,"0-5",AC613&lt;=10,"5-10",AC613&lt;=40,"10-40")</f>
        <v>5-10</v>
      </c>
      <c r="AE613">
        <v>5</v>
      </c>
      <c r="AF613">
        <v>1</v>
      </c>
      <c r="AG613">
        <v>6</v>
      </c>
      <c r="AH613">
        <v>612</v>
      </c>
    </row>
    <row r="614" spans="1:34" x14ac:dyDescent="0.3">
      <c r="A614">
        <v>28</v>
      </c>
      <c r="B614" t="str" cm="1">
        <f t="array" ref="B614">_xlfn.IFS(A614&lt;=25,"18-25",A614&lt;=35,"26-35",A614&lt;=45,"36-45",A614&lt;=55,"46-55",A614&gt;55,"55+")</f>
        <v>26-35</v>
      </c>
      <c r="C614">
        <v>0</v>
      </c>
      <c r="D614" t="s">
        <v>32</v>
      </c>
      <c r="E614">
        <v>760</v>
      </c>
      <c r="F614" t="s">
        <v>33</v>
      </c>
      <c r="G614">
        <v>2</v>
      </c>
      <c r="H614" t="s">
        <v>58</v>
      </c>
      <c r="I614" t="s">
        <v>72</v>
      </c>
      <c r="J614" t="s">
        <v>36</v>
      </c>
      <c r="K614" t="s">
        <v>37</v>
      </c>
      <c r="L614">
        <v>81</v>
      </c>
      <c r="M614" t="s">
        <v>38</v>
      </c>
      <c r="N614" t="s">
        <v>39</v>
      </c>
      <c r="O614" t="s">
        <v>40</v>
      </c>
      <c r="P614" t="s">
        <v>36</v>
      </c>
      <c r="Q614" t="s">
        <v>52</v>
      </c>
      <c r="R614">
        <v>4779</v>
      </c>
      <c r="S614">
        <v>3698</v>
      </c>
      <c r="T614">
        <v>1</v>
      </c>
      <c r="U614" t="s">
        <v>31</v>
      </c>
      <c r="V614">
        <v>20</v>
      </c>
      <c r="W614" t="s">
        <v>53</v>
      </c>
      <c r="X614" t="s">
        <v>44</v>
      </c>
      <c r="Y614">
        <v>0</v>
      </c>
      <c r="Z614">
        <v>8</v>
      </c>
      <c r="AA614">
        <v>2</v>
      </c>
      <c r="AB614" t="s">
        <v>54</v>
      </c>
      <c r="AC614">
        <v>8</v>
      </c>
      <c r="AD614" t="str" cm="1">
        <f t="array" ref="AD614">_xlfn.IFS(AC614&lt;=5,"0-5",AC614&lt;=10,"5-10",AC614&lt;=40,"10-40")</f>
        <v>5-10</v>
      </c>
      <c r="AE614">
        <v>7</v>
      </c>
      <c r="AF614">
        <v>7</v>
      </c>
      <c r="AG614">
        <v>5</v>
      </c>
      <c r="AH614">
        <v>613</v>
      </c>
    </row>
    <row r="615" spans="1:34" x14ac:dyDescent="0.3">
      <c r="A615">
        <v>34</v>
      </c>
      <c r="B615" t="str" cm="1">
        <f t="array" ref="B615">_xlfn.IFS(A615&lt;=25,"18-25",A615&lt;=35,"26-35",A615&lt;=45,"36-45",A615&lt;=55,"46-55",A615&gt;55,"55+")</f>
        <v>26-35</v>
      </c>
      <c r="C615">
        <v>0</v>
      </c>
      <c r="D615" t="s">
        <v>32</v>
      </c>
      <c r="E615">
        <v>829</v>
      </c>
      <c r="F615" t="s">
        <v>76</v>
      </c>
      <c r="G615">
        <v>3</v>
      </c>
      <c r="H615" t="s">
        <v>34</v>
      </c>
      <c r="I615" t="s">
        <v>76</v>
      </c>
      <c r="J615" t="s">
        <v>38</v>
      </c>
      <c r="K615" t="s">
        <v>50</v>
      </c>
      <c r="L615">
        <v>88</v>
      </c>
      <c r="M615" t="s">
        <v>38</v>
      </c>
      <c r="N615" t="s">
        <v>56</v>
      </c>
      <c r="O615" t="s">
        <v>76</v>
      </c>
      <c r="P615" t="s">
        <v>41</v>
      </c>
      <c r="Q615" t="s">
        <v>52</v>
      </c>
      <c r="R615">
        <v>3737</v>
      </c>
      <c r="S615">
        <v>2243</v>
      </c>
      <c r="T615">
        <v>0</v>
      </c>
      <c r="U615" t="s">
        <v>46</v>
      </c>
      <c r="V615">
        <v>19</v>
      </c>
      <c r="W615" t="s">
        <v>43</v>
      </c>
      <c r="X615" t="s">
        <v>38</v>
      </c>
      <c r="Y615">
        <v>1</v>
      </c>
      <c r="Z615">
        <v>4</v>
      </c>
      <c r="AA615">
        <v>1</v>
      </c>
      <c r="AB615" t="s">
        <v>45</v>
      </c>
      <c r="AC615">
        <v>3</v>
      </c>
      <c r="AD615" t="str" cm="1">
        <f t="array" ref="AD615">_xlfn.IFS(AC615&lt;=5,"0-5",AC615&lt;=10,"5-10",AC615&lt;=40,"10-40")</f>
        <v>0-5</v>
      </c>
      <c r="AE615">
        <v>2</v>
      </c>
      <c r="AF615">
        <v>0</v>
      </c>
      <c r="AG615">
        <v>2</v>
      </c>
      <c r="AH615">
        <v>614</v>
      </c>
    </row>
    <row r="616" spans="1:34" x14ac:dyDescent="0.3">
      <c r="A616">
        <v>26</v>
      </c>
      <c r="B616" t="str" cm="1">
        <f t="array" ref="B616">_xlfn.IFS(A616&lt;=25,"18-25",A616&lt;=35,"26-35",A616&lt;=45,"36-45",A616&lt;=55,"46-55",A616&gt;55,"55+")</f>
        <v>26-35</v>
      </c>
      <c r="C616">
        <v>1</v>
      </c>
      <c r="D616" t="s">
        <v>47</v>
      </c>
      <c r="E616">
        <v>887</v>
      </c>
      <c r="F616" t="s">
        <v>48</v>
      </c>
      <c r="G616">
        <v>5</v>
      </c>
      <c r="H616" t="s">
        <v>34</v>
      </c>
      <c r="I616" t="s">
        <v>59</v>
      </c>
      <c r="J616" t="s">
        <v>38</v>
      </c>
      <c r="K616" t="s">
        <v>37</v>
      </c>
      <c r="L616">
        <v>88</v>
      </c>
      <c r="M616" t="s">
        <v>36</v>
      </c>
      <c r="N616" t="s">
        <v>56</v>
      </c>
      <c r="O616" t="s">
        <v>51</v>
      </c>
      <c r="P616" t="s">
        <v>38</v>
      </c>
      <c r="Q616" t="s">
        <v>52</v>
      </c>
      <c r="R616">
        <v>2366</v>
      </c>
      <c r="S616">
        <v>20898</v>
      </c>
      <c r="T616">
        <v>1</v>
      </c>
      <c r="U616" t="s">
        <v>31</v>
      </c>
      <c r="V616">
        <v>14</v>
      </c>
      <c r="W616" t="s">
        <v>43</v>
      </c>
      <c r="X616" t="s">
        <v>44</v>
      </c>
      <c r="Y616">
        <v>1</v>
      </c>
      <c r="Z616">
        <v>8</v>
      </c>
      <c r="AA616">
        <v>2</v>
      </c>
      <c r="AB616" t="s">
        <v>54</v>
      </c>
      <c r="AC616">
        <v>8</v>
      </c>
      <c r="AD616" t="str" cm="1">
        <f t="array" ref="AD616">_xlfn.IFS(AC616&lt;=5,"0-5",AC616&lt;=10,"5-10",AC616&lt;=40,"10-40")</f>
        <v>5-10</v>
      </c>
      <c r="AE616">
        <v>7</v>
      </c>
      <c r="AF616">
        <v>1</v>
      </c>
      <c r="AG616">
        <v>7</v>
      </c>
      <c r="AH616">
        <v>615</v>
      </c>
    </row>
    <row r="617" spans="1:34" x14ac:dyDescent="0.3">
      <c r="A617">
        <v>27</v>
      </c>
      <c r="B617" t="str" cm="1">
        <f t="array" ref="B617">_xlfn.IFS(A617&lt;=25,"18-25",A617&lt;=35,"26-35",A617&lt;=45,"36-45",A617&lt;=55,"46-55",A617&gt;55,"55+")</f>
        <v>26-35</v>
      </c>
      <c r="C617">
        <v>0</v>
      </c>
      <c r="D617" t="s">
        <v>66</v>
      </c>
      <c r="E617">
        <v>443</v>
      </c>
      <c r="F617" t="s">
        <v>48</v>
      </c>
      <c r="G617">
        <v>3</v>
      </c>
      <c r="H617" t="s">
        <v>61</v>
      </c>
      <c r="I617" t="s">
        <v>59</v>
      </c>
      <c r="J617" t="s">
        <v>41</v>
      </c>
      <c r="K617" t="s">
        <v>50</v>
      </c>
      <c r="L617">
        <v>50</v>
      </c>
      <c r="M617" t="s">
        <v>38</v>
      </c>
      <c r="N617" t="s">
        <v>56</v>
      </c>
      <c r="O617" t="s">
        <v>51</v>
      </c>
      <c r="P617" t="s">
        <v>41</v>
      </c>
      <c r="Q617" t="s">
        <v>52</v>
      </c>
      <c r="R617">
        <v>1706</v>
      </c>
      <c r="S617">
        <v>16571</v>
      </c>
      <c r="T617">
        <v>1</v>
      </c>
      <c r="U617" t="s">
        <v>46</v>
      </c>
      <c r="V617">
        <v>11</v>
      </c>
      <c r="W617" t="s">
        <v>43</v>
      </c>
      <c r="X617" t="s">
        <v>38</v>
      </c>
      <c r="Y617">
        <v>3</v>
      </c>
      <c r="Z617">
        <v>0</v>
      </c>
      <c r="AA617">
        <v>6</v>
      </c>
      <c r="AB617" t="s">
        <v>60</v>
      </c>
      <c r="AC617">
        <v>0</v>
      </c>
      <c r="AD617" t="str" cm="1">
        <f t="array" ref="AD617">_xlfn.IFS(AC617&lt;=5,"0-5",AC617&lt;=10,"5-10",AC617&lt;=40,"10-40")</f>
        <v>0-5</v>
      </c>
      <c r="AE617">
        <v>0</v>
      </c>
      <c r="AF617">
        <v>0</v>
      </c>
      <c r="AG617">
        <v>0</v>
      </c>
      <c r="AH617">
        <v>616</v>
      </c>
    </row>
    <row r="618" spans="1:34" x14ac:dyDescent="0.3">
      <c r="A618">
        <v>51</v>
      </c>
      <c r="B618" t="str" cm="1">
        <f t="array" ref="B618">_xlfn.IFS(A618&lt;=25,"18-25",A618&lt;=35,"26-35",A618&lt;=45,"36-45",A618&lt;=55,"46-55",A618&gt;55,"55+")</f>
        <v>46-55</v>
      </c>
      <c r="C618">
        <v>0</v>
      </c>
      <c r="D618" t="s">
        <v>32</v>
      </c>
      <c r="E618">
        <v>1318</v>
      </c>
      <c r="F618" t="s">
        <v>33</v>
      </c>
      <c r="G618">
        <v>26</v>
      </c>
      <c r="H618" t="s">
        <v>58</v>
      </c>
      <c r="I618" t="s">
        <v>72</v>
      </c>
      <c r="J618" t="s">
        <v>44</v>
      </c>
      <c r="K618" t="s">
        <v>37</v>
      </c>
      <c r="L618">
        <v>66</v>
      </c>
      <c r="M618" t="s">
        <v>38</v>
      </c>
      <c r="N618" t="s">
        <v>67</v>
      </c>
      <c r="O618" t="s">
        <v>68</v>
      </c>
      <c r="P618" t="s">
        <v>38</v>
      </c>
      <c r="Q618" t="s">
        <v>52</v>
      </c>
      <c r="R618">
        <v>16307</v>
      </c>
      <c r="S618">
        <v>5594</v>
      </c>
      <c r="T618">
        <v>2</v>
      </c>
      <c r="U618" t="s">
        <v>46</v>
      </c>
      <c r="V618">
        <v>14</v>
      </c>
      <c r="W618" t="s">
        <v>43</v>
      </c>
      <c r="X618" t="s">
        <v>38</v>
      </c>
      <c r="Y618">
        <v>1</v>
      </c>
      <c r="Z618">
        <v>29</v>
      </c>
      <c r="AA618">
        <v>2</v>
      </c>
      <c r="AB618" t="s">
        <v>60</v>
      </c>
      <c r="AC618">
        <v>20</v>
      </c>
      <c r="AD618" t="str" cm="1">
        <f t="array" ref="AD618">_xlfn.IFS(AC618&lt;=5,"0-5",AC618&lt;=10,"5-10",AC618&lt;=40,"10-40")</f>
        <v>10-40</v>
      </c>
      <c r="AE618">
        <v>6</v>
      </c>
      <c r="AF618">
        <v>4</v>
      </c>
      <c r="AG618">
        <v>17</v>
      </c>
      <c r="AH618">
        <v>617</v>
      </c>
    </row>
    <row r="619" spans="1:34" x14ac:dyDescent="0.3">
      <c r="A619">
        <v>44</v>
      </c>
      <c r="B619" t="str" cm="1">
        <f t="array" ref="B619">_xlfn.IFS(A619&lt;=25,"18-25",A619&lt;=35,"26-35",A619&lt;=45,"36-45",A619&lt;=55,"46-55",A619&gt;55,"55+")</f>
        <v>36-45</v>
      </c>
      <c r="C619">
        <v>0</v>
      </c>
      <c r="D619" t="s">
        <v>32</v>
      </c>
      <c r="E619">
        <v>625</v>
      </c>
      <c r="F619" t="s">
        <v>48</v>
      </c>
      <c r="G619">
        <v>4</v>
      </c>
      <c r="H619" t="s">
        <v>61</v>
      </c>
      <c r="I619" t="s">
        <v>59</v>
      </c>
      <c r="J619" t="s">
        <v>41</v>
      </c>
      <c r="K619" t="s">
        <v>50</v>
      </c>
      <c r="L619">
        <v>50</v>
      </c>
      <c r="M619" t="s">
        <v>38</v>
      </c>
      <c r="N619" t="s">
        <v>39</v>
      </c>
      <c r="O619" t="s">
        <v>65</v>
      </c>
      <c r="P619" t="s">
        <v>36</v>
      </c>
      <c r="Q619" t="s">
        <v>42</v>
      </c>
      <c r="R619">
        <v>5933</v>
      </c>
      <c r="S619">
        <v>5197</v>
      </c>
      <c r="T619">
        <v>9</v>
      </c>
      <c r="U619" t="s">
        <v>46</v>
      </c>
      <c r="V619">
        <v>12</v>
      </c>
      <c r="W619" t="s">
        <v>43</v>
      </c>
      <c r="X619" t="s">
        <v>41</v>
      </c>
      <c r="Y619">
        <v>0</v>
      </c>
      <c r="Z619">
        <v>10</v>
      </c>
      <c r="AA619">
        <v>2</v>
      </c>
      <c r="AB619" t="s">
        <v>60</v>
      </c>
      <c r="AC619">
        <v>5</v>
      </c>
      <c r="AD619" t="str" cm="1">
        <f t="array" ref="AD619">_xlfn.IFS(AC619&lt;=5,"0-5",AC619&lt;=10,"5-10",AC619&lt;=40,"10-40")</f>
        <v>0-5</v>
      </c>
      <c r="AE619">
        <v>2</v>
      </c>
      <c r="AF619">
        <v>2</v>
      </c>
      <c r="AG619">
        <v>3</v>
      </c>
      <c r="AH619">
        <v>618</v>
      </c>
    </row>
    <row r="620" spans="1:34" x14ac:dyDescent="0.3">
      <c r="A620">
        <v>25</v>
      </c>
      <c r="B620" t="str" cm="1">
        <f t="array" ref="B620">_xlfn.IFS(A620&lt;=25,"18-25",A620&lt;=35,"26-35",A620&lt;=45,"36-45",A620&lt;=55,"46-55",A620&gt;55,"55+")</f>
        <v>18-25</v>
      </c>
      <c r="C620">
        <v>0</v>
      </c>
      <c r="D620" t="s">
        <v>32</v>
      </c>
      <c r="E620">
        <v>180</v>
      </c>
      <c r="F620" t="s">
        <v>48</v>
      </c>
      <c r="G620">
        <v>2</v>
      </c>
      <c r="H620" t="s">
        <v>49</v>
      </c>
      <c r="I620" t="s">
        <v>59</v>
      </c>
      <c r="J620" t="s">
        <v>44</v>
      </c>
      <c r="K620" t="s">
        <v>50</v>
      </c>
      <c r="L620">
        <v>65</v>
      </c>
      <c r="M620" t="s">
        <v>41</v>
      </c>
      <c r="N620" t="s">
        <v>56</v>
      </c>
      <c r="O620" t="s">
        <v>51</v>
      </c>
      <c r="P620" t="s">
        <v>44</v>
      </c>
      <c r="Q620" t="s">
        <v>42</v>
      </c>
      <c r="R620">
        <v>3424</v>
      </c>
      <c r="S620">
        <v>21632</v>
      </c>
      <c r="T620">
        <v>7</v>
      </c>
      <c r="U620" t="s">
        <v>46</v>
      </c>
      <c r="V620">
        <v>13</v>
      </c>
      <c r="W620" t="s">
        <v>43</v>
      </c>
      <c r="X620" t="s">
        <v>38</v>
      </c>
      <c r="Y620">
        <v>0</v>
      </c>
      <c r="Z620">
        <v>6</v>
      </c>
      <c r="AA620">
        <v>3</v>
      </c>
      <c r="AB620" t="s">
        <v>60</v>
      </c>
      <c r="AC620">
        <v>4</v>
      </c>
      <c r="AD620" t="str" cm="1">
        <f t="array" ref="AD620">_xlfn.IFS(AC620&lt;=5,"0-5",AC620&lt;=10,"5-10",AC620&lt;=40,"10-40")</f>
        <v>0-5</v>
      </c>
      <c r="AE620">
        <v>3</v>
      </c>
      <c r="AF620">
        <v>0</v>
      </c>
      <c r="AG620">
        <v>1</v>
      </c>
      <c r="AH620">
        <v>619</v>
      </c>
    </row>
    <row r="621" spans="1:34" x14ac:dyDescent="0.3">
      <c r="A621">
        <v>33</v>
      </c>
      <c r="B621" t="str" cm="1">
        <f t="array" ref="B621">_xlfn.IFS(A621&lt;=25,"18-25",A621&lt;=35,"26-35",A621&lt;=45,"36-45",A621&lt;=55,"46-55",A621&gt;55,"55+")</f>
        <v>26-35</v>
      </c>
      <c r="C621">
        <v>0</v>
      </c>
      <c r="D621" t="s">
        <v>32</v>
      </c>
      <c r="E621">
        <v>586</v>
      </c>
      <c r="F621" t="s">
        <v>33</v>
      </c>
      <c r="G621">
        <v>1</v>
      </c>
      <c r="H621" t="s">
        <v>61</v>
      </c>
      <c r="I621" t="s">
        <v>59</v>
      </c>
      <c r="J621" t="s">
        <v>44</v>
      </c>
      <c r="K621" t="s">
        <v>50</v>
      </c>
      <c r="L621">
        <v>48</v>
      </c>
      <c r="M621" t="s">
        <v>41</v>
      </c>
      <c r="N621" t="s">
        <v>39</v>
      </c>
      <c r="O621" t="s">
        <v>40</v>
      </c>
      <c r="P621" t="s">
        <v>44</v>
      </c>
      <c r="Q621" t="s">
        <v>62</v>
      </c>
      <c r="R621">
        <v>4037</v>
      </c>
      <c r="S621">
        <v>21816</v>
      </c>
      <c r="T621">
        <v>1</v>
      </c>
      <c r="U621" t="s">
        <v>46</v>
      </c>
      <c r="V621">
        <v>22</v>
      </c>
      <c r="W621" t="s">
        <v>53</v>
      </c>
      <c r="X621" t="s">
        <v>44</v>
      </c>
      <c r="Y621">
        <v>1</v>
      </c>
      <c r="Z621">
        <v>9</v>
      </c>
      <c r="AA621">
        <v>5</v>
      </c>
      <c r="AB621" t="s">
        <v>54</v>
      </c>
      <c r="AC621">
        <v>9</v>
      </c>
      <c r="AD621" t="str" cm="1">
        <f t="array" ref="AD621">_xlfn.IFS(AC621&lt;=5,"0-5",AC621&lt;=10,"5-10",AC621&lt;=40,"10-40")</f>
        <v>5-10</v>
      </c>
      <c r="AE621">
        <v>8</v>
      </c>
      <c r="AF621">
        <v>0</v>
      </c>
      <c r="AG621">
        <v>8</v>
      </c>
      <c r="AH621">
        <v>620</v>
      </c>
    </row>
    <row r="622" spans="1:34" x14ac:dyDescent="0.3">
      <c r="A622">
        <v>35</v>
      </c>
      <c r="B622" t="str" cm="1">
        <f t="array" ref="B622">_xlfn.IFS(A622&lt;=25,"18-25",A622&lt;=35,"26-35",A622&lt;=45,"36-45",A622&lt;=55,"46-55",A622&gt;55,"55+")</f>
        <v>26-35</v>
      </c>
      <c r="C622">
        <v>0</v>
      </c>
      <c r="D622" t="s">
        <v>32</v>
      </c>
      <c r="E622">
        <v>1343</v>
      </c>
      <c r="F622" t="s">
        <v>48</v>
      </c>
      <c r="G622">
        <v>27</v>
      </c>
      <c r="H622" t="s">
        <v>49</v>
      </c>
      <c r="I622" t="s">
        <v>59</v>
      </c>
      <c r="J622" t="s">
        <v>38</v>
      </c>
      <c r="K622" t="s">
        <v>37</v>
      </c>
      <c r="L622">
        <v>53</v>
      </c>
      <c r="M622" t="s">
        <v>36</v>
      </c>
      <c r="N622" t="s">
        <v>56</v>
      </c>
      <c r="O622" t="s">
        <v>51</v>
      </c>
      <c r="P622" t="s">
        <v>44</v>
      </c>
      <c r="Q622" t="s">
        <v>42</v>
      </c>
      <c r="R622">
        <v>2559</v>
      </c>
      <c r="S622">
        <v>17852</v>
      </c>
      <c r="T622">
        <v>1</v>
      </c>
      <c r="U622" t="s">
        <v>46</v>
      </c>
      <c r="V622">
        <v>11</v>
      </c>
      <c r="W622" t="s">
        <v>43</v>
      </c>
      <c r="X622" t="s">
        <v>41</v>
      </c>
      <c r="Y622">
        <v>0</v>
      </c>
      <c r="Z622">
        <v>6</v>
      </c>
      <c r="AA622">
        <v>3</v>
      </c>
      <c r="AB622" t="s">
        <v>60</v>
      </c>
      <c r="AC622">
        <v>6</v>
      </c>
      <c r="AD622" t="str" cm="1">
        <f t="array" ref="AD622">_xlfn.IFS(AC622&lt;=5,"0-5",AC622&lt;=10,"5-10",AC622&lt;=40,"10-40")</f>
        <v>5-10</v>
      </c>
      <c r="AE622">
        <v>5</v>
      </c>
      <c r="AF622">
        <v>1</v>
      </c>
      <c r="AG622">
        <v>1</v>
      </c>
      <c r="AH622">
        <v>621</v>
      </c>
    </row>
    <row r="623" spans="1:34" x14ac:dyDescent="0.3">
      <c r="A623">
        <v>36</v>
      </c>
      <c r="B623" t="str" cm="1">
        <f t="array" ref="B623">_xlfn.IFS(A623&lt;=25,"18-25",A623&lt;=35,"26-35",A623&lt;=45,"36-45",A623&lt;=55,"46-55",A623&gt;55,"55+")</f>
        <v>36-45</v>
      </c>
      <c r="C623">
        <v>0</v>
      </c>
      <c r="D623" t="s">
        <v>32</v>
      </c>
      <c r="E623">
        <v>928</v>
      </c>
      <c r="F623" t="s">
        <v>33</v>
      </c>
      <c r="G623">
        <v>1</v>
      </c>
      <c r="H623" t="s">
        <v>34</v>
      </c>
      <c r="I623" t="s">
        <v>35</v>
      </c>
      <c r="J623" t="s">
        <v>36</v>
      </c>
      <c r="K623" t="s">
        <v>50</v>
      </c>
      <c r="L623">
        <v>56</v>
      </c>
      <c r="M623" t="s">
        <v>38</v>
      </c>
      <c r="N623" t="s">
        <v>39</v>
      </c>
      <c r="O623" t="s">
        <v>40</v>
      </c>
      <c r="P623" t="s">
        <v>41</v>
      </c>
      <c r="Q623" t="s">
        <v>52</v>
      </c>
      <c r="R623">
        <v>6201</v>
      </c>
      <c r="S623">
        <v>2823</v>
      </c>
      <c r="T623">
        <v>1</v>
      </c>
      <c r="U623" t="s">
        <v>31</v>
      </c>
      <c r="V623">
        <v>14</v>
      </c>
      <c r="W623" t="s">
        <v>43</v>
      </c>
      <c r="X623" t="s">
        <v>41</v>
      </c>
      <c r="Y623">
        <v>1</v>
      </c>
      <c r="Z623">
        <v>18</v>
      </c>
      <c r="AA623">
        <v>1</v>
      </c>
      <c r="AB623" t="s">
        <v>60</v>
      </c>
      <c r="AC623">
        <v>18</v>
      </c>
      <c r="AD623" t="str" cm="1">
        <f t="array" ref="AD623">_xlfn.IFS(AC623&lt;=5,"0-5",AC623&lt;=10,"5-10",AC623&lt;=40,"10-40")</f>
        <v>10-40</v>
      </c>
      <c r="AE623">
        <v>14</v>
      </c>
      <c r="AF623">
        <v>4</v>
      </c>
      <c r="AG623">
        <v>11</v>
      </c>
      <c r="AH623">
        <v>622</v>
      </c>
    </row>
    <row r="624" spans="1:34" x14ac:dyDescent="0.3">
      <c r="A624">
        <v>32</v>
      </c>
      <c r="B624" t="str" cm="1">
        <f t="array" ref="B624">_xlfn.IFS(A624&lt;=25,"18-25",A624&lt;=35,"26-35",A624&lt;=45,"36-45",A624&lt;=55,"46-55",A624&gt;55,"55+")</f>
        <v>26-35</v>
      </c>
      <c r="C624">
        <v>0</v>
      </c>
      <c r="D624" t="s">
        <v>32</v>
      </c>
      <c r="E624">
        <v>117</v>
      </c>
      <c r="F624" t="s">
        <v>33</v>
      </c>
      <c r="G624">
        <v>13</v>
      </c>
      <c r="H624" t="s">
        <v>58</v>
      </c>
      <c r="I624" t="s">
        <v>35</v>
      </c>
      <c r="J624" t="s">
        <v>36</v>
      </c>
      <c r="K624" t="s">
        <v>50</v>
      </c>
      <c r="L624">
        <v>73</v>
      </c>
      <c r="M624" t="s">
        <v>38</v>
      </c>
      <c r="N624" t="s">
        <v>39</v>
      </c>
      <c r="O624" t="s">
        <v>40</v>
      </c>
      <c r="P624" t="s">
        <v>41</v>
      </c>
      <c r="Q624" t="s">
        <v>62</v>
      </c>
      <c r="R624">
        <v>4403</v>
      </c>
      <c r="S624">
        <v>9250</v>
      </c>
      <c r="T624">
        <v>2</v>
      </c>
      <c r="U624" t="s">
        <v>46</v>
      </c>
      <c r="V624">
        <v>11</v>
      </c>
      <c r="W624" t="s">
        <v>43</v>
      </c>
      <c r="X624" t="s">
        <v>38</v>
      </c>
      <c r="Y624">
        <v>1</v>
      </c>
      <c r="Z624">
        <v>8</v>
      </c>
      <c r="AA624">
        <v>3</v>
      </c>
      <c r="AB624" t="s">
        <v>60</v>
      </c>
      <c r="AC624">
        <v>5</v>
      </c>
      <c r="AD624" t="str" cm="1">
        <f t="array" ref="AD624">_xlfn.IFS(AC624&lt;=5,"0-5",AC624&lt;=10,"5-10",AC624&lt;=40,"10-40")</f>
        <v>0-5</v>
      </c>
      <c r="AE624">
        <v>2</v>
      </c>
      <c r="AF624">
        <v>0</v>
      </c>
      <c r="AG624">
        <v>3</v>
      </c>
      <c r="AH624">
        <v>623</v>
      </c>
    </row>
    <row r="625" spans="1:34" x14ac:dyDescent="0.3">
      <c r="A625">
        <v>30</v>
      </c>
      <c r="B625" t="str" cm="1">
        <f t="array" ref="B625">_xlfn.IFS(A625&lt;=25,"18-25",A625&lt;=35,"26-35",A625&lt;=45,"36-45",A625&lt;=55,"46-55",A625&gt;55,"55+")</f>
        <v>26-35</v>
      </c>
      <c r="C625">
        <v>0</v>
      </c>
      <c r="D625" t="s">
        <v>47</v>
      </c>
      <c r="E625">
        <v>1012</v>
      </c>
      <c r="F625" t="s">
        <v>48</v>
      </c>
      <c r="G625">
        <v>5</v>
      </c>
      <c r="H625" t="s">
        <v>58</v>
      </c>
      <c r="I625" t="s">
        <v>35</v>
      </c>
      <c r="J625" t="s">
        <v>36</v>
      </c>
      <c r="K625" t="s">
        <v>50</v>
      </c>
      <c r="L625">
        <v>75</v>
      </c>
      <c r="M625" t="s">
        <v>36</v>
      </c>
      <c r="N625" t="s">
        <v>56</v>
      </c>
      <c r="O625" t="s">
        <v>51</v>
      </c>
      <c r="P625" t="s">
        <v>41</v>
      </c>
      <c r="Q625" t="s">
        <v>62</v>
      </c>
      <c r="R625">
        <v>3761</v>
      </c>
      <c r="S625">
        <v>2373</v>
      </c>
      <c r="T625">
        <v>9</v>
      </c>
      <c r="U625" t="s">
        <v>46</v>
      </c>
      <c r="V625">
        <v>12</v>
      </c>
      <c r="W625" t="s">
        <v>43</v>
      </c>
      <c r="X625" t="s">
        <v>36</v>
      </c>
      <c r="Y625">
        <v>1</v>
      </c>
      <c r="Z625">
        <v>10</v>
      </c>
      <c r="AA625">
        <v>3</v>
      </c>
      <c r="AB625" t="s">
        <v>60</v>
      </c>
      <c r="AC625">
        <v>5</v>
      </c>
      <c r="AD625" t="str" cm="1">
        <f t="array" ref="AD625">_xlfn.IFS(AC625&lt;=5,"0-5",AC625&lt;=10,"5-10",AC625&lt;=40,"10-40")</f>
        <v>0-5</v>
      </c>
      <c r="AE625">
        <v>4</v>
      </c>
      <c r="AF625">
        <v>0</v>
      </c>
      <c r="AG625">
        <v>3</v>
      </c>
      <c r="AH625">
        <v>624</v>
      </c>
    </row>
    <row r="626" spans="1:34" x14ac:dyDescent="0.3">
      <c r="A626">
        <v>53</v>
      </c>
      <c r="B626" t="str" cm="1">
        <f t="array" ref="B626">_xlfn.IFS(A626&lt;=25,"18-25",A626&lt;=35,"26-35",A626&lt;=45,"36-45",A626&lt;=55,"46-55",A626&gt;55,"55+")</f>
        <v>46-55</v>
      </c>
      <c r="C626">
        <v>0</v>
      </c>
      <c r="D626" t="s">
        <v>32</v>
      </c>
      <c r="E626">
        <v>661</v>
      </c>
      <c r="F626" t="s">
        <v>33</v>
      </c>
      <c r="G626">
        <v>7</v>
      </c>
      <c r="H626" t="s">
        <v>34</v>
      </c>
      <c r="I626" t="s">
        <v>72</v>
      </c>
      <c r="J626" t="s">
        <v>44</v>
      </c>
      <c r="K626" t="s">
        <v>37</v>
      </c>
      <c r="L626">
        <v>78</v>
      </c>
      <c r="M626" t="s">
        <v>36</v>
      </c>
      <c r="N626" t="s">
        <v>63</v>
      </c>
      <c r="O626" t="s">
        <v>40</v>
      </c>
      <c r="P626" t="s">
        <v>41</v>
      </c>
      <c r="Q626" t="s">
        <v>52</v>
      </c>
      <c r="R626">
        <v>10934</v>
      </c>
      <c r="S626">
        <v>20715</v>
      </c>
      <c r="T626">
        <v>7</v>
      </c>
      <c r="U626" t="s">
        <v>31</v>
      </c>
      <c r="V626">
        <v>18</v>
      </c>
      <c r="W626" t="s">
        <v>43</v>
      </c>
      <c r="X626" t="s">
        <v>41</v>
      </c>
      <c r="Y626">
        <v>1</v>
      </c>
      <c r="Z626">
        <v>35</v>
      </c>
      <c r="AA626">
        <v>3</v>
      </c>
      <c r="AB626" t="s">
        <v>54</v>
      </c>
      <c r="AC626">
        <v>5</v>
      </c>
      <c r="AD626" t="str" cm="1">
        <f t="array" ref="AD626">_xlfn.IFS(AC626&lt;=5,"0-5",AC626&lt;=10,"5-10",AC626&lt;=40,"10-40")</f>
        <v>0-5</v>
      </c>
      <c r="AE626">
        <v>2</v>
      </c>
      <c r="AF626">
        <v>0</v>
      </c>
      <c r="AG626">
        <v>4</v>
      </c>
      <c r="AH626">
        <v>625</v>
      </c>
    </row>
    <row r="627" spans="1:34" x14ac:dyDescent="0.3">
      <c r="A627">
        <v>45</v>
      </c>
      <c r="B627" t="str" cm="1">
        <f t="array" ref="B627">_xlfn.IFS(A627&lt;=25,"18-25",A627&lt;=35,"26-35",A627&lt;=45,"36-45",A627&lt;=55,"46-55",A627&gt;55,"55+")</f>
        <v>36-45</v>
      </c>
      <c r="C627">
        <v>0</v>
      </c>
      <c r="D627" t="s">
        <v>32</v>
      </c>
      <c r="E627">
        <v>930</v>
      </c>
      <c r="F627" t="s">
        <v>33</v>
      </c>
      <c r="G627">
        <v>9</v>
      </c>
      <c r="H627" t="s">
        <v>61</v>
      </c>
      <c r="I627" t="s">
        <v>72</v>
      </c>
      <c r="J627" t="s">
        <v>41</v>
      </c>
      <c r="K627" t="s">
        <v>50</v>
      </c>
      <c r="L627">
        <v>74</v>
      </c>
      <c r="M627" t="s">
        <v>38</v>
      </c>
      <c r="N627" t="s">
        <v>63</v>
      </c>
      <c r="O627" t="s">
        <v>40</v>
      </c>
      <c r="P627" t="s">
        <v>44</v>
      </c>
      <c r="Q627" t="s">
        <v>62</v>
      </c>
      <c r="R627">
        <v>10761</v>
      </c>
      <c r="S627">
        <v>19239</v>
      </c>
      <c r="T627">
        <v>4</v>
      </c>
      <c r="U627" t="s">
        <v>31</v>
      </c>
      <c r="V627">
        <v>12</v>
      </c>
      <c r="W627" t="s">
        <v>43</v>
      </c>
      <c r="X627" t="s">
        <v>38</v>
      </c>
      <c r="Y627">
        <v>1</v>
      </c>
      <c r="Z627">
        <v>18</v>
      </c>
      <c r="AA627">
        <v>2</v>
      </c>
      <c r="AB627" t="s">
        <v>54</v>
      </c>
      <c r="AC627">
        <v>5</v>
      </c>
      <c r="AD627" t="str" cm="1">
        <f t="array" ref="AD627">_xlfn.IFS(AC627&lt;=5,"0-5",AC627&lt;=10,"5-10",AC627&lt;=40,"10-40")</f>
        <v>0-5</v>
      </c>
      <c r="AE627">
        <v>4</v>
      </c>
      <c r="AF627">
        <v>0</v>
      </c>
      <c r="AG627">
        <v>2</v>
      </c>
      <c r="AH627">
        <v>626</v>
      </c>
    </row>
    <row r="628" spans="1:34" x14ac:dyDescent="0.3">
      <c r="A628">
        <v>32</v>
      </c>
      <c r="B628" t="str" cm="1">
        <f t="array" ref="B628">_xlfn.IFS(A628&lt;=25,"18-25",A628&lt;=35,"26-35",A628&lt;=45,"36-45",A628&lt;=55,"46-55",A628&gt;55,"55+")</f>
        <v>26-35</v>
      </c>
      <c r="C628">
        <v>0</v>
      </c>
      <c r="D628" t="s">
        <v>32</v>
      </c>
      <c r="E628">
        <v>638</v>
      </c>
      <c r="F628" t="s">
        <v>48</v>
      </c>
      <c r="G628">
        <v>8</v>
      </c>
      <c r="H628" t="s">
        <v>34</v>
      </c>
      <c r="I628" t="s">
        <v>59</v>
      </c>
      <c r="J628" t="s">
        <v>38</v>
      </c>
      <c r="K628" t="s">
        <v>37</v>
      </c>
      <c r="L628">
        <v>91</v>
      </c>
      <c r="M628" t="s">
        <v>41</v>
      </c>
      <c r="N628" t="s">
        <v>39</v>
      </c>
      <c r="O628" t="s">
        <v>51</v>
      </c>
      <c r="P628" t="s">
        <v>38</v>
      </c>
      <c r="Q628" t="s">
        <v>52</v>
      </c>
      <c r="R628">
        <v>5175</v>
      </c>
      <c r="S628">
        <v>22162</v>
      </c>
      <c r="T628">
        <v>5</v>
      </c>
      <c r="U628" t="s">
        <v>46</v>
      </c>
      <c r="V628">
        <v>12</v>
      </c>
      <c r="W628" t="s">
        <v>43</v>
      </c>
      <c r="X628" t="s">
        <v>38</v>
      </c>
      <c r="Y628">
        <v>1</v>
      </c>
      <c r="Z628">
        <v>9</v>
      </c>
      <c r="AA628">
        <v>3</v>
      </c>
      <c r="AB628" t="s">
        <v>60</v>
      </c>
      <c r="AC628">
        <v>5</v>
      </c>
      <c r="AD628" t="str" cm="1">
        <f t="array" ref="AD628">_xlfn.IFS(AC628&lt;=5,"0-5",AC628&lt;=10,"5-10",AC628&lt;=40,"10-40")</f>
        <v>0-5</v>
      </c>
      <c r="AE628">
        <v>3</v>
      </c>
      <c r="AF628">
        <v>1</v>
      </c>
      <c r="AG628">
        <v>3</v>
      </c>
      <c r="AH628">
        <v>627</v>
      </c>
    </row>
    <row r="629" spans="1:34" x14ac:dyDescent="0.3">
      <c r="A629">
        <v>52</v>
      </c>
      <c r="B629" t="str" cm="1">
        <f t="array" ref="B629">_xlfn.IFS(A629&lt;=25,"18-25",A629&lt;=35,"26-35",A629&lt;=45,"36-45",A629&lt;=55,"46-55",A629&gt;55,"55+")</f>
        <v>46-55</v>
      </c>
      <c r="C629">
        <v>0</v>
      </c>
      <c r="D629" t="s">
        <v>47</v>
      </c>
      <c r="E629">
        <v>890</v>
      </c>
      <c r="F629" t="s">
        <v>48</v>
      </c>
      <c r="G629">
        <v>25</v>
      </c>
      <c r="H629" t="s">
        <v>58</v>
      </c>
      <c r="I629" t="s">
        <v>59</v>
      </c>
      <c r="J629" t="s">
        <v>38</v>
      </c>
      <c r="K629" t="s">
        <v>37</v>
      </c>
      <c r="L629">
        <v>81</v>
      </c>
      <c r="M629" t="s">
        <v>36</v>
      </c>
      <c r="N629" t="s">
        <v>67</v>
      </c>
      <c r="O629" t="s">
        <v>64</v>
      </c>
      <c r="P629" t="s">
        <v>41</v>
      </c>
      <c r="Q629" t="s">
        <v>52</v>
      </c>
      <c r="R629">
        <v>13826</v>
      </c>
      <c r="S629">
        <v>19028</v>
      </c>
      <c r="T629">
        <v>3</v>
      </c>
      <c r="U629" t="s">
        <v>46</v>
      </c>
      <c r="V629">
        <v>22</v>
      </c>
      <c r="W629" t="s">
        <v>53</v>
      </c>
      <c r="X629" t="s">
        <v>38</v>
      </c>
      <c r="Y629">
        <v>0</v>
      </c>
      <c r="Z629">
        <v>31</v>
      </c>
      <c r="AA629">
        <v>3</v>
      </c>
      <c r="AB629" t="s">
        <v>54</v>
      </c>
      <c r="AC629">
        <v>9</v>
      </c>
      <c r="AD629" t="str" cm="1">
        <f t="array" ref="AD629">_xlfn.IFS(AC629&lt;=5,"0-5",AC629&lt;=10,"5-10",AC629&lt;=40,"10-40")</f>
        <v>5-10</v>
      </c>
      <c r="AE629">
        <v>8</v>
      </c>
      <c r="AF629">
        <v>0</v>
      </c>
      <c r="AG629">
        <v>0</v>
      </c>
      <c r="AH629">
        <v>628</v>
      </c>
    </row>
    <row r="630" spans="1:34" x14ac:dyDescent="0.3">
      <c r="A630">
        <v>37</v>
      </c>
      <c r="B630" t="str" cm="1">
        <f t="array" ref="B630">_xlfn.IFS(A630&lt;=25,"18-25",A630&lt;=35,"26-35",A630&lt;=45,"36-45",A630&lt;=55,"46-55",A630&gt;55,"55+")</f>
        <v>36-45</v>
      </c>
      <c r="C630">
        <v>0</v>
      </c>
      <c r="D630" t="s">
        <v>32</v>
      </c>
      <c r="E630">
        <v>342</v>
      </c>
      <c r="F630" t="s">
        <v>33</v>
      </c>
      <c r="G630">
        <v>16</v>
      </c>
      <c r="H630" t="s">
        <v>58</v>
      </c>
      <c r="I630" t="s">
        <v>72</v>
      </c>
      <c r="J630" t="s">
        <v>41</v>
      </c>
      <c r="K630" t="s">
        <v>50</v>
      </c>
      <c r="L630">
        <v>66</v>
      </c>
      <c r="M630" t="s">
        <v>36</v>
      </c>
      <c r="N630" t="s">
        <v>39</v>
      </c>
      <c r="O630" t="s">
        <v>40</v>
      </c>
      <c r="P630" t="s">
        <v>38</v>
      </c>
      <c r="Q630" t="s">
        <v>62</v>
      </c>
      <c r="R630">
        <v>6334</v>
      </c>
      <c r="S630">
        <v>24558</v>
      </c>
      <c r="T630">
        <v>4</v>
      </c>
      <c r="U630" t="s">
        <v>46</v>
      </c>
      <c r="V630">
        <v>19</v>
      </c>
      <c r="W630" t="s">
        <v>43</v>
      </c>
      <c r="X630" t="s">
        <v>41</v>
      </c>
      <c r="Y630">
        <v>2</v>
      </c>
      <c r="Z630">
        <v>9</v>
      </c>
      <c r="AA630">
        <v>2</v>
      </c>
      <c r="AB630" t="s">
        <v>54</v>
      </c>
      <c r="AC630">
        <v>1</v>
      </c>
      <c r="AD630" t="str" cm="1">
        <f t="array" ref="AD630">_xlfn.IFS(AC630&lt;=5,"0-5",AC630&lt;=10,"5-10",AC630&lt;=40,"10-40")</f>
        <v>0-5</v>
      </c>
      <c r="AE630">
        <v>0</v>
      </c>
      <c r="AF630">
        <v>0</v>
      </c>
      <c r="AG630">
        <v>0</v>
      </c>
      <c r="AH630">
        <v>629</v>
      </c>
    </row>
    <row r="631" spans="1:34" x14ac:dyDescent="0.3">
      <c r="A631">
        <v>28</v>
      </c>
      <c r="B631" t="str" cm="1">
        <f t="array" ref="B631">_xlfn.IFS(A631&lt;=25,"18-25",A631&lt;=35,"26-35",A631&lt;=45,"36-45",A631&lt;=55,"46-55",A631&gt;55,"55+")</f>
        <v>26-35</v>
      </c>
      <c r="C631">
        <v>0</v>
      </c>
      <c r="D631" t="s">
        <v>32</v>
      </c>
      <c r="E631">
        <v>1169</v>
      </c>
      <c r="F631" t="s">
        <v>76</v>
      </c>
      <c r="G631">
        <v>8</v>
      </c>
      <c r="H631" t="s">
        <v>34</v>
      </c>
      <c r="I631" t="s">
        <v>59</v>
      </c>
      <c r="J631" t="s">
        <v>36</v>
      </c>
      <c r="K631" t="s">
        <v>50</v>
      </c>
      <c r="L631">
        <v>63</v>
      </c>
      <c r="M631" t="s">
        <v>36</v>
      </c>
      <c r="N631" t="s">
        <v>56</v>
      </c>
      <c r="O631" t="s">
        <v>76</v>
      </c>
      <c r="P631" t="s">
        <v>41</v>
      </c>
      <c r="Q631" t="s">
        <v>62</v>
      </c>
      <c r="R631">
        <v>4936</v>
      </c>
      <c r="S631">
        <v>23965</v>
      </c>
      <c r="T631">
        <v>1</v>
      </c>
      <c r="U631" t="s">
        <v>46</v>
      </c>
      <c r="V631">
        <v>13</v>
      </c>
      <c r="W631" t="s">
        <v>43</v>
      </c>
      <c r="X631" t="s">
        <v>41</v>
      </c>
      <c r="Y631">
        <v>1</v>
      </c>
      <c r="Z631">
        <v>6</v>
      </c>
      <c r="AA631">
        <v>6</v>
      </c>
      <c r="AB631" t="s">
        <v>54</v>
      </c>
      <c r="AC631">
        <v>5</v>
      </c>
      <c r="AD631" t="str" cm="1">
        <f t="array" ref="AD631">_xlfn.IFS(AC631&lt;=5,"0-5",AC631&lt;=10,"5-10",AC631&lt;=40,"10-40")</f>
        <v>0-5</v>
      </c>
      <c r="AE631">
        <v>1</v>
      </c>
      <c r="AF631">
        <v>0</v>
      </c>
      <c r="AG631">
        <v>4</v>
      </c>
      <c r="AH631">
        <v>630</v>
      </c>
    </row>
    <row r="632" spans="1:34" x14ac:dyDescent="0.3">
      <c r="A632">
        <v>22</v>
      </c>
      <c r="B632" t="str" cm="1">
        <f t="array" ref="B632">_xlfn.IFS(A632&lt;=25,"18-25",A632&lt;=35,"26-35",A632&lt;=45,"36-45",A632&lt;=55,"46-55",A632&gt;55,"55+")</f>
        <v>18-25</v>
      </c>
      <c r="C632">
        <v>0</v>
      </c>
      <c r="D632" t="s">
        <v>32</v>
      </c>
      <c r="E632">
        <v>1230</v>
      </c>
      <c r="F632" t="s">
        <v>48</v>
      </c>
      <c r="G632">
        <v>1</v>
      </c>
      <c r="H632" t="s">
        <v>34</v>
      </c>
      <c r="I632" t="s">
        <v>35</v>
      </c>
      <c r="J632" t="s">
        <v>41</v>
      </c>
      <c r="K632" t="s">
        <v>50</v>
      </c>
      <c r="L632">
        <v>33</v>
      </c>
      <c r="M632" t="s">
        <v>36</v>
      </c>
      <c r="N632" t="s">
        <v>39</v>
      </c>
      <c r="O632" t="s">
        <v>64</v>
      </c>
      <c r="P632" t="s">
        <v>41</v>
      </c>
      <c r="Q632" t="s">
        <v>52</v>
      </c>
      <c r="R632">
        <v>4775</v>
      </c>
      <c r="S632">
        <v>19146</v>
      </c>
      <c r="T632">
        <v>6</v>
      </c>
      <c r="U632" t="s">
        <v>46</v>
      </c>
      <c r="V632">
        <v>22</v>
      </c>
      <c r="W632" t="s">
        <v>53</v>
      </c>
      <c r="X632" t="s">
        <v>44</v>
      </c>
      <c r="Y632">
        <v>2</v>
      </c>
      <c r="Z632">
        <v>4</v>
      </c>
      <c r="AA632">
        <v>2</v>
      </c>
      <c r="AB632" t="s">
        <v>45</v>
      </c>
      <c r="AC632">
        <v>2</v>
      </c>
      <c r="AD632" t="str" cm="1">
        <f t="array" ref="AD632">_xlfn.IFS(AC632&lt;=5,"0-5",AC632&lt;=10,"5-10",AC632&lt;=40,"10-40")</f>
        <v>0-5</v>
      </c>
      <c r="AE632">
        <v>2</v>
      </c>
      <c r="AF632">
        <v>2</v>
      </c>
      <c r="AG632">
        <v>2</v>
      </c>
      <c r="AH632">
        <v>631</v>
      </c>
    </row>
    <row r="633" spans="1:34" x14ac:dyDescent="0.3">
      <c r="A633">
        <v>44</v>
      </c>
      <c r="B633" t="str" cm="1">
        <f t="array" ref="B633">_xlfn.IFS(A633&lt;=25,"18-25",A633&lt;=35,"26-35",A633&lt;=45,"36-45",A633&lt;=55,"46-55",A633&gt;55,"55+")</f>
        <v>36-45</v>
      </c>
      <c r="C633">
        <v>0</v>
      </c>
      <c r="D633" t="s">
        <v>32</v>
      </c>
      <c r="E633">
        <v>986</v>
      </c>
      <c r="F633" t="s">
        <v>48</v>
      </c>
      <c r="G633">
        <v>8</v>
      </c>
      <c r="H633" t="s">
        <v>58</v>
      </c>
      <c r="I633" t="s">
        <v>35</v>
      </c>
      <c r="J633" t="s">
        <v>44</v>
      </c>
      <c r="K633" t="s">
        <v>50</v>
      </c>
      <c r="L633">
        <v>62</v>
      </c>
      <c r="M633" t="s">
        <v>41</v>
      </c>
      <c r="N633" t="s">
        <v>56</v>
      </c>
      <c r="O633" t="s">
        <v>57</v>
      </c>
      <c r="P633" t="s">
        <v>41</v>
      </c>
      <c r="Q633" t="s">
        <v>52</v>
      </c>
      <c r="R633">
        <v>2818</v>
      </c>
      <c r="S633">
        <v>5044</v>
      </c>
      <c r="T633">
        <v>2</v>
      </c>
      <c r="U633" t="s">
        <v>31</v>
      </c>
      <c r="V633">
        <v>24</v>
      </c>
      <c r="W633" t="s">
        <v>53</v>
      </c>
      <c r="X633" t="s">
        <v>38</v>
      </c>
      <c r="Y633">
        <v>1</v>
      </c>
      <c r="Z633">
        <v>10</v>
      </c>
      <c r="AA633">
        <v>2</v>
      </c>
      <c r="AB633" t="s">
        <v>60</v>
      </c>
      <c r="AC633">
        <v>3</v>
      </c>
      <c r="AD633" t="str" cm="1">
        <f t="array" ref="AD633">_xlfn.IFS(AC633&lt;=5,"0-5",AC633&lt;=10,"5-10",AC633&lt;=40,"10-40")</f>
        <v>0-5</v>
      </c>
      <c r="AE633">
        <v>2</v>
      </c>
      <c r="AF633">
        <v>0</v>
      </c>
      <c r="AG633">
        <v>2</v>
      </c>
      <c r="AH633">
        <v>632</v>
      </c>
    </row>
    <row r="634" spans="1:34" x14ac:dyDescent="0.3">
      <c r="A634">
        <v>42</v>
      </c>
      <c r="B634" t="str" cm="1">
        <f t="array" ref="B634">_xlfn.IFS(A634&lt;=25,"18-25",A634&lt;=35,"26-35",A634&lt;=45,"36-45",A634&lt;=55,"46-55",A634&gt;55,"55+")</f>
        <v>36-45</v>
      </c>
      <c r="C634">
        <v>0</v>
      </c>
      <c r="D634" t="s">
        <v>47</v>
      </c>
      <c r="E634">
        <v>1271</v>
      </c>
      <c r="F634" t="s">
        <v>48</v>
      </c>
      <c r="G634">
        <v>2</v>
      </c>
      <c r="H634" t="s">
        <v>49</v>
      </c>
      <c r="I634" t="s">
        <v>59</v>
      </c>
      <c r="J634" t="s">
        <v>36</v>
      </c>
      <c r="K634" t="s">
        <v>50</v>
      </c>
      <c r="L634">
        <v>35</v>
      </c>
      <c r="M634" t="s">
        <v>38</v>
      </c>
      <c r="N634" t="s">
        <v>56</v>
      </c>
      <c r="O634" t="s">
        <v>51</v>
      </c>
      <c r="P634" t="s">
        <v>41</v>
      </c>
      <c r="Q634" t="s">
        <v>42</v>
      </c>
      <c r="R634">
        <v>2515</v>
      </c>
      <c r="S634">
        <v>9068</v>
      </c>
      <c r="T634">
        <v>5</v>
      </c>
      <c r="U634" t="s">
        <v>31</v>
      </c>
      <c r="V634">
        <v>14</v>
      </c>
      <c r="W634" t="s">
        <v>43</v>
      </c>
      <c r="X634" t="s">
        <v>41</v>
      </c>
      <c r="Y634">
        <v>0</v>
      </c>
      <c r="Z634">
        <v>8</v>
      </c>
      <c r="AA634">
        <v>2</v>
      </c>
      <c r="AB634" t="s">
        <v>54</v>
      </c>
      <c r="AC634">
        <v>2</v>
      </c>
      <c r="AD634" t="str" cm="1">
        <f t="array" ref="AD634">_xlfn.IFS(AC634&lt;=5,"0-5",AC634&lt;=10,"5-10",AC634&lt;=40,"10-40")</f>
        <v>0-5</v>
      </c>
      <c r="AE634">
        <v>1</v>
      </c>
      <c r="AF634">
        <v>2</v>
      </c>
      <c r="AG634">
        <v>2</v>
      </c>
      <c r="AH634">
        <v>633</v>
      </c>
    </row>
    <row r="635" spans="1:34" x14ac:dyDescent="0.3">
      <c r="A635">
        <v>36</v>
      </c>
      <c r="B635" t="str" cm="1">
        <f t="array" ref="B635">_xlfn.IFS(A635&lt;=25,"18-25",A635&lt;=35,"26-35",A635&lt;=45,"36-45",A635&lt;=55,"46-55",A635&gt;55,"55+")</f>
        <v>36-45</v>
      </c>
      <c r="C635">
        <v>0</v>
      </c>
      <c r="D635" t="s">
        <v>32</v>
      </c>
      <c r="E635">
        <v>1278</v>
      </c>
      <c r="F635" t="s">
        <v>76</v>
      </c>
      <c r="G635">
        <v>8</v>
      </c>
      <c r="H635" t="s">
        <v>61</v>
      </c>
      <c r="I635" t="s">
        <v>35</v>
      </c>
      <c r="J635" t="s">
        <v>44</v>
      </c>
      <c r="K635" t="s">
        <v>50</v>
      </c>
      <c r="L635">
        <v>77</v>
      </c>
      <c r="M635" t="s">
        <v>36</v>
      </c>
      <c r="N635" t="s">
        <v>56</v>
      </c>
      <c r="O635" t="s">
        <v>76</v>
      </c>
      <c r="P635" t="s">
        <v>44</v>
      </c>
      <c r="Q635" t="s">
        <v>52</v>
      </c>
      <c r="R635">
        <v>2342</v>
      </c>
      <c r="S635">
        <v>8635</v>
      </c>
      <c r="T635">
        <v>0</v>
      </c>
      <c r="U635" t="s">
        <v>46</v>
      </c>
      <c r="V635">
        <v>21</v>
      </c>
      <c r="W635" t="s">
        <v>53</v>
      </c>
      <c r="X635" t="s">
        <v>38</v>
      </c>
      <c r="Y635">
        <v>0</v>
      </c>
      <c r="Z635">
        <v>6</v>
      </c>
      <c r="AA635">
        <v>3</v>
      </c>
      <c r="AB635" t="s">
        <v>54</v>
      </c>
      <c r="AC635">
        <v>5</v>
      </c>
      <c r="AD635" t="str" cm="1">
        <f t="array" ref="AD635">_xlfn.IFS(AC635&lt;=5,"0-5",AC635&lt;=10,"5-10",AC635&lt;=40,"10-40")</f>
        <v>0-5</v>
      </c>
      <c r="AE635">
        <v>4</v>
      </c>
      <c r="AF635">
        <v>0</v>
      </c>
      <c r="AG635">
        <v>3</v>
      </c>
      <c r="AH635">
        <v>634</v>
      </c>
    </row>
    <row r="636" spans="1:34" x14ac:dyDescent="0.3">
      <c r="A636">
        <v>25</v>
      </c>
      <c r="B636" t="str" cm="1">
        <f t="array" ref="B636">_xlfn.IFS(A636&lt;=25,"18-25",A636&lt;=35,"26-35",A636&lt;=45,"36-45",A636&lt;=55,"46-55",A636&gt;55,"55+")</f>
        <v>18-25</v>
      </c>
      <c r="C636">
        <v>0</v>
      </c>
      <c r="D636" t="s">
        <v>32</v>
      </c>
      <c r="E636">
        <v>141</v>
      </c>
      <c r="F636" t="s">
        <v>33</v>
      </c>
      <c r="G636">
        <v>3</v>
      </c>
      <c r="H636" t="s">
        <v>49</v>
      </c>
      <c r="I636" t="s">
        <v>55</v>
      </c>
      <c r="J636" t="s">
        <v>38</v>
      </c>
      <c r="K636" t="s">
        <v>50</v>
      </c>
      <c r="L636">
        <v>98</v>
      </c>
      <c r="M636" t="s">
        <v>38</v>
      </c>
      <c r="N636" t="s">
        <v>39</v>
      </c>
      <c r="O636" t="s">
        <v>40</v>
      </c>
      <c r="P636" t="s">
        <v>44</v>
      </c>
      <c r="Q636" t="s">
        <v>52</v>
      </c>
      <c r="R636">
        <v>4194</v>
      </c>
      <c r="S636">
        <v>14363</v>
      </c>
      <c r="T636">
        <v>1</v>
      </c>
      <c r="U636" t="s">
        <v>31</v>
      </c>
      <c r="V636">
        <v>18</v>
      </c>
      <c r="W636" t="s">
        <v>43</v>
      </c>
      <c r="X636" t="s">
        <v>41</v>
      </c>
      <c r="Y636">
        <v>0</v>
      </c>
      <c r="Z636">
        <v>5</v>
      </c>
      <c r="AA636">
        <v>3</v>
      </c>
      <c r="AB636" t="s">
        <v>54</v>
      </c>
      <c r="AC636">
        <v>5</v>
      </c>
      <c r="AD636" t="str" cm="1">
        <f t="array" ref="AD636">_xlfn.IFS(AC636&lt;=5,"0-5",AC636&lt;=10,"5-10",AC636&lt;=40,"10-40")</f>
        <v>0-5</v>
      </c>
      <c r="AE636">
        <v>3</v>
      </c>
      <c r="AF636">
        <v>0</v>
      </c>
      <c r="AG636">
        <v>3</v>
      </c>
      <c r="AH636">
        <v>635</v>
      </c>
    </row>
    <row r="637" spans="1:34" x14ac:dyDescent="0.3">
      <c r="A637">
        <v>35</v>
      </c>
      <c r="B637" t="str" cm="1">
        <f t="array" ref="B637">_xlfn.IFS(A637&lt;=25,"18-25",A637&lt;=35,"26-35",A637&lt;=45,"36-45",A637&lt;=55,"46-55",A637&gt;55,"55+")</f>
        <v>26-35</v>
      </c>
      <c r="C637">
        <v>0</v>
      </c>
      <c r="D637" t="s">
        <v>32</v>
      </c>
      <c r="E637">
        <v>607</v>
      </c>
      <c r="F637" t="s">
        <v>48</v>
      </c>
      <c r="G637">
        <v>9</v>
      </c>
      <c r="H637" t="s">
        <v>61</v>
      </c>
      <c r="I637" t="s">
        <v>35</v>
      </c>
      <c r="J637" t="s">
        <v>41</v>
      </c>
      <c r="K637" t="s">
        <v>37</v>
      </c>
      <c r="L637">
        <v>66</v>
      </c>
      <c r="M637" t="s">
        <v>36</v>
      </c>
      <c r="N637" t="s">
        <v>63</v>
      </c>
      <c r="O637" t="s">
        <v>64</v>
      </c>
      <c r="P637" t="s">
        <v>38</v>
      </c>
      <c r="Q637" t="s">
        <v>52</v>
      </c>
      <c r="R637">
        <v>10685</v>
      </c>
      <c r="S637">
        <v>23457</v>
      </c>
      <c r="T637">
        <v>1</v>
      </c>
      <c r="U637" t="s">
        <v>31</v>
      </c>
      <c r="V637">
        <v>20</v>
      </c>
      <c r="W637" t="s">
        <v>53</v>
      </c>
      <c r="X637" t="s">
        <v>36</v>
      </c>
      <c r="Y637">
        <v>1</v>
      </c>
      <c r="Z637">
        <v>17</v>
      </c>
      <c r="AA637">
        <v>2</v>
      </c>
      <c r="AB637" t="s">
        <v>54</v>
      </c>
      <c r="AC637">
        <v>17</v>
      </c>
      <c r="AD637" t="str" cm="1">
        <f t="array" ref="AD637">_xlfn.IFS(AC637&lt;=5,"0-5",AC637&lt;=10,"5-10",AC637&lt;=40,"10-40")</f>
        <v>10-40</v>
      </c>
      <c r="AE637">
        <v>14</v>
      </c>
      <c r="AF637">
        <v>5</v>
      </c>
      <c r="AG637">
        <v>15</v>
      </c>
      <c r="AH637">
        <v>636</v>
      </c>
    </row>
    <row r="638" spans="1:34" x14ac:dyDescent="0.3">
      <c r="A638">
        <v>35</v>
      </c>
      <c r="B638" t="str" cm="1">
        <f t="array" ref="B638">_xlfn.IFS(A638&lt;=25,"18-25",A638&lt;=35,"26-35",A638&lt;=45,"36-45",A638&lt;=55,"46-55",A638&gt;55,"55+")</f>
        <v>26-35</v>
      </c>
      <c r="C638">
        <v>1</v>
      </c>
      <c r="D638" t="s">
        <v>47</v>
      </c>
      <c r="E638">
        <v>130</v>
      </c>
      <c r="F638" t="s">
        <v>48</v>
      </c>
      <c r="G638">
        <v>25</v>
      </c>
      <c r="H638" t="s">
        <v>58</v>
      </c>
      <c r="I638" t="s">
        <v>35</v>
      </c>
      <c r="J638" t="s">
        <v>41</v>
      </c>
      <c r="K638" t="s">
        <v>37</v>
      </c>
      <c r="L638">
        <v>96</v>
      </c>
      <c r="M638" t="s">
        <v>38</v>
      </c>
      <c r="N638" t="s">
        <v>56</v>
      </c>
      <c r="O638" t="s">
        <v>51</v>
      </c>
      <c r="P638" t="s">
        <v>36</v>
      </c>
      <c r="Q638" t="s">
        <v>62</v>
      </c>
      <c r="R638">
        <v>2022</v>
      </c>
      <c r="S638">
        <v>16612</v>
      </c>
      <c r="T638">
        <v>1</v>
      </c>
      <c r="U638" t="s">
        <v>31</v>
      </c>
      <c r="V638">
        <v>19</v>
      </c>
      <c r="W638" t="s">
        <v>43</v>
      </c>
      <c r="X638" t="s">
        <v>44</v>
      </c>
      <c r="Y638">
        <v>1</v>
      </c>
      <c r="Z638">
        <v>10</v>
      </c>
      <c r="AA638">
        <v>3</v>
      </c>
      <c r="AB638" t="s">
        <v>60</v>
      </c>
      <c r="AC638">
        <v>10</v>
      </c>
      <c r="AD638" t="str" cm="1">
        <f t="array" ref="AD638">_xlfn.IFS(AC638&lt;=5,"0-5",AC638&lt;=10,"5-10",AC638&lt;=40,"10-40")</f>
        <v>5-10</v>
      </c>
      <c r="AE638">
        <v>2</v>
      </c>
      <c r="AF638">
        <v>7</v>
      </c>
      <c r="AG638">
        <v>8</v>
      </c>
      <c r="AH638">
        <v>637</v>
      </c>
    </row>
    <row r="639" spans="1:34" x14ac:dyDescent="0.3">
      <c r="A639">
        <v>32</v>
      </c>
      <c r="B639" t="str" cm="1">
        <f t="array" ref="B639">_xlfn.IFS(A639&lt;=25,"18-25",A639&lt;=35,"26-35",A639&lt;=45,"36-45",A639&lt;=55,"46-55",A639&gt;55,"55+")</f>
        <v>26-35</v>
      </c>
      <c r="C639">
        <v>0</v>
      </c>
      <c r="D639" t="s">
        <v>66</v>
      </c>
      <c r="E639">
        <v>300</v>
      </c>
      <c r="F639" t="s">
        <v>48</v>
      </c>
      <c r="G639">
        <v>1</v>
      </c>
      <c r="H639" t="s">
        <v>61</v>
      </c>
      <c r="I639" t="s">
        <v>35</v>
      </c>
      <c r="J639" t="s">
        <v>41</v>
      </c>
      <c r="K639" t="s">
        <v>50</v>
      </c>
      <c r="L639">
        <v>61</v>
      </c>
      <c r="M639" t="s">
        <v>38</v>
      </c>
      <c r="N639" t="s">
        <v>56</v>
      </c>
      <c r="O639" t="s">
        <v>57</v>
      </c>
      <c r="P639" t="s">
        <v>41</v>
      </c>
      <c r="Q639" t="s">
        <v>62</v>
      </c>
      <c r="R639">
        <v>2314</v>
      </c>
      <c r="S639">
        <v>9148</v>
      </c>
      <c r="T639">
        <v>0</v>
      </c>
      <c r="U639" t="s">
        <v>46</v>
      </c>
      <c r="V639">
        <v>12</v>
      </c>
      <c r="W639" t="s">
        <v>43</v>
      </c>
      <c r="X639" t="s">
        <v>36</v>
      </c>
      <c r="Y639">
        <v>1</v>
      </c>
      <c r="Z639">
        <v>4</v>
      </c>
      <c r="AA639">
        <v>2</v>
      </c>
      <c r="AB639" t="s">
        <v>54</v>
      </c>
      <c r="AC639">
        <v>3</v>
      </c>
      <c r="AD639" t="str" cm="1">
        <f t="array" ref="AD639">_xlfn.IFS(AC639&lt;=5,"0-5",AC639&lt;=10,"5-10",AC639&lt;=40,"10-40")</f>
        <v>0-5</v>
      </c>
      <c r="AE639">
        <v>0</v>
      </c>
      <c r="AF639">
        <v>0</v>
      </c>
      <c r="AG639">
        <v>2</v>
      </c>
      <c r="AH639">
        <v>638</v>
      </c>
    </row>
    <row r="640" spans="1:34" x14ac:dyDescent="0.3">
      <c r="A640">
        <v>25</v>
      </c>
      <c r="B640" t="str" cm="1">
        <f t="array" ref="B640">_xlfn.IFS(A640&lt;=25,"18-25",A640&lt;=35,"26-35",A640&lt;=45,"36-45",A640&lt;=55,"46-55",A640&gt;55,"55+")</f>
        <v>18-25</v>
      </c>
      <c r="C640">
        <v>0</v>
      </c>
      <c r="D640" t="s">
        <v>32</v>
      </c>
      <c r="E640">
        <v>583</v>
      </c>
      <c r="F640" t="s">
        <v>33</v>
      </c>
      <c r="G640">
        <v>4</v>
      </c>
      <c r="H640" t="s">
        <v>49</v>
      </c>
      <c r="I640" t="s">
        <v>72</v>
      </c>
      <c r="J640" t="s">
        <v>38</v>
      </c>
      <c r="K640" t="s">
        <v>50</v>
      </c>
      <c r="L640">
        <v>87</v>
      </c>
      <c r="M640" t="s">
        <v>36</v>
      </c>
      <c r="N640" t="s">
        <v>39</v>
      </c>
      <c r="O640" t="s">
        <v>40</v>
      </c>
      <c r="P640" t="s">
        <v>44</v>
      </c>
      <c r="Q640" t="s">
        <v>52</v>
      </c>
      <c r="R640">
        <v>4256</v>
      </c>
      <c r="S640">
        <v>18154</v>
      </c>
      <c r="T640">
        <v>1</v>
      </c>
      <c r="U640" t="s">
        <v>46</v>
      </c>
      <c r="V640">
        <v>12</v>
      </c>
      <c r="W640" t="s">
        <v>43</v>
      </c>
      <c r="X640" t="s">
        <v>44</v>
      </c>
      <c r="Y640">
        <v>0</v>
      </c>
      <c r="Z640">
        <v>5</v>
      </c>
      <c r="AA640">
        <v>1</v>
      </c>
      <c r="AB640" t="s">
        <v>73</v>
      </c>
      <c r="AC640">
        <v>5</v>
      </c>
      <c r="AD640" t="str" cm="1">
        <f t="array" ref="AD640">_xlfn.IFS(AC640&lt;=5,"0-5",AC640&lt;=10,"5-10",AC640&lt;=40,"10-40")</f>
        <v>0-5</v>
      </c>
      <c r="AE640">
        <v>2</v>
      </c>
      <c r="AF640">
        <v>0</v>
      </c>
      <c r="AG640">
        <v>3</v>
      </c>
      <c r="AH640">
        <v>639</v>
      </c>
    </row>
    <row r="641" spans="1:34" x14ac:dyDescent="0.3">
      <c r="A641">
        <v>49</v>
      </c>
      <c r="B641" t="str" cm="1">
        <f t="array" ref="B641">_xlfn.IFS(A641&lt;=25,"18-25",A641&lt;=35,"26-35",A641&lt;=45,"36-45",A641&lt;=55,"46-55",A641&gt;55,"55+")</f>
        <v>46-55</v>
      </c>
      <c r="C641">
        <v>0</v>
      </c>
      <c r="D641" t="s">
        <v>32</v>
      </c>
      <c r="E641">
        <v>1418</v>
      </c>
      <c r="F641" t="s">
        <v>48</v>
      </c>
      <c r="G641">
        <v>1</v>
      </c>
      <c r="H641" t="s">
        <v>61</v>
      </c>
      <c r="I641" t="s">
        <v>74</v>
      </c>
      <c r="J641" t="s">
        <v>38</v>
      </c>
      <c r="K641" t="s">
        <v>37</v>
      </c>
      <c r="L641">
        <v>36</v>
      </c>
      <c r="M641" t="s">
        <v>38</v>
      </c>
      <c r="N641" t="s">
        <v>56</v>
      </c>
      <c r="O641" t="s">
        <v>51</v>
      </c>
      <c r="P641" t="s">
        <v>44</v>
      </c>
      <c r="Q641" t="s">
        <v>52</v>
      </c>
      <c r="R641">
        <v>3580</v>
      </c>
      <c r="S641">
        <v>10554</v>
      </c>
      <c r="T641">
        <v>2</v>
      </c>
      <c r="U641" t="s">
        <v>46</v>
      </c>
      <c r="V641">
        <v>16</v>
      </c>
      <c r="W641" t="s">
        <v>43</v>
      </c>
      <c r="X641" t="s">
        <v>36</v>
      </c>
      <c r="Y641">
        <v>1</v>
      </c>
      <c r="Z641">
        <v>7</v>
      </c>
      <c r="AA641">
        <v>2</v>
      </c>
      <c r="AB641" t="s">
        <v>54</v>
      </c>
      <c r="AC641">
        <v>4</v>
      </c>
      <c r="AD641" t="str" cm="1">
        <f t="array" ref="AD641">_xlfn.IFS(AC641&lt;=5,"0-5",AC641&lt;=10,"5-10",AC641&lt;=40,"10-40")</f>
        <v>0-5</v>
      </c>
      <c r="AE641">
        <v>2</v>
      </c>
      <c r="AF641">
        <v>0</v>
      </c>
      <c r="AG641">
        <v>2</v>
      </c>
      <c r="AH641">
        <v>640</v>
      </c>
    </row>
    <row r="642" spans="1:34" x14ac:dyDescent="0.3">
      <c r="A642">
        <v>24</v>
      </c>
      <c r="B642" t="str" cm="1">
        <f t="array" ref="B642">_xlfn.IFS(A642&lt;=25,"18-25",A642&lt;=35,"26-35",A642&lt;=45,"36-45",A642&lt;=55,"46-55",A642&gt;55,"55+")</f>
        <v>18-25</v>
      </c>
      <c r="C642">
        <v>0</v>
      </c>
      <c r="D642" t="s">
        <v>66</v>
      </c>
      <c r="E642">
        <v>1269</v>
      </c>
      <c r="F642" t="s">
        <v>48</v>
      </c>
      <c r="G642">
        <v>4</v>
      </c>
      <c r="H642" t="s">
        <v>49</v>
      </c>
      <c r="I642" t="s">
        <v>35</v>
      </c>
      <c r="J642" t="s">
        <v>44</v>
      </c>
      <c r="K642" t="s">
        <v>50</v>
      </c>
      <c r="L642">
        <v>46</v>
      </c>
      <c r="M642" t="s">
        <v>36</v>
      </c>
      <c r="N642" t="s">
        <v>56</v>
      </c>
      <c r="O642" t="s">
        <v>57</v>
      </c>
      <c r="P642" t="s">
        <v>41</v>
      </c>
      <c r="Q642" t="s">
        <v>52</v>
      </c>
      <c r="R642">
        <v>3162</v>
      </c>
      <c r="S642">
        <v>10778</v>
      </c>
      <c r="T642">
        <v>0</v>
      </c>
      <c r="U642" t="s">
        <v>46</v>
      </c>
      <c r="V642">
        <v>17</v>
      </c>
      <c r="W642" t="s">
        <v>43</v>
      </c>
      <c r="X642" t="s">
        <v>41</v>
      </c>
      <c r="Y642">
        <v>0</v>
      </c>
      <c r="Z642">
        <v>6</v>
      </c>
      <c r="AA642">
        <v>2</v>
      </c>
      <c r="AB642" t="s">
        <v>60</v>
      </c>
      <c r="AC642">
        <v>5</v>
      </c>
      <c r="AD642" t="str" cm="1">
        <f t="array" ref="AD642">_xlfn.IFS(AC642&lt;=5,"0-5",AC642&lt;=10,"5-10",AC642&lt;=40,"10-40")</f>
        <v>0-5</v>
      </c>
      <c r="AE642">
        <v>2</v>
      </c>
      <c r="AF642">
        <v>3</v>
      </c>
      <c r="AG642">
        <v>4</v>
      </c>
      <c r="AH642">
        <v>641</v>
      </c>
    </row>
    <row r="643" spans="1:34" x14ac:dyDescent="0.3">
      <c r="A643">
        <v>32</v>
      </c>
      <c r="B643" t="str" cm="1">
        <f t="array" ref="B643">_xlfn.IFS(A643&lt;=25,"18-25",A643&lt;=35,"26-35",A643&lt;=45,"36-45",A643&lt;=55,"46-55",A643&gt;55,"55+")</f>
        <v>26-35</v>
      </c>
      <c r="C643">
        <v>0</v>
      </c>
      <c r="D643" t="s">
        <v>47</v>
      </c>
      <c r="E643">
        <v>379</v>
      </c>
      <c r="F643" t="s">
        <v>33</v>
      </c>
      <c r="G643">
        <v>5</v>
      </c>
      <c r="H643" t="s">
        <v>34</v>
      </c>
      <c r="I643" t="s">
        <v>35</v>
      </c>
      <c r="J643" t="s">
        <v>36</v>
      </c>
      <c r="K643" t="s">
        <v>50</v>
      </c>
      <c r="L643">
        <v>48</v>
      </c>
      <c r="M643" t="s">
        <v>38</v>
      </c>
      <c r="N643" t="s">
        <v>39</v>
      </c>
      <c r="O643" t="s">
        <v>40</v>
      </c>
      <c r="P643" t="s">
        <v>36</v>
      </c>
      <c r="Q643" t="s">
        <v>52</v>
      </c>
      <c r="R643">
        <v>6524</v>
      </c>
      <c r="S643">
        <v>8891</v>
      </c>
      <c r="T643">
        <v>1</v>
      </c>
      <c r="U643" t="s">
        <v>46</v>
      </c>
      <c r="V643">
        <v>14</v>
      </c>
      <c r="W643" t="s">
        <v>43</v>
      </c>
      <c r="X643" t="s">
        <v>41</v>
      </c>
      <c r="Y643">
        <v>1</v>
      </c>
      <c r="Z643">
        <v>10</v>
      </c>
      <c r="AA643">
        <v>3</v>
      </c>
      <c r="AB643" t="s">
        <v>54</v>
      </c>
      <c r="AC643">
        <v>10</v>
      </c>
      <c r="AD643" t="str" cm="1">
        <f t="array" ref="AD643">_xlfn.IFS(AC643&lt;=5,"0-5",AC643&lt;=10,"5-10",AC643&lt;=40,"10-40")</f>
        <v>5-10</v>
      </c>
      <c r="AE643">
        <v>8</v>
      </c>
      <c r="AF643">
        <v>5</v>
      </c>
      <c r="AG643">
        <v>3</v>
      </c>
      <c r="AH643">
        <v>642</v>
      </c>
    </row>
    <row r="644" spans="1:34" x14ac:dyDescent="0.3">
      <c r="A644">
        <v>38</v>
      </c>
      <c r="B644" t="str" cm="1">
        <f t="array" ref="B644">_xlfn.IFS(A644&lt;=25,"18-25",A644&lt;=35,"26-35",A644&lt;=45,"36-45",A644&lt;=55,"46-55",A644&gt;55,"55+")</f>
        <v>36-45</v>
      </c>
      <c r="C644">
        <v>0</v>
      </c>
      <c r="D644" t="s">
        <v>32</v>
      </c>
      <c r="E644">
        <v>395</v>
      </c>
      <c r="F644" t="s">
        <v>33</v>
      </c>
      <c r="G644">
        <v>9</v>
      </c>
      <c r="H644" t="s">
        <v>61</v>
      </c>
      <c r="I644" t="s">
        <v>72</v>
      </c>
      <c r="J644" t="s">
        <v>36</v>
      </c>
      <c r="K644" t="s">
        <v>50</v>
      </c>
      <c r="L644">
        <v>98</v>
      </c>
      <c r="M644" t="s">
        <v>36</v>
      </c>
      <c r="N644" t="s">
        <v>56</v>
      </c>
      <c r="O644" t="s">
        <v>69</v>
      </c>
      <c r="P644" t="s">
        <v>36</v>
      </c>
      <c r="Q644" t="s">
        <v>52</v>
      </c>
      <c r="R644">
        <v>2899</v>
      </c>
      <c r="S644">
        <v>12102</v>
      </c>
      <c r="T644">
        <v>0</v>
      </c>
      <c r="U644" t="s">
        <v>46</v>
      </c>
      <c r="V644">
        <v>19</v>
      </c>
      <c r="W644" t="s">
        <v>43</v>
      </c>
      <c r="X644" t="s">
        <v>41</v>
      </c>
      <c r="Y644">
        <v>1</v>
      </c>
      <c r="Z644">
        <v>3</v>
      </c>
      <c r="AA644">
        <v>3</v>
      </c>
      <c r="AB644" t="s">
        <v>54</v>
      </c>
      <c r="AC644">
        <v>2</v>
      </c>
      <c r="AD644" t="str" cm="1">
        <f t="array" ref="AD644">_xlfn.IFS(AC644&lt;=5,"0-5",AC644&lt;=10,"5-10",AC644&lt;=40,"10-40")</f>
        <v>0-5</v>
      </c>
      <c r="AE644">
        <v>2</v>
      </c>
      <c r="AF644">
        <v>1</v>
      </c>
      <c r="AG644">
        <v>2</v>
      </c>
      <c r="AH644">
        <v>643</v>
      </c>
    </row>
    <row r="645" spans="1:34" x14ac:dyDescent="0.3">
      <c r="A645">
        <v>42</v>
      </c>
      <c r="B645" t="str" cm="1">
        <f t="array" ref="B645">_xlfn.IFS(A645&lt;=25,"18-25",A645&lt;=35,"26-35",A645&lt;=45,"36-45",A645&lt;=55,"46-55",A645&gt;55,"55+")</f>
        <v>36-45</v>
      </c>
      <c r="C645">
        <v>0</v>
      </c>
      <c r="D645" t="s">
        <v>32</v>
      </c>
      <c r="E645">
        <v>1265</v>
      </c>
      <c r="F645" t="s">
        <v>48</v>
      </c>
      <c r="G645">
        <v>3</v>
      </c>
      <c r="H645" t="s">
        <v>61</v>
      </c>
      <c r="I645" t="s">
        <v>35</v>
      </c>
      <c r="J645" t="s">
        <v>38</v>
      </c>
      <c r="K645" t="s">
        <v>37</v>
      </c>
      <c r="L645">
        <v>95</v>
      </c>
      <c r="M645" t="s">
        <v>41</v>
      </c>
      <c r="N645" t="s">
        <v>39</v>
      </c>
      <c r="O645" t="s">
        <v>57</v>
      </c>
      <c r="P645" t="s">
        <v>41</v>
      </c>
      <c r="Q645" t="s">
        <v>52</v>
      </c>
      <c r="R645">
        <v>5231</v>
      </c>
      <c r="S645">
        <v>23726</v>
      </c>
      <c r="T645">
        <v>2</v>
      </c>
      <c r="U645" t="s">
        <v>31</v>
      </c>
      <c r="V645">
        <v>13</v>
      </c>
      <c r="W645" t="s">
        <v>43</v>
      </c>
      <c r="X645" t="s">
        <v>36</v>
      </c>
      <c r="Y645">
        <v>1</v>
      </c>
      <c r="Z645">
        <v>17</v>
      </c>
      <c r="AA645">
        <v>1</v>
      </c>
      <c r="AB645" t="s">
        <v>60</v>
      </c>
      <c r="AC645">
        <v>5</v>
      </c>
      <c r="AD645" t="str" cm="1">
        <f t="array" ref="AD645">_xlfn.IFS(AC645&lt;=5,"0-5",AC645&lt;=10,"5-10",AC645&lt;=40,"10-40")</f>
        <v>0-5</v>
      </c>
      <c r="AE645">
        <v>3</v>
      </c>
      <c r="AF645">
        <v>1</v>
      </c>
      <c r="AG645">
        <v>3</v>
      </c>
      <c r="AH645">
        <v>644</v>
      </c>
    </row>
    <row r="646" spans="1:34" x14ac:dyDescent="0.3">
      <c r="A646">
        <v>31</v>
      </c>
      <c r="B646" t="str" cm="1">
        <f t="array" ref="B646">_xlfn.IFS(A646&lt;=25,"18-25",A646&lt;=35,"26-35",A646&lt;=45,"36-45",A646&lt;=55,"46-55",A646&gt;55,"55+")</f>
        <v>26-35</v>
      </c>
      <c r="C646">
        <v>0</v>
      </c>
      <c r="D646" t="s">
        <v>32</v>
      </c>
      <c r="E646">
        <v>1222</v>
      </c>
      <c r="F646" t="s">
        <v>48</v>
      </c>
      <c r="G646">
        <v>11</v>
      </c>
      <c r="H646" t="s">
        <v>58</v>
      </c>
      <c r="I646" t="s">
        <v>35</v>
      </c>
      <c r="J646" t="s">
        <v>41</v>
      </c>
      <c r="K646" t="s">
        <v>50</v>
      </c>
      <c r="L646">
        <v>48</v>
      </c>
      <c r="M646" t="s">
        <v>38</v>
      </c>
      <c r="N646" t="s">
        <v>56</v>
      </c>
      <c r="O646" t="s">
        <v>51</v>
      </c>
      <c r="P646" t="s">
        <v>41</v>
      </c>
      <c r="Q646" t="s">
        <v>52</v>
      </c>
      <c r="R646">
        <v>2356</v>
      </c>
      <c r="S646">
        <v>14871</v>
      </c>
      <c r="T646">
        <v>3</v>
      </c>
      <c r="U646" t="s">
        <v>31</v>
      </c>
      <c r="V646">
        <v>19</v>
      </c>
      <c r="W646" t="s">
        <v>43</v>
      </c>
      <c r="X646" t="s">
        <v>36</v>
      </c>
      <c r="Y646">
        <v>1</v>
      </c>
      <c r="Z646">
        <v>8</v>
      </c>
      <c r="AA646">
        <v>2</v>
      </c>
      <c r="AB646" t="s">
        <v>54</v>
      </c>
      <c r="AC646">
        <v>6</v>
      </c>
      <c r="AD646" t="str" cm="1">
        <f t="array" ref="AD646">_xlfn.IFS(AC646&lt;=5,"0-5",AC646&lt;=10,"5-10",AC646&lt;=40,"10-40")</f>
        <v>5-10</v>
      </c>
      <c r="AE646">
        <v>4</v>
      </c>
      <c r="AF646">
        <v>0</v>
      </c>
      <c r="AG646">
        <v>2</v>
      </c>
      <c r="AH646">
        <v>645</v>
      </c>
    </row>
    <row r="647" spans="1:34" x14ac:dyDescent="0.3">
      <c r="A647">
        <v>29</v>
      </c>
      <c r="B647" t="str" cm="1">
        <f t="array" ref="B647">_xlfn.IFS(A647&lt;=25,"18-25",A647&lt;=35,"26-35",A647&lt;=45,"36-45",A647&lt;=55,"46-55",A647&gt;55,"55+")</f>
        <v>26-35</v>
      </c>
      <c r="C647">
        <v>1</v>
      </c>
      <c r="D647" t="s">
        <v>32</v>
      </c>
      <c r="E647">
        <v>341</v>
      </c>
      <c r="F647" t="s">
        <v>33</v>
      </c>
      <c r="G647">
        <v>1</v>
      </c>
      <c r="H647" t="s">
        <v>61</v>
      </c>
      <c r="I647" t="s">
        <v>59</v>
      </c>
      <c r="J647" t="s">
        <v>36</v>
      </c>
      <c r="K647" t="s">
        <v>37</v>
      </c>
      <c r="L647">
        <v>48</v>
      </c>
      <c r="M647" t="s">
        <v>36</v>
      </c>
      <c r="N647" t="s">
        <v>56</v>
      </c>
      <c r="O647" t="s">
        <v>69</v>
      </c>
      <c r="P647" t="s">
        <v>38</v>
      </c>
      <c r="Q647" t="s">
        <v>62</v>
      </c>
      <c r="R647">
        <v>2800</v>
      </c>
      <c r="S647">
        <v>23522</v>
      </c>
      <c r="T647">
        <v>6</v>
      </c>
      <c r="U647" t="s">
        <v>31</v>
      </c>
      <c r="V647">
        <v>19</v>
      </c>
      <c r="W647" t="s">
        <v>43</v>
      </c>
      <c r="X647" t="s">
        <v>38</v>
      </c>
      <c r="Y647">
        <v>3</v>
      </c>
      <c r="Z647">
        <v>5</v>
      </c>
      <c r="AA647">
        <v>3</v>
      </c>
      <c r="AB647" t="s">
        <v>54</v>
      </c>
      <c r="AC647">
        <v>3</v>
      </c>
      <c r="AD647" t="str" cm="1">
        <f t="array" ref="AD647">_xlfn.IFS(AC647&lt;=5,"0-5",AC647&lt;=10,"5-10",AC647&lt;=40,"10-40")</f>
        <v>0-5</v>
      </c>
      <c r="AE647">
        <v>2</v>
      </c>
      <c r="AF647">
        <v>0</v>
      </c>
      <c r="AG647">
        <v>2</v>
      </c>
      <c r="AH647">
        <v>646</v>
      </c>
    </row>
    <row r="648" spans="1:34" x14ac:dyDescent="0.3">
      <c r="A648">
        <v>53</v>
      </c>
      <c r="B648" t="str" cm="1">
        <f t="array" ref="B648">_xlfn.IFS(A648&lt;=25,"18-25",A648&lt;=35,"26-35",A648&lt;=45,"36-45",A648&lt;=55,"46-55",A648&gt;55,"55+")</f>
        <v>46-55</v>
      </c>
      <c r="C648">
        <v>0</v>
      </c>
      <c r="D648" t="s">
        <v>32</v>
      </c>
      <c r="E648">
        <v>868</v>
      </c>
      <c r="F648" t="s">
        <v>33</v>
      </c>
      <c r="G648">
        <v>8</v>
      </c>
      <c r="H648" t="s">
        <v>61</v>
      </c>
      <c r="I648" t="s">
        <v>72</v>
      </c>
      <c r="J648" t="s">
        <v>44</v>
      </c>
      <c r="K648" t="s">
        <v>50</v>
      </c>
      <c r="L648">
        <v>73</v>
      </c>
      <c r="M648" t="s">
        <v>38</v>
      </c>
      <c r="N648" t="s">
        <v>67</v>
      </c>
      <c r="O648" t="s">
        <v>40</v>
      </c>
      <c r="P648" t="s">
        <v>41</v>
      </c>
      <c r="Q648" t="s">
        <v>52</v>
      </c>
      <c r="R648">
        <v>11836</v>
      </c>
      <c r="S648">
        <v>22789</v>
      </c>
      <c r="T648">
        <v>5</v>
      </c>
      <c r="U648" t="s">
        <v>46</v>
      </c>
      <c r="V648">
        <v>14</v>
      </c>
      <c r="W648" t="s">
        <v>43</v>
      </c>
      <c r="X648" t="s">
        <v>38</v>
      </c>
      <c r="Y648">
        <v>1</v>
      </c>
      <c r="Z648">
        <v>28</v>
      </c>
      <c r="AA648">
        <v>3</v>
      </c>
      <c r="AB648" t="s">
        <v>54</v>
      </c>
      <c r="AC648">
        <v>2</v>
      </c>
      <c r="AD648" t="str" cm="1">
        <f t="array" ref="AD648">_xlfn.IFS(AC648&lt;=5,"0-5",AC648&lt;=10,"5-10",AC648&lt;=40,"10-40")</f>
        <v>0-5</v>
      </c>
      <c r="AE648">
        <v>0</v>
      </c>
      <c r="AF648">
        <v>2</v>
      </c>
      <c r="AG648">
        <v>2</v>
      </c>
      <c r="AH648">
        <v>647</v>
      </c>
    </row>
    <row r="649" spans="1:34" x14ac:dyDescent="0.3">
      <c r="A649">
        <v>35</v>
      </c>
      <c r="B649" t="str" cm="1">
        <f t="array" ref="B649">_xlfn.IFS(A649&lt;=25,"18-25",A649&lt;=35,"26-35",A649&lt;=45,"36-45",A649&lt;=55,"46-55",A649&gt;55,"55+")</f>
        <v>26-35</v>
      </c>
      <c r="C649">
        <v>0</v>
      </c>
      <c r="D649" t="s">
        <v>32</v>
      </c>
      <c r="E649">
        <v>672</v>
      </c>
      <c r="F649" t="s">
        <v>48</v>
      </c>
      <c r="G649">
        <v>25</v>
      </c>
      <c r="H649" t="s">
        <v>61</v>
      </c>
      <c r="I649" t="s">
        <v>74</v>
      </c>
      <c r="J649" t="s">
        <v>41</v>
      </c>
      <c r="K649" t="s">
        <v>50</v>
      </c>
      <c r="L649">
        <v>78</v>
      </c>
      <c r="M649" t="s">
        <v>36</v>
      </c>
      <c r="N649" t="s">
        <v>63</v>
      </c>
      <c r="O649" t="s">
        <v>64</v>
      </c>
      <c r="P649" t="s">
        <v>36</v>
      </c>
      <c r="Q649" t="s">
        <v>52</v>
      </c>
      <c r="R649">
        <v>10903</v>
      </c>
      <c r="S649">
        <v>9129</v>
      </c>
      <c r="T649">
        <v>3</v>
      </c>
      <c r="U649" t="s">
        <v>46</v>
      </c>
      <c r="V649">
        <v>16</v>
      </c>
      <c r="W649" t="s">
        <v>43</v>
      </c>
      <c r="X649" t="s">
        <v>44</v>
      </c>
      <c r="Y649">
        <v>0</v>
      </c>
      <c r="Z649">
        <v>16</v>
      </c>
      <c r="AA649">
        <v>2</v>
      </c>
      <c r="AB649" t="s">
        <v>54</v>
      </c>
      <c r="AC649">
        <v>13</v>
      </c>
      <c r="AD649" t="str" cm="1">
        <f t="array" ref="AD649">_xlfn.IFS(AC649&lt;=5,"0-5",AC649&lt;=10,"5-10",AC649&lt;=40,"10-40")</f>
        <v>10-40</v>
      </c>
      <c r="AE649">
        <v>10</v>
      </c>
      <c r="AF649">
        <v>4</v>
      </c>
      <c r="AG649">
        <v>8</v>
      </c>
      <c r="AH649">
        <v>648</v>
      </c>
    </row>
    <row r="650" spans="1:34" x14ac:dyDescent="0.3">
      <c r="A650">
        <v>37</v>
      </c>
      <c r="B650" t="str" cm="1">
        <f t="array" ref="B650">_xlfn.IFS(A650&lt;=25,"18-25",A650&lt;=35,"26-35",A650&lt;=45,"36-45",A650&lt;=55,"46-55",A650&gt;55,"55+")</f>
        <v>36-45</v>
      </c>
      <c r="C650">
        <v>0</v>
      </c>
      <c r="D650" t="s">
        <v>47</v>
      </c>
      <c r="E650">
        <v>1231</v>
      </c>
      <c r="F650" t="s">
        <v>33</v>
      </c>
      <c r="G650">
        <v>21</v>
      </c>
      <c r="H650" t="s">
        <v>34</v>
      </c>
      <c r="I650" t="s">
        <v>59</v>
      </c>
      <c r="J650" t="s">
        <v>38</v>
      </c>
      <c r="K650" t="s">
        <v>37</v>
      </c>
      <c r="L650">
        <v>54</v>
      </c>
      <c r="M650" t="s">
        <v>38</v>
      </c>
      <c r="N650" t="s">
        <v>56</v>
      </c>
      <c r="O650" t="s">
        <v>69</v>
      </c>
      <c r="P650" t="s">
        <v>41</v>
      </c>
      <c r="Q650" t="s">
        <v>52</v>
      </c>
      <c r="R650">
        <v>2973</v>
      </c>
      <c r="S650">
        <v>21222</v>
      </c>
      <c r="T650">
        <v>5</v>
      </c>
      <c r="U650" t="s">
        <v>46</v>
      </c>
      <c r="V650">
        <v>15</v>
      </c>
      <c r="W650" t="s">
        <v>43</v>
      </c>
      <c r="X650" t="s">
        <v>36</v>
      </c>
      <c r="Y650">
        <v>1</v>
      </c>
      <c r="Z650">
        <v>10</v>
      </c>
      <c r="AA650">
        <v>3</v>
      </c>
      <c r="AB650" t="s">
        <v>54</v>
      </c>
      <c r="AC650">
        <v>5</v>
      </c>
      <c r="AD650" t="str" cm="1">
        <f t="array" ref="AD650">_xlfn.IFS(AC650&lt;=5,"0-5",AC650&lt;=10,"5-10",AC650&lt;=40,"10-40")</f>
        <v>0-5</v>
      </c>
      <c r="AE650">
        <v>4</v>
      </c>
      <c r="AF650">
        <v>0</v>
      </c>
      <c r="AG650">
        <v>0</v>
      </c>
      <c r="AH650">
        <v>649</v>
      </c>
    </row>
    <row r="651" spans="1:34" x14ac:dyDescent="0.3">
      <c r="A651">
        <v>53</v>
      </c>
      <c r="B651" t="str" cm="1">
        <f t="array" ref="B651">_xlfn.IFS(A651&lt;=25,"18-25",A651&lt;=35,"26-35",A651&lt;=45,"36-45",A651&lt;=55,"46-55",A651&gt;55,"55+")</f>
        <v>46-55</v>
      </c>
      <c r="C651">
        <v>0</v>
      </c>
      <c r="D651" t="s">
        <v>32</v>
      </c>
      <c r="E651">
        <v>102</v>
      </c>
      <c r="F651" t="s">
        <v>48</v>
      </c>
      <c r="G651">
        <v>23</v>
      </c>
      <c r="H651" t="s">
        <v>58</v>
      </c>
      <c r="I651" t="s">
        <v>35</v>
      </c>
      <c r="J651" t="s">
        <v>41</v>
      </c>
      <c r="K651" t="s">
        <v>37</v>
      </c>
      <c r="L651">
        <v>72</v>
      </c>
      <c r="M651" t="s">
        <v>38</v>
      </c>
      <c r="N651" t="s">
        <v>67</v>
      </c>
      <c r="O651" t="s">
        <v>70</v>
      </c>
      <c r="P651" t="s">
        <v>41</v>
      </c>
      <c r="Q651" t="s">
        <v>42</v>
      </c>
      <c r="R651">
        <v>14275</v>
      </c>
      <c r="S651">
        <v>20206</v>
      </c>
      <c r="T651">
        <v>6</v>
      </c>
      <c r="U651" t="s">
        <v>46</v>
      </c>
      <c r="V651">
        <v>18</v>
      </c>
      <c r="W651" t="s">
        <v>43</v>
      </c>
      <c r="X651" t="s">
        <v>38</v>
      </c>
      <c r="Y651">
        <v>0</v>
      </c>
      <c r="Z651">
        <v>33</v>
      </c>
      <c r="AA651">
        <v>0</v>
      </c>
      <c r="AB651" t="s">
        <v>54</v>
      </c>
      <c r="AC651">
        <v>12</v>
      </c>
      <c r="AD651" t="str" cm="1">
        <f t="array" ref="AD651">_xlfn.IFS(AC651&lt;=5,"0-5",AC651&lt;=10,"5-10",AC651&lt;=40,"10-40")</f>
        <v>10-40</v>
      </c>
      <c r="AE651">
        <v>9</v>
      </c>
      <c r="AF651">
        <v>3</v>
      </c>
      <c r="AG651">
        <v>8</v>
      </c>
      <c r="AH651">
        <v>650</v>
      </c>
    </row>
    <row r="652" spans="1:34" x14ac:dyDescent="0.3">
      <c r="A652">
        <v>43</v>
      </c>
      <c r="B652" t="str" cm="1">
        <f t="array" ref="B652">_xlfn.IFS(A652&lt;=25,"18-25",A652&lt;=35,"26-35",A652&lt;=45,"36-45",A652&lt;=55,"46-55",A652&gt;55,"55+")</f>
        <v>36-45</v>
      </c>
      <c r="C652">
        <v>0</v>
      </c>
      <c r="D652" t="s">
        <v>47</v>
      </c>
      <c r="E652">
        <v>422</v>
      </c>
      <c r="F652" t="s">
        <v>48</v>
      </c>
      <c r="G652">
        <v>1</v>
      </c>
      <c r="H652" t="s">
        <v>61</v>
      </c>
      <c r="I652" t="s">
        <v>35</v>
      </c>
      <c r="J652" t="s">
        <v>41</v>
      </c>
      <c r="K652" t="s">
        <v>37</v>
      </c>
      <c r="L652">
        <v>33</v>
      </c>
      <c r="M652" t="s">
        <v>38</v>
      </c>
      <c r="N652" t="s">
        <v>39</v>
      </c>
      <c r="O652" t="s">
        <v>65</v>
      </c>
      <c r="P652" t="s">
        <v>41</v>
      </c>
      <c r="Q652" t="s">
        <v>52</v>
      </c>
      <c r="R652">
        <v>5562</v>
      </c>
      <c r="S652">
        <v>21782</v>
      </c>
      <c r="T652">
        <v>4</v>
      </c>
      <c r="U652" t="s">
        <v>46</v>
      </c>
      <c r="V652">
        <v>13</v>
      </c>
      <c r="W652" t="s">
        <v>43</v>
      </c>
      <c r="X652" t="s">
        <v>36</v>
      </c>
      <c r="Y652">
        <v>1</v>
      </c>
      <c r="Z652">
        <v>12</v>
      </c>
      <c r="AA652">
        <v>2</v>
      </c>
      <c r="AB652" t="s">
        <v>60</v>
      </c>
      <c r="AC652">
        <v>5</v>
      </c>
      <c r="AD652" t="str" cm="1">
        <f t="array" ref="AD652">_xlfn.IFS(AC652&lt;=5,"0-5",AC652&lt;=10,"5-10",AC652&lt;=40,"10-40")</f>
        <v>0-5</v>
      </c>
      <c r="AE652">
        <v>2</v>
      </c>
      <c r="AF652">
        <v>2</v>
      </c>
      <c r="AG652">
        <v>2</v>
      </c>
      <c r="AH652">
        <v>651</v>
      </c>
    </row>
    <row r="653" spans="1:34" x14ac:dyDescent="0.3">
      <c r="A653">
        <v>47</v>
      </c>
      <c r="B653" t="str" cm="1">
        <f t="array" ref="B653">_xlfn.IFS(A653&lt;=25,"18-25",A653&lt;=35,"26-35",A653&lt;=45,"36-45",A653&lt;=55,"46-55",A653&gt;55,"55+")</f>
        <v>46-55</v>
      </c>
      <c r="C653">
        <v>0</v>
      </c>
      <c r="D653" t="s">
        <v>32</v>
      </c>
      <c r="E653">
        <v>249</v>
      </c>
      <c r="F653" t="s">
        <v>33</v>
      </c>
      <c r="G653">
        <v>2</v>
      </c>
      <c r="H653" t="s">
        <v>34</v>
      </c>
      <c r="I653" t="s">
        <v>72</v>
      </c>
      <c r="J653" t="s">
        <v>38</v>
      </c>
      <c r="K653" t="s">
        <v>37</v>
      </c>
      <c r="L653">
        <v>35</v>
      </c>
      <c r="M653" t="s">
        <v>38</v>
      </c>
      <c r="N653" t="s">
        <v>39</v>
      </c>
      <c r="O653" t="s">
        <v>40</v>
      </c>
      <c r="P653" t="s">
        <v>41</v>
      </c>
      <c r="Q653" t="s">
        <v>52</v>
      </c>
      <c r="R653">
        <v>4537</v>
      </c>
      <c r="S653">
        <v>17783</v>
      </c>
      <c r="T653">
        <v>0</v>
      </c>
      <c r="U653" t="s">
        <v>31</v>
      </c>
      <c r="V653">
        <v>22</v>
      </c>
      <c r="W653" t="s">
        <v>53</v>
      </c>
      <c r="X653" t="s">
        <v>44</v>
      </c>
      <c r="Y653">
        <v>1</v>
      </c>
      <c r="Z653">
        <v>8</v>
      </c>
      <c r="AA653">
        <v>2</v>
      </c>
      <c r="AB653" t="s">
        <v>54</v>
      </c>
      <c r="AC653">
        <v>7</v>
      </c>
      <c r="AD653" t="str" cm="1">
        <f t="array" ref="AD653">_xlfn.IFS(AC653&lt;=5,"0-5",AC653&lt;=10,"5-10",AC653&lt;=40,"10-40")</f>
        <v>5-10</v>
      </c>
      <c r="AE653">
        <v>6</v>
      </c>
      <c r="AF653">
        <v>7</v>
      </c>
      <c r="AG653">
        <v>7</v>
      </c>
      <c r="AH653">
        <v>652</v>
      </c>
    </row>
    <row r="654" spans="1:34" x14ac:dyDescent="0.3">
      <c r="A654">
        <v>37</v>
      </c>
      <c r="B654" t="str" cm="1">
        <f t="array" ref="B654">_xlfn.IFS(A654&lt;=25,"18-25",A654&lt;=35,"26-35",A654&lt;=45,"36-45",A654&lt;=55,"46-55",A654&gt;55,"55+")</f>
        <v>36-45</v>
      </c>
      <c r="C654">
        <v>0</v>
      </c>
      <c r="D654" t="s">
        <v>66</v>
      </c>
      <c r="E654">
        <v>1252</v>
      </c>
      <c r="F654" t="s">
        <v>33</v>
      </c>
      <c r="G654">
        <v>19</v>
      </c>
      <c r="H654" t="s">
        <v>34</v>
      </c>
      <c r="I654" t="s">
        <v>59</v>
      </c>
      <c r="J654" t="s">
        <v>44</v>
      </c>
      <c r="K654" t="s">
        <v>50</v>
      </c>
      <c r="L654">
        <v>32</v>
      </c>
      <c r="M654" t="s">
        <v>38</v>
      </c>
      <c r="N654" t="s">
        <v>63</v>
      </c>
      <c r="O654" t="s">
        <v>40</v>
      </c>
      <c r="P654" t="s">
        <v>36</v>
      </c>
      <c r="Q654" t="s">
        <v>42</v>
      </c>
      <c r="R654">
        <v>7642</v>
      </c>
      <c r="S654">
        <v>4814</v>
      </c>
      <c r="T654">
        <v>1</v>
      </c>
      <c r="U654" t="s">
        <v>31</v>
      </c>
      <c r="V654">
        <v>13</v>
      </c>
      <c r="W654" t="s">
        <v>43</v>
      </c>
      <c r="X654" t="s">
        <v>41</v>
      </c>
      <c r="Y654">
        <v>0</v>
      </c>
      <c r="Z654">
        <v>10</v>
      </c>
      <c r="AA654">
        <v>2</v>
      </c>
      <c r="AB654" t="s">
        <v>54</v>
      </c>
      <c r="AC654">
        <v>10</v>
      </c>
      <c r="AD654" t="str" cm="1">
        <f t="array" ref="AD654">_xlfn.IFS(AC654&lt;=5,"0-5",AC654&lt;=10,"5-10",AC654&lt;=40,"10-40")</f>
        <v>5-10</v>
      </c>
      <c r="AE654">
        <v>0</v>
      </c>
      <c r="AF654">
        <v>0</v>
      </c>
      <c r="AG654">
        <v>9</v>
      </c>
      <c r="AH654">
        <v>653</v>
      </c>
    </row>
    <row r="655" spans="1:34" x14ac:dyDescent="0.3">
      <c r="A655">
        <v>50</v>
      </c>
      <c r="B655" t="str" cm="1">
        <f t="array" ref="B655">_xlfn.IFS(A655&lt;=25,"18-25",A655&lt;=35,"26-35",A655&lt;=45,"36-45",A655&lt;=55,"46-55",A655&gt;55,"55+")</f>
        <v>46-55</v>
      </c>
      <c r="C655">
        <v>0</v>
      </c>
      <c r="D655" t="s">
        <v>66</v>
      </c>
      <c r="E655">
        <v>881</v>
      </c>
      <c r="F655" t="s">
        <v>48</v>
      </c>
      <c r="G655">
        <v>2</v>
      </c>
      <c r="H655" t="s">
        <v>58</v>
      </c>
      <c r="I655" t="s">
        <v>35</v>
      </c>
      <c r="J655" t="s">
        <v>44</v>
      </c>
      <c r="K655" t="s">
        <v>50</v>
      </c>
      <c r="L655">
        <v>98</v>
      </c>
      <c r="M655" t="s">
        <v>38</v>
      </c>
      <c r="N655" t="s">
        <v>67</v>
      </c>
      <c r="O655" t="s">
        <v>68</v>
      </c>
      <c r="P655" t="s">
        <v>44</v>
      </c>
      <c r="Q655" t="s">
        <v>62</v>
      </c>
      <c r="R655">
        <v>17924</v>
      </c>
      <c r="S655">
        <v>4544</v>
      </c>
      <c r="T655">
        <v>1</v>
      </c>
      <c r="U655" t="s">
        <v>46</v>
      </c>
      <c r="V655">
        <v>11</v>
      </c>
      <c r="W655" t="s">
        <v>43</v>
      </c>
      <c r="X655" t="s">
        <v>41</v>
      </c>
      <c r="Y655">
        <v>1</v>
      </c>
      <c r="Z655">
        <v>31</v>
      </c>
      <c r="AA655">
        <v>3</v>
      </c>
      <c r="AB655" t="s">
        <v>54</v>
      </c>
      <c r="AC655">
        <v>31</v>
      </c>
      <c r="AD655" t="str" cm="1">
        <f t="array" ref="AD655">_xlfn.IFS(AC655&lt;=5,"0-5",AC655&lt;=10,"5-10",AC655&lt;=40,"10-40")</f>
        <v>10-40</v>
      </c>
      <c r="AE655">
        <v>6</v>
      </c>
      <c r="AF655">
        <v>14</v>
      </c>
      <c r="AG655">
        <v>7</v>
      </c>
      <c r="AH655">
        <v>654</v>
      </c>
    </row>
    <row r="656" spans="1:34" x14ac:dyDescent="0.3">
      <c r="A656">
        <v>39</v>
      </c>
      <c r="B656" t="str" cm="1">
        <f t="array" ref="B656">_xlfn.IFS(A656&lt;=25,"18-25",A656&lt;=35,"26-35",A656&lt;=45,"36-45",A656&lt;=55,"46-55",A656&gt;55,"55+")</f>
        <v>36-45</v>
      </c>
      <c r="C656">
        <v>0</v>
      </c>
      <c r="D656" t="s">
        <v>32</v>
      </c>
      <c r="E656">
        <v>1383</v>
      </c>
      <c r="F656" t="s">
        <v>76</v>
      </c>
      <c r="G656">
        <v>2</v>
      </c>
      <c r="H656" t="s">
        <v>61</v>
      </c>
      <c r="I656" t="s">
        <v>35</v>
      </c>
      <c r="J656" t="s">
        <v>41</v>
      </c>
      <c r="K656" t="s">
        <v>37</v>
      </c>
      <c r="L656">
        <v>42</v>
      </c>
      <c r="M656" t="s">
        <v>36</v>
      </c>
      <c r="N656" t="s">
        <v>39</v>
      </c>
      <c r="O656" t="s">
        <v>76</v>
      </c>
      <c r="P656" t="s">
        <v>41</v>
      </c>
      <c r="Q656" t="s">
        <v>52</v>
      </c>
      <c r="R656">
        <v>5204</v>
      </c>
      <c r="S656">
        <v>7790</v>
      </c>
      <c r="T656">
        <v>8</v>
      </c>
      <c r="U656" t="s">
        <v>46</v>
      </c>
      <c r="V656">
        <v>11</v>
      </c>
      <c r="W656" t="s">
        <v>43</v>
      </c>
      <c r="X656" t="s">
        <v>38</v>
      </c>
      <c r="Y656">
        <v>2</v>
      </c>
      <c r="Z656">
        <v>13</v>
      </c>
      <c r="AA656">
        <v>2</v>
      </c>
      <c r="AB656" t="s">
        <v>54</v>
      </c>
      <c r="AC656">
        <v>5</v>
      </c>
      <c r="AD656" t="str" cm="1">
        <f t="array" ref="AD656">_xlfn.IFS(AC656&lt;=5,"0-5",AC656&lt;=10,"5-10",AC656&lt;=40,"10-40")</f>
        <v>0-5</v>
      </c>
      <c r="AE656">
        <v>4</v>
      </c>
      <c r="AF656">
        <v>0</v>
      </c>
      <c r="AG656">
        <v>4</v>
      </c>
      <c r="AH656">
        <v>655</v>
      </c>
    </row>
    <row r="657" spans="1:34" x14ac:dyDescent="0.3">
      <c r="A657">
        <v>33</v>
      </c>
      <c r="B657" t="str" cm="1">
        <f t="array" ref="B657">_xlfn.IFS(A657&lt;=25,"18-25",A657&lt;=35,"26-35",A657&lt;=45,"36-45",A657&lt;=55,"46-55",A657&gt;55,"55+")</f>
        <v>26-35</v>
      </c>
      <c r="C657">
        <v>0</v>
      </c>
      <c r="D657" t="s">
        <v>32</v>
      </c>
      <c r="E657">
        <v>1075</v>
      </c>
      <c r="F657" t="s">
        <v>76</v>
      </c>
      <c r="G657">
        <v>3</v>
      </c>
      <c r="H657" t="s">
        <v>34</v>
      </c>
      <c r="I657" t="s">
        <v>76</v>
      </c>
      <c r="J657" t="s">
        <v>41</v>
      </c>
      <c r="K657" t="s">
        <v>50</v>
      </c>
      <c r="L657">
        <v>57</v>
      </c>
      <c r="M657" t="s">
        <v>38</v>
      </c>
      <c r="N657" t="s">
        <v>56</v>
      </c>
      <c r="O657" t="s">
        <v>76</v>
      </c>
      <c r="P657" t="s">
        <v>36</v>
      </c>
      <c r="Q657" t="s">
        <v>62</v>
      </c>
      <c r="R657">
        <v>2277</v>
      </c>
      <c r="S657">
        <v>22650</v>
      </c>
      <c r="T657">
        <v>3</v>
      </c>
      <c r="U657" t="s">
        <v>31</v>
      </c>
      <c r="V657">
        <v>11</v>
      </c>
      <c r="W657" t="s">
        <v>43</v>
      </c>
      <c r="X657" t="s">
        <v>38</v>
      </c>
      <c r="Y657">
        <v>1</v>
      </c>
      <c r="Z657">
        <v>7</v>
      </c>
      <c r="AA657">
        <v>4</v>
      </c>
      <c r="AB657" t="s">
        <v>73</v>
      </c>
      <c r="AC657">
        <v>4</v>
      </c>
      <c r="AD657" t="str" cm="1">
        <f t="array" ref="AD657">_xlfn.IFS(AC657&lt;=5,"0-5",AC657&lt;=10,"5-10",AC657&lt;=40,"10-40")</f>
        <v>0-5</v>
      </c>
      <c r="AE657">
        <v>3</v>
      </c>
      <c r="AF657">
        <v>0</v>
      </c>
      <c r="AG657">
        <v>3</v>
      </c>
      <c r="AH657">
        <v>656</v>
      </c>
    </row>
    <row r="658" spans="1:34" x14ac:dyDescent="0.3">
      <c r="A658">
        <v>32</v>
      </c>
      <c r="B658" t="str" cm="1">
        <f t="array" ref="B658">_xlfn.IFS(A658&lt;=25,"18-25",A658&lt;=35,"26-35",A658&lt;=45,"36-45",A658&lt;=55,"46-55",A658&gt;55,"55+")</f>
        <v>26-35</v>
      </c>
      <c r="C658">
        <v>1</v>
      </c>
      <c r="D658" t="s">
        <v>32</v>
      </c>
      <c r="E658">
        <v>374</v>
      </c>
      <c r="F658" t="s">
        <v>48</v>
      </c>
      <c r="G658">
        <v>25</v>
      </c>
      <c r="H658" t="s">
        <v>58</v>
      </c>
      <c r="I658" t="s">
        <v>35</v>
      </c>
      <c r="J658" t="s">
        <v>44</v>
      </c>
      <c r="K658" t="s">
        <v>50</v>
      </c>
      <c r="L658">
        <v>87</v>
      </c>
      <c r="M658" t="s">
        <v>38</v>
      </c>
      <c r="N658" t="s">
        <v>56</v>
      </c>
      <c r="O658" t="s">
        <v>57</v>
      </c>
      <c r="P658" t="s">
        <v>41</v>
      </c>
      <c r="Q658" t="s">
        <v>42</v>
      </c>
      <c r="R658">
        <v>2795</v>
      </c>
      <c r="S658">
        <v>18016</v>
      </c>
      <c r="T658">
        <v>1</v>
      </c>
      <c r="U658" t="s">
        <v>31</v>
      </c>
      <c r="V658">
        <v>24</v>
      </c>
      <c r="W658" t="s">
        <v>53</v>
      </c>
      <c r="X658" t="s">
        <v>38</v>
      </c>
      <c r="Y658">
        <v>0</v>
      </c>
      <c r="Z658">
        <v>1</v>
      </c>
      <c r="AA658">
        <v>2</v>
      </c>
      <c r="AB658" t="s">
        <v>45</v>
      </c>
      <c r="AC658">
        <v>1</v>
      </c>
      <c r="AD658" t="str" cm="1">
        <f t="array" ref="AD658">_xlfn.IFS(AC658&lt;=5,"0-5",AC658&lt;=10,"5-10",AC658&lt;=40,"10-40")</f>
        <v>0-5</v>
      </c>
      <c r="AE658">
        <v>0</v>
      </c>
      <c r="AF658">
        <v>0</v>
      </c>
      <c r="AG658">
        <v>1</v>
      </c>
      <c r="AH658">
        <v>657</v>
      </c>
    </row>
    <row r="659" spans="1:34" x14ac:dyDescent="0.3">
      <c r="A659">
        <v>29</v>
      </c>
      <c r="B659" t="str" cm="1">
        <f t="array" ref="B659">_xlfn.IFS(A659&lt;=25,"18-25",A659&lt;=35,"26-35",A659&lt;=45,"36-45",A659&lt;=55,"46-55",A659&gt;55,"55+")</f>
        <v>26-35</v>
      </c>
      <c r="C659">
        <v>0</v>
      </c>
      <c r="D659" t="s">
        <v>32</v>
      </c>
      <c r="E659">
        <v>1086</v>
      </c>
      <c r="F659" t="s">
        <v>48</v>
      </c>
      <c r="G659">
        <v>7</v>
      </c>
      <c r="H659" t="s">
        <v>49</v>
      </c>
      <c r="I659" t="s">
        <v>59</v>
      </c>
      <c r="J659" t="s">
        <v>44</v>
      </c>
      <c r="K659" t="s">
        <v>37</v>
      </c>
      <c r="L659">
        <v>62</v>
      </c>
      <c r="M659" t="s">
        <v>36</v>
      </c>
      <c r="N659" t="s">
        <v>56</v>
      </c>
      <c r="O659" t="s">
        <v>57</v>
      </c>
      <c r="P659" t="s">
        <v>41</v>
      </c>
      <c r="Q659" t="s">
        <v>62</v>
      </c>
      <c r="R659">
        <v>2532</v>
      </c>
      <c r="S659">
        <v>6054</v>
      </c>
      <c r="T659">
        <v>6</v>
      </c>
      <c r="U659" t="s">
        <v>46</v>
      </c>
      <c r="V659">
        <v>14</v>
      </c>
      <c r="W659" t="s">
        <v>43</v>
      </c>
      <c r="X659" t="s">
        <v>38</v>
      </c>
      <c r="Y659">
        <v>3</v>
      </c>
      <c r="Z659">
        <v>8</v>
      </c>
      <c r="AA659">
        <v>5</v>
      </c>
      <c r="AB659" t="s">
        <v>54</v>
      </c>
      <c r="AC659">
        <v>4</v>
      </c>
      <c r="AD659" t="str" cm="1">
        <f t="array" ref="AD659">_xlfn.IFS(AC659&lt;=5,"0-5",AC659&lt;=10,"5-10",AC659&lt;=40,"10-40")</f>
        <v>0-5</v>
      </c>
      <c r="AE659">
        <v>3</v>
      </c>
      <c r="AF659">
        <v>0</v>
      </c>
      <c r="AG659">
        <v>3</v>
      </c>
      <c r="AH659">
        <v>658</v>
      </c>
    </row>
    <row r="660" spans="1:34" x14ac:dyDescent="0.3">
      <c r="A660">
        <v>44</v>
      </c>
      <c r="B660" t="str" cm="1">
        <f t="array" ref="B660">_xlfn.IFS(A660&lt;=25,"18-25",A660&lt;=35,"26-35",A660&lt;=45,"36-45",A660&lt;=55,"46-55",A660&gt;55,"55+")</f>
        <v>36-45</v>
      </c>
      <c r="C660">
        <v>0</v>
      </c>
      <c r="D660" t="s">
        <v>32</v>
      </c>
      <c r="E660">
        <v>661</v>
      </c>
      <c r="F660" t="s">
        <v>48</v>
      </c>
      <c r="G660">
        <v>9</v>
      </c>
      <c r="H660" t="s">
        <v>34</v>
      </c>
      <c r="I660" t="s">
        <v>35</v>
      </c>
      <c r="J660" t="s">
        <v>36</v>
      </c>
      <c r="K660" t="s">
        <v>50</v>
      </c>
      <c r="L660">
        <v>61</v>
      </c>
      <c r="M660" t="s">
        <v>38</v>
      </c>
      <c r="N660" t="s">
        <v>56</v>
      </c>
      <c r="O660" t="s">
        <v>51</v>
      </c>
      <c r="P660" t="s">
        <v>44</v>
      </c>
      <c r="Q660" t="s">
        <v>52</v>
      </c>
      <c r="R660">
        <v>2559</v>
      </c>
      <c r="S660">
        <v>7508</v>
      </c>
      <c r="T660">
        <v>1</v>
      </c>
      <c r="U660" t="s">
        <v>31</v>
      </c>
      <c r="V660">
        <v>13</v>
      </c>
      <c r="W660" t="s">
        <v>43</v>
      </c>
      <c r="X660" t="s">
        <v>41</v>
      </c>
      <c r="Y660">
        <v>0</v>
      </c>
      <c r="Z660">
        <v>8</v>
      </c>
      <c r="AA660">
        <v>0</v>
      </c>
      <c r="AB660" t="s">
        <v>54</v>
      </c>
      <c r="AC660">
        <v>8</v>
      </c>
      <c r="AD660" t="str" cm="1">
        <f t="array" ref="AD660">_xlfn.IFS(AC660&lt;=5,"0-5",AC660&lt;=10,"5-10",AC660&lt;=40,"10-40")</f>
        <v>5-10</v>
      </c>
      <c r="AE660">
        <v>7</v>
      </c>
      <c r="AF660">
        <v>7</v>
      </c>
      <c r="AG660">
        <v>1</v>
      </c>
      <c r="AH660">
        <v>659</v>
      </c>
    </row>
    <row r="661" spans="1:34" x14ac:dyDescent="0.3">
      <c r="A661">
        <v>28</v>
      </c>
      <c r="B661" t="str" cm="1">
        <f t="array" ref="B661">_xlfn.IFS(A661&lt;=25,"18-25",A661&lt;=35,"26-35",A661&lt;=45,"36-45",A661&lt;=55,"46-55",A661&gt;55,"55+")</f>
        <v>26-35</v>
      </c>
      <c r="C661">
        <v>0</v>
      </c>
      <c r="D661" t="s">
        <v>32</v>
      </c>
      <c r="E661">
        <v>821</v>
      </c>
      <c r="F661" t="s">
        <v>33</v>
      </c>
      <c r="G661">
        <v>5</v>
      </c>
      <c r="H661" t="s">
        <v>58</v>
      </c>
      <c r="I661" t="s">
        <v>59</v>
      </c>
      <c r="J661" t="s">
        <v>44</v>
      </c>
      <c r="K661" t="s">
        <v>50</v>
      </c>
      <c r="L661">
        <v>98</v>
      </c>
      <c r="M661" t="s">
        <v>38</v>
      </c>
      <c r="N661" t="s">
        <v>39</v>
      </c>
      <c r="O661" t="s">
        <v>40</v>
      </c>
      <c r="P661" t="s">
        <v>41</v>
      </c>
      <c r="Q661" t="s">
        <v>42</v>
      </c>
      <c r="R661">
        <v>4908</v>
      </c>
      <c r="S661">
        <v>24252</v>
      </c>
      <c r="T661">
        <v>1</v>
      </c>
      <c r="U661" t="s">
        <v>46</v>
      </c>
      <c r="V661">
        <v>14</v>
      </c>
      <c r="W661" t="s">
        <v>43</v>
      </c>
      <c r="X661" t="s">
        <v>36</v>
      </c>
      <c r="Y661">
        <v>0</v>
      </c>
      <c r="Z661">
        <v>4</v>
      </c>
      <c r="AA661">
        <v>3</v>
      </c>
      <c r="AB661" t="s">
        <v>54</v>
      </c>
      <c r="AC661">
        <v>4</v>
      </c>
      <c r="AD661" t="str" cm="1">
        <f t="array" ref="AD661">_xlfn.IFS(AC661&lt;=5,"0-5",AC661&lt;=10,"5-10",AC661&lt;=40,"10-40")</f>
        <v>0-5</v>
      </c>
      <c r="AE661">
        <v>2</v>
      </c>
      <c r="AF661">
        <v>0</v>
      </c>
      <c r="AG661">
        <v>2</v>
      </c>
      <c r="AH661">
        <v>660</v>
      </c>
    </row>
    <row r="662" spans="1:34" x14ac:dyDescent="0.3">
      <c r="A662">
        <v>58</v>
      </c>
      <c r="B662" t="str" cm="1">
        <f t="array" ref="B662">_xlfn.IFS(A662&lt;=25,"18-25",A662&lt;=35,"26-35",A662&lt;=45,"36-45",A662&lt;=55,"46-55",A662&gt;55,"55+")</f>
        <v>55+</v>
      </c>
      <c r="C662">
        <v>1</v>
      </c>
      <c r="D662" t="s">
        <v>47</v>
      </c>
      <c r="E662">
        <v>781</v>
      </c>
      <c r="F662" t="s">
        <v>48</v>
      </c>
      <c r="G662">
        <v>2</v>
      </c>
      <c r="H662" t="s">
        <v>49</v>
      </c>
      <c r="I662" t="s">
        <v>35</v>
      </c>
      <c r="J662" t="s">
        <v>41</v>
      </c>
      <c r="K662" t="s">
        <v>50</v>
      </c>
      <c r="L662">
        <v>57</v>
      </c>
      <c r="M662" t="s">
        <v>36</v>
      </c>
      <c r="N662" t="s">
        <v>56</v>
      </c>
      <c r="O662" t="s">
        <v>57</v>
      </c>
      <c r="P662" t="s">
        <v>41</v>
      </c>
      <c r="Q662" t="s">
        <v>62</v>
      </c>
      <c r="R662">
        <v>2380</v>
      </c>
      <c r="S662">
        <v>13384</v>
      </c>
      <c r="T662">
        <v>9</v>
      </c>
      <c r="U662" t="s">
        <v>31</v>
      </c>
      <c r="V662">
        <v>14</v>
      </c>
      <c r="W662" t="s">
        <v>43</v>
      </c>
      <c r="X662" t="s">
        <v>41</v>
      </c>
      <c r="Y662">
        <v>1</v>
      </c>
      <c r="Z662">
        <v>3</v>
      </c>
      <c r="AA662">
        <v>3</v>
      </c>
      <c r="AB662" t="s">
        <v>60</v>
      </c>
      <c r="AC662">
        <v>1</v>
      </c>
      <c r="AD662" t="str" cm="1">
        <f t="array" ref="AD662">_xlfn.IFS(AC662&lt;=5,"0-5",AC662&lt;=10,"5-10",AC662&lt;=40,"10-40")</f>
        <v>0-5</v>
      </c>
      <c r="AE662">
        <v>0</v>
      </c>
      <c r="AF662">
        <v>0</v>
      </c>
      <c r="AG662">
        <v>0</v>
      </c>
      <c r="AH662">
        <v>661</v>
      </c>
    </row>
    <row r="663" spans="1:34" x14ac:dyDescent="0.3">
      <c r="A663">
        <v>43</v>
      </c>
      <c r="B663" t="str" cm="1">
        <f t="array" ref="B663">_xlfn.IFS(A663&lt;=25,"18-25",A663&lt;=35,"26-35",A663&lt;=45,"36-45",A663&lt;=55,"46-55",A663&gt;55,"55+")</f>
        <v>36-45</v>
      </c>
      <c r="C663">
        <v>0</v>
      </c>
      <c r="D663" t="s">
        <v>32</v>
      </c>
      <c r="E663">
        <v>177</v>
      </c>
      <c r="F663" t="s">
        <v>48</v>
      </c>
      <c r="G663">
        <v>8</v>
      </c>
      <c r="H663" t="s">
        <v>61</v>
      </c>
      <c r="I663" t="s">
        <v>35</v>
      </c>
      <c r="J663" t="s">
        <v>44</v>
      </c>
      <c r="K663" t="s">
        <v>37</v>
      </c>
      <c r="L663">
        <v>55</v>
      </c>
      <c r="M663" t="s">
        <v>38</v>
      </c>
      <c r="N663" t="s">
        <v>39</v>
      </c>
      <c r="O663" t="s">
        <v>64</v>
      </c>
      <c r="P663" t="s">
        <v>36</v>
      </c>
      <c r="Q663" t="s">
        <v>62</v>
      </c>
      <c r="R663">
        <v>4765</v>
      </c>
      <c r="S663">
        <v>23814</v>
      </c>
      <c r="T663">
        <v>4</v>
      </c>
      <c r="U663" t="s">
        <v>46</v>
      </c>
      <c r="V663">
        <v>21</v>
      </c>
      <c r="W663" t="s">
        <v>53</v>
      </c>
      <c r="X663" t="s">
        <v>38</v>
      </c>
      <c r="Y663">
        <v>1</v>
      </c>
      <c r="Z663">
        <v>4</v>
      </c>
      <c r="AA663">
        <v>2</v>
      </c>
      <c r="AB663" t="s">
        <v>73</v>
      </c>
      <c r="AC663">
        <v>1</v>
      </c>
      <c r="AD663" t="str" cm="1">
        <f t="array" ref="AD663">_xlfn.IFS(AC663&lt;=5,"0-5",AC663&lt;=10,"5-10",AC663&lt;=40,"10-40")</f>
        <v>0-5</v>
      </c>
      <c r="AE663">
        <v>0</v>
      </c>
      <c r="AF663">
        <v>0</v>
      </c>
      <c r="AG663">
        <v>0</v>
      </c>
      <c r="AH663">
        <v>662</v>
      </c>
    </row>
    <row r="664" spans="1:34" x14ac:dyDescent="0.3">
      <c r="A664">
        <v>20</v>
      </c>
      <c r="B664" t="str" cm="1">
        <f t="array" ref="B664">_xlfn.IFS(A664&lt;=25,"18-25",A664&lt;=35,"26-35",A664&lt;=45,"36-45",A664&lt;=55,"46-55",A664&gt;55,"55+")</f>
        <v>18-25</v>
      </c>
      <c r="C664">
        <v>1</v>
      </c>
      <c r="D664" t="s">
        <v>32</v>
      </c>
      <c r="E664">
        <v>500</v>
      </c>
      <c r="F664" t="s">
        <v>33</v>
      </c>
      <c r="G664">
        <v>2</v>
      </c>
      <c r="H664" t="s">
        <v>61</v>
      </c>
      <c r="I664" t="s">
        <v>59</v>
      </c>
      <c r="J664" t="s">
        <v>38</v>
      </c>
      <c r="K664" t="s">
        <v>37</v>
      </c>
      <c r="L664">
        <v>49</v>
      </c>
      <c r="M664" t="s">
        <v>36</v>
      </c>
      <c r="N664" t="s">
        <v>56</v>
      </c>
      <c r="O664" t="s">
        <v>69</v>
      </c>
      <c r="P664" t="s">
        <v>38</v>
      </c>
      <c r="Q664" t="s">
        <v>42</v>
      </c>
      <c r="R664">
        <v>2044</v>
      </c>
      <c r="S664">
        <v>22052</v>
      </c>
      <c r="T664">
        <v>1</v>
      </c>
      <c r="U664" t="s">
        <v>46</v>
      </c>
      <c r="V664">
        <v>13</v>
      </c>
      <c r="W664" t="s">
        <v>43</v>
      </c>
      <c r="X664" t="s">
        <v>41</v>
      </c>
      <c r="Y664">
        <v>0</v>
      </c>
      <c r="Z664">
        <v>2</v>
      </c>
      <c r="AA664">
        <v>3</v>
      </c>
      <c r="AB664" t="s">
        <v>60</v>
      </c>
      <c r="AC664">
        <v>2</v>
      </c>
      <c r="AD664" t="str" cm="1">
        <f t="array" ref="AD664">_xlfn.IFS(AC664&lt;=5,"0-5",AC664&lt;=10,"5-10",AC664&lt;=40,"10-40")</f>
        <v>0-5</v>
      </c>
      <c r="AE664">
        <v>2</v>
      </c>
      <c r="AF664">
        <v>0</v>
      </c>
      <c r="AG664">
        <v>2</v>
      </c>
      <c r="AH664">
        <v>663</v>
      </c>
    </row>
    <row r="665" spans="1:34" x14ac:dyDescent="0.3">
      <c r="A665">
        <v>21</v>
      </c>
      <c r="B665" t="str" cm="1">
        <f t="array" ref="B665">_xlfn.IFS(A665&lt;=25,"18-25",A665&lt;=35,"26-35",A665&lt;=45,"36-45",A665&lt;=55,"46-55",A665&gt;55,"55+")</f>
        <v>18-25</v>
      </c>
      <c r="C665">
        <v>1</v>
      </c>
      <c r="D665" t="s">
        <v>32</v>
      </c>
      <c r="E665">
        <v>1427</v>
      </c>
      <c r="F665" t="s">
        <v>48</v>
      </c>
      <c r="G665">
        <v>18</v>
      </c>
      <c r="H665" t="s">
        <v>49</v>
      </c>
      <c r="I665" t="s">
        <v>55</v>
      </c>
      <c r="J665" t="s">
        <v>41</v>
      </c>
      <c r="K665" t="s">
        <v>37</v>
      </c>
      <c r="L665">
        <v>65</v>
      </c>
      <c r="M665" t="s">
        <v>38</v>
      </c>
      <c r="N665" t="s">
        <v>56</v>
      </c>
      <c r="O665" t="s">
        <v>51</v>
      </c>
      <c r="P665" t="s">
        <v>41</v>
      </c>
      <c r="Q665" t="s">
        <v>42</v>
      </c>
      <c r="R665">
        <v>2693</v>
      </c>
      <c r="S665">
        <v>8870</v>
      </c>
      <c r="T665">
        <v>1</v>
      </c>
      <c r="U665" t="s">
        <v>46</v>
      </c>
      <c r="V665">
        <v>19</v>
      </c>
      <c r="W665" t="s">
        <v>43</v>
      </c>
      <c r="X665" t="s">
        <v>44</v>
      </c>
      <c r="Y665">
        <v>0</v>
      </c>
      <c r="Z665">
        <v>1</v>
      </c>
      <c r="AA665">
        <v>3</v>
      </c>
      <c r="AB665" t="s">
        <v>60</v>
      </c>
      <c r="AC665">
        <v>1</v>
      </c>
      <c r="AD665" t="str" cm="1">
        <f t="array" ref="AD665">_xlfn.IFS(AC665&lt;=5,"0-5",AC665&lt;=10,"5-10",AC665&lt;=40,"10-40")</f>
        <v>0-5</v>
      </c>
      <c r="AE665">
        <v>0</v>
      </c>
      <c r="AF665">
        <v>0</v>
      </c>
      <c r="AG665">
        <v>0</v>
      </c>
      <c r="AH665">
        <v>664</v>
      </c>
    </row>
    <row r="666" spans="1:34" x14ac:dyDescent="0.3">
      <c r="A666">
        <v>36</v>
      </c>
      <c r="B666" t="str" cm="1">
        <f t="array" ref="B666">_xlfn.IFS(A666&lt;=25,"18-25",A666&lt;=35,"26-35",A666&lt;=45,"36-45",A666&lt;=55,"46-55",A666&gt;55,"55+")</f>
        <v>36-45</v>
      </c>
      <c r="C666">
        <v>0</v>
      </c>
      <c r="D666" t="s">
        <v>32</v>
      </c>
      <c r="E666">
        <v>1425</v>
      </c>
      <c r="F666" t="s">
        <v>48</v>
      </c>
      <c r="G666">
        <v>14</v>
      </c>
      <c r="H666" t="s">
        <v>49</v>
      </c>
      <c r="I666" t="s">
        <v>35</v>
      </c>
      <c r="J666" t="s">
        <v>38</v>
      </c>
      <c r="K666" t="s">
        <v>50</v>
      </c>
      <c r="L666">
        <v>68</v>
      </c>
      <c r="M666" t="s">
        <v>38</v>
      </c>
      <c r="N666" t="s">
        <v>39</v>
      </c>
      <c r="O666" t="s">
        <v>65</v>
      </c>
      <c r="P666" t="s">
        <v>41</v>
      </c>
      <c r="Q666" t="s">
        <v>52</v>
      </c>
      <c r="R666">
        <v>6586</v>
      </c>
      <c r="S666">
        <v>4821</v>
      </c>
      <c r="T666">
        <v>0</v>
      </c>
      <c r="U666" t="s">
        <v>31</v>
      </c>
      <c r="V666">
        <v>17</v>
      </c>
      <c r="W666" t="s">
        <v>43</v>
      </c>
      <c r="X666" t="s">
        <v>44</v>
      </c>
      <c r="Y666">
        <v>1</v>
      </c>
      <c r="Z666">
        <v>17</v>
      </c>
      <c r="AA666">
        <v>2</v>
      </c>
      <c r="AB666" t="s">
        <v>60</v>
      </c>
      <c r="AC666">
        <v>16</v>
      </c>
      <c r="AD666" t="str" cm="1">
        <f t="array" ref="AD666">_xlfn.IFS(AC666&lt;=5,"0-5",AC666&lt;=10,"5-10",AC666&lt;=40,"10-40")</f>
        <v>10-40</v>
      </c>
      <c r="AE666">
        <v>8</v>
      </c>
      <c r="AF666">
        <v>4</v>
      </c>
      <c r="AG666">
        <v>11</v>
      </c>
      <c r="AH666">
        <v>665</v>
      </c>
    </row>
    <row r="667" spans="1:34" x14ac:dyDescent="0.3">
      <c r="A667">
        <v>47</v>
      </c>
      <c r="B667" t="str" cm="1">
        <f t="array" ref="B667">_xlfn.IFS(A667&lt;=25,"18-25",A667&lt;=35,"26-35",A667&lt;=45,"36-45",A667&lt;=55,"46-55",A667&gt;55,"55+")</f>
        <v>46-55</v>
      </c>
      <c r="C667">
        <v>0</v>
      </c>
      <c r="D667" t="s">
        <v>32</v>
      </c>
      <c r="E667">
        <v>1454</v>
      </c>
      <c r="F667" t="s">
        <v>33</v>
      </c>
      <c r="G667">
        <v>2</v>
      </c>
      <c r="H667" t="s">
        <v>58</v>
      </c>
      <c r="I667" t="s">
        <v>35</v>
      </c>
      <c r="J667" t="s">
        <v>41</v>
      </c>
      <c r="K667" t="s">
        <v>37</v>
      </c>
      <c r="L667">
        <v>65</v>
      </c>
      <c r="M667" t="s">
        <v>36</v>
      </c>
      <c r="N667" t="s">
        <v>56</v>
      </c>
      <c r="O667" t="s">
        <v>69</v>
      </c>
      <c r="P667" t="s">
        <v>41</v>
      </c>
      <c r="Q667" t="s">
        <v>42</v>
      </c>
      <c r="R667">
        <v>3294</v>
      </c>
      <c r="S667">
        <v>13137</v>
      </c>
      <c r="T667">
        <v>1</v>
      </c>
      <c r="U667" t="s">
        <v>31</v>
      </c>
      <c r="V667">
        <v>18</v>
      </c>
      <c r="W667" t="s">
        <v>43</v>
      </c>
      <c r="X667" t="s">
        <v>44</v>
      </c>
      <c r="Y667">
        <v>0</v>
      </c>
      <c r="Z667">
        <v>3</v>
      </c>
      <c r="AA667">
        <v>3</v>
      </c>
      <c r="AB667" t="s">
        <v>60</v>
      </c>
      <c r="AC667">
        <v>3</v>
      </c>
      <c r="AD667" t="str" cm="1">
        <f t="array" ref="AD667">_xlfn.IFS(AC667&lt;=5,"0-5",AC667&lt;=10,"5-10",AC667&lt;=40,"10-40")</f>
        <v>0-5</v>
      </c>
      <c r="AE667">
        <v>2</v>
      </c>
      <c r="AF667">
        <v>1</v>
      </c>
      <c r="AG667">
        <v>2</v>
      </c>
      <c r="AH667">
        <v>666</v>
      </c>
    </row>
    <row r="668" spans="1:34" x14ac:dyDescent="0.3">
      <c r="A668">
        <v>22</v>
      </c>
      <c r="B668" t="str" cm="1">
        <f t="array" ref="B668">_xlfn.IFS(A668&lt;=25,"18-25",A668&lt;=35,"26-35",A668&lt;=45,"36-45",A668&lt;=55,"46-55",A668&gt;55,"55+")</f>
        <v>18-25</v>
      </c>
      <c r="C668">
        <v>1</v>
      </c>
      <c r="D668" t="s">
        <v>32</v>
      </c>
      <c r="E668">
        <v>617</v>
      </c>
      <c r="F668" t="s">
        <v>48</v>
      </c>
      <c r="G668">
        <v>3</v>
      </c>
      <c r="H668" t="s">
        <v>49</v>
      </c>
      <c r="I668" t="s">
        <v>35</v>
      </c>
      <c r="J668" t="s">
        <v>36</v>
      </c>
      <c r="K668" t="s">
        <v>37</v>
      </c>
      <c r="L668">
        <v>34</v>
      </c>
      <c r="M668" t="s">
        <v>38</v>
      </c>
      <c r="N668" t="s">
        <v>39</v>
      </c>
      <c r="O668" t="s">
        <v>64</v>
      </c>
      <c r="P668" t="s">
        <v>38</v>
      </c>
      <c r="Q668" t="s">
        <v>52</v>
      </c>
      <c r="R668">
        <v>4171</v>
      </c>
      <c r="S668">
        <v>10022</v>
      </c>
      <c r="T668">
        <v>0</v>
      </c>
      <c r="U668" t="s">
        <v>31</v>
      </c>
      <c r="V668">
        <v>19</v>
      </c>
      <c r="W668" t="s">
        <v>43</v>
      </c>
      <c r="X668" t="s">
        <v>44</v>
      </c>
      <c r="Y668">
        <v>1</v>
      </c>
      <c r="Z668">
        <v>4</v>
      </c>
      <c r="AA668">
        <v>3</v>
      </c>
      <c r="AB668" t="s">
        <v>73</v>
      </c>
      <c r="AC668">
        <v>3</v>
      </c>
      <c r="AD668" t="str" cm="1">
        <f t="array" ref="AD668">_xlfn.IFS(AC668&lt;=5,"0-5",AC668&lt;=10,"5-10",AC668&lt;=40,"10-40")</f>
        <v>0-5</v>
      </c>
      <c r="AE668">
        <v>2</v>
      </c>
      <c r="AF668">
        <v>0</v>
      </c>
      <c r="AG668">
        <v>2</v>
      </c>
      <c r="AH668">
        <v>667</v>
      </c>
    </row>
    <row r="669" spans="1:34" x14ac:dyDescent="0.3">
      <c r="A669">
        <v>41</v>
      </c>
      <c r="B669" t="str" cm="1">
        <f t="array" ref="B669">_xlfn.IFS(A669&lt;=25,"18-25",A669&lt;=35,"26-35",A669&lt;=45,"36-45",A669&lt;=55,"46-55",A669&gt;55,"55+")</f>
        <v>36-45</v>
      </c>
      <c r="C669">
        <v>1</v>
      </c>
      <c r="D669" t="s">
        <v>32</v>
      </c>
      <c r="E669">
        <v>1085</v>
      </c>
      <c r="F669" t="s">
        <v>48</v>
      </c>
      <c r="G669">
        <v>2</v>
      </c>
      <c r="H669" t="s">
        <v>58</v>
      </c>
      <c r="I669" t="s">
        <v>35</v>
      </c>
      <c r="J669" t="s">
        <v>36</v>
      </c>
      <c r="K669" t="s">
        <v>37</v>
      </c>
      <c r="L669">
        <v>57</v>
      </c>
      <c r="M669" t="s">
        <v>44</v>
      </c>
      <c r="N669" t="s">
        <v>56</v>
      </c>
      <c r="O669" t="s">
        <v>57</v>
      </c>
      <c r="P669" t="s">
        <v>41</v>
      </c>
      <c r="Q669" t="s">
        <v>62</v>
      </c>
      <c r="R669">
        <v>2778</v>
      </c>
      <c r="S669">
        <v>17725</v>
      </c>
      <c r="T669">
        <v>4</v>
      </c>
      <c r="U669" t="s">
        <v>31</v>
      </c>
      <c r="V669">
        <v>13</v>
      </c>
      <c r="W669" t="s">
        <v>43</v>
      </c>
      <c r="X669" t="s">
        <v>38</v>
      </c>
      <c r="Y669">
        <v>1</v>
      </c>
      <c r="Z669">
        <v>10</v>
      </c>
      <c r="AA669">
        <v>1</v>
      </c>
      <c r="AB669" t="s">
        <v>60</v>
      </c>
      <c r="AC669">
        <v>7</v>
      </c>
      <c r="AD669" t="str" cm="1">
        <f t="array" ref="AD669">_xlfn.IFS(AC669&lt;=5,"0-5",AC669&lt;=10,"5-10",AC669&lt;=40,"10-40")</f>
        <v>5-10</v>
      </c>
      <c r="AE669">
        <v>7</v>
      </c>
      <c r="AF669">
        <v>1</v>
      </c>
      <c r="AG669">
        <v>0</v>
      </c>
      <c r="AH669">
        <v>668</v>
      </c>
    </row>
    <row r="670" spans="1:34" x14ac:dyDescent="0.3">
      <c r="A670">
        <v>28</v>
      </c>
      <c r="B670" t="str" cm="1">
        <f t="array" ref="B670">_xlfn.IFS(A670&lt;=25,"18-25",A670&lt;=35,"26-35",A670&lt;=45,"36-45",A670&lt;=55,"46-55",A670&gt;55,"55+")</f>
        <v>26-35</v>
      </c>
      <c r="C670">
        <v>0</v>
      </c>
      <c r="D670" t="s">
        <v>32</v>
      </c>
      <c r="E670">
        <v>995</v>
      </c>
      <c r="F670" t="s">
        <v>48</v>
      </c>
      <c r="G670">
        <v>9</v>
      </c>
      <c r="H670" t="s">
        <v>61</v>
      </c>
      <c r="I670" t="s">
        <v>59</v>
      </c>
      <c r="J670" t="s">
        <v>38</v>
      </c>
      <c r="K670" t="s">
        <v>37</v>
      </c>
      <c r="L670">
        <v>77</v>
      </c>
      <c r="M670" t="s">
        <v>38</v>
      </c>
      <c r="N670" t="s">
        <v>56</v>
      </c>
      <c r="O670" t="s">
        <v>51</v>
      </c>
      <c r="P670" t="s">
        <v>38</v>
      </c>
      <c r="Q670" t="s">
        <v>62</v>
      </c>
      <c r="R670">
        <v>2377</v>
      </c>
      <c r="S670">
        <v>9834</v>
      </c>
      <c r="T670">
        <v>5</v>
      </c>
      <c r="U670" t="s">
        <v>46</v>
      </c>
      <c r="V670">
        <v>18</v>
      </c>
      <c r="W670" t="s">
        <v>43</v>
      </c>
      <c r="X670" t="s">
        <v>36</v>
      </c>
      <c r="Y670">
        <v>1</v>
      </c>
      <c r="Z670">
        <v>6</v>
      </c>
      <c r="AA670">
        <v>2</v>
      </c>
      <c r="AB670" t="s">
        <v>54</v>
      </c>
      <c r="AC670">
        <v>2</v>
      </c>
      <c r="AD670" t="str" cm="1">
        <f t="array" ref="AD670">_xlfn.IFS(AC670&lt;=5,"0-5",AC670&lt;=10,"5-10",AC670&lt;=40,"10-40")</f>
        <v>0-5</v>
      </c>
      <c r="AE670">
        <v>2</v>
      </c>
      <c r="AF670">
        <v>2</v>
      </c>
      <c r="AG670">
        <v>2</v>
      </c>
      <c r="AH670">
        <v>669</v>
      </c>
    </row>
    <row r="671" spans="1:34" x14ac:dyDescent="0.3">
      <c r="A671">
        <v>39</v>
      </c>
      <c r="B671" t="str" cm="1">
        <f t="array" ref="B671">_xlfn.IFS(A671&lt;=25,"18-25",A671&lt;=35,"26-35",A671&lt;=45,"36-45",A671&lt;=55,"46-55",A671&gt;55,"55+")</f>
        <v>36-45</v>
      </c>
      <c r="C671">
        <v>1</v>
      </c>
      <c r="D671" t="s">
        <v>32</v>
      </c>
      <c r="E671">
        <v>1122</v>
      </c>
      <c r="F671" t="s">
        <v>48</v>
      </c>
      <c r="G671">
        <v>6</v>
      </c>
      <c r="H671" t="s">
        <v>61</v>
      </c>
      <c r="I671" t="s">
        <v>59</v>
      </c>
      <c r="J671" t="s">
        <v>41</v>
      </c>
      <c r="K671" t="s">
        <v>50</v>
      </c>
      <c r="L671">
        <v>70</v>
      </c>
      <c r="M671" t="s">
        <v>38</v>
      </c>
      <c r="N671" t="s">
        <v>56</v>
      </c>
      <c r="O671" t="s">
        <v>57</v>
      </c>
      <c r="P671" t="s">
        <v>44</v>
      </c>
      <c r="Q671" t="s">
        <v>52</v>
      </c>
      <c r="R671">
        <v>2404</v>
      </c>
      <c r="S671">
        <v>4303</v>
      </c>
      <c r="T671">
        <v>7</v>
      </c>
      <c r="U671" t="s">
        <v>31</v>
      </c>
      <c r="V671">
        <v>21</v>
      </c>
      <c r="W671" t="s">
        <v>53</v>
      </c>
      <c r="X671" t="s">
        <v>41</v>
      </c>
      <c r="Y671">
        <v>0</v>
      </c>
      <c r="Z671">
        <v>8</v>
      </c>
      <c r="AA671">
        <v>2</v>
      </c>
      <c r="AB671" t="s">
        <v>45</v>
      </c>
      <c r="AC671">
        <v>2</v>
      </c>
      <c r="AD671" t="str" cm="1">
        <f t="array" ref="AD671">_xlfn.IFS(AC671&lt;=5,"0-5",AC671&lt;=10,"5-10",AC671&lt;=40,"10-40")</f>
        <v>0-5</v>
      </c>
      <c r="AE671">
        <v>2</v>
      </c>
      <c r="AF671">
        <v>2</v>
      </c>
      <c r="AG671">
        <v>2</v>
      </c>
      <c r="AH671">
        <v>670</v>
      </c>
    </row>
    <row r="672" spans="1:34" x14ac:dyDescent="0.3">
      <c r="A672">
        <v>27</v>
      </c>
      <c r="B672" t="str" cm="1">
        <f t="array" ref="B672">_xlfn.IFS(A672&lt;=25,"18-25",A672&lt;=35,"26-35",A672&lt;=45,"36-45",A672&lt;=55,"46-55",A672&gt;55,"55+")</f>
        <v>26-35</v>
      </c>
      <c r="C672">
        <v>0</v>
      </c>
      <c r="D672" t="s">
        <v>32</v>
      </c>
      <c r="E672">
        <v>618</v>
      </c>
      <c r="F672" t="s">
        <v>48</v>
      </c>
      <c r="G672">
        <v>4</v>
      </c>
      <c r="H672" t="s">
        <v>61</v>
      </c>
      <c r="I672" t="s">
        <v>35</v>
      </c>
      <c r="J672" t="s">
        <v>36</v>
      </c>
      <c r="K672" t="s">
        <v>37</v>
      </c>
      <c r="L672">
        <v>76</v>
      </c>
      <c r="M672" t="s">
        <v>38</v>
      </c>
      <c r="N672" t="s">
        <v>56</v>
      </c>
      <c r="O672" t="s">
        <v>51</v>
      </c>
      <c r="P672" t="s">
        <v>38</v>
      </c>
      <c r="Q672" t="s">
        <v>42</v>
      </c>
      <c r="R672">
        <v>2318</v>
      </c>
      <c r="S672">
        <v>17808</v>
      </c>
      <c r="T672">
        <v>1</v>
      </c>
      <c r="U672" t="s">
        <v>46</v>
      </c>
      <c r="V672">
        <v>19</v>
      </c>
      <c r="W672" t="s">
        <v>43</v>
      </c>
      <c r="X672" t="s">
        <v>38</v>
      </c>
      <c r="Y672">
        <v>0</v>
      </c>
      <c r="Z672">
        <v>1</v>
      </c>
      <c r="AA672">
        <v>2</v>
      </c>
      <c r="AB672" t="s">
        <v>54</v>
      </c>
      <c r="AC672">
        <v>1</v>
      </c>
      <c r="AD672" t="str" cm="1">
        <f t="array" ref="AD672">_xlfn.IFS(AC672&lt;=5,"0-5",AC672&lt;=10,"5-10",AC672&lt;=40,"10-40")</f>
        <v>0-5</v>
      </c>
      <c r="AE672">
        <v>1</v>
      </c>
      <c r="AF672">
        <v>0</v>
      </c>
      <c r="AG672">
        <v>0</v>
      </c>
      <c r="AH672">
        <v>671</v>
      </c>
    </row>
    <row r="673" spans="1:34" x14ac:dyDescent="0.3">
      <c r="A673">
        <v>34</v>
      </c>
      <c r="B673" t="str" cm="1">
        <f t="array" ref="B673">_xlfn.IFS(A673&lt;=25,"18-25",A673&lt;=35,"26-35",A673&lt;=45,"36-45",A673&lt;=55,"46-55",A673&gt;55,"55+")</f>
        <v>26-35</v>
      </c>
      <c r="C673">
        <v>0</v>
      </c>
      <c r="D673" t="s">
        <v>32</v>
      </c>
      <c r="E673">
        <v>546</v>
      </c>
      <c r="F673" t="s">
        <v>48</v>
      </c>
      <c r="G673">
        <v>10</v>
      </c>
      <c r="H673" t="s">
        <v>61</v>
      </c>
      <c r="I673" t="s">
        <v>35</v>
      </c>
      <c r="J673" t="s">
        <v>36</v>
      </c>
      <c r="K673" t="s">
        <v>50</v>
      </c>
      <c r="L673">
        <v>83</v>
      </c>
      <c r="M673" t="s">
        <v>38</v>
      </c>
      <c r="N673" t="s">
        <v>56</v>
      </c>
      <c r="O673" t="s">
        <v>57</v>
      </c>
      <c r="P673" t="s">
        <v>36</v>
      </c>
      <c r="Q673" t="s">
        <v>62</v>
      </c>
      <c r="R673">
        <v>2008</v>
      </c>
      <c r="S673">
        <v>6896</v>
      </c>
      <c r="T673">
        <v>1</v>
      </c>
      <c r="U673" t="s">
        <v>46</v>
      </c>
      <c r="V673">
        <v>14</v>
      </c>
      <c r="W673" t="s">
        <v>43</v>
      </c>
      <c r="X673" t="s">
        <v>36</v>
      </c>
      <c r="Y673">
        <v>2</v>
      </c>
      <c r="Z673">
        <v>1</v>
      </c>
      <c r="AA673">
        <v>3</v>
      </c>
      <c r="AB673" t="s">
        <v>54</v>
      </c>
      <c r="AC673">
        <v>1</v>
      </c>
      <c r="AD673" t="str" cm="1">
        <f t="array" ref="AD673">_xlfn.IFS(AC673&lt;=5,"0-5",AC673&lt;=10,"5-10",AC673&lt;=40,"10-40")</f>
        <v>0-5</v>
      </c>
      <c r="AE673">
        <v>0</v>
      </c>
      <c r="AF673">
        <v>1</v>
      </c>
      <c r="AG673">
        <v>0</v>
      </c>
      <c r="AH673">
        <v>672</v>
      </c>
    </row>
    <row r="674" spans="1:34" x14ac:dyDescent="0.3">
      <c r="A674">
        <v>42</v>
      </c>
      <c r="B674" t="str" cm="1">
        <f t="array" ref="B674">_xlfn.IFS(A674&lt;=25,"18-25",A674&lt;=35,"26-35",A674&lt;=45,"36-45",A674&lt;=55,"46-55",A674&gt;55,"55+")</f>
        <v>36-45</v>
      </c>
      <c r="C674">
        <v>0</v>
      </c>
      <c r="D674" t="s">
        <v>32</v>
      </c>
      <c r="E674">
        <v>462</v>
      </c>
      <c r="F674" t="s">
        <v>33</v>
      </c>
      <c r="G674">
        <v>14</v>
      </c>
      <c r="H674" t="s">
        <v>34</v>
      </c>
      <c r="I674" t="s">
        <v>59</v>
      </c>
      <c r="J674" t="s">
        <v>38</v>
      </c>
      <c r="K674" t="s">
        <v>37</v>
      </c>
      <c r="L674">
        <v>68</v>
      </c>
      <c r="M674" t="s">
        <v>36</v>
      </c>
      <c r="N674" t="s">
        <v>39</v>
      </c>
      <c r="O674" t="s">
        <v>40</v>
      </c>
      <c r="P674" t="s">
        <v>38</v>
      </c>
      <c r="Q674" t="s">
        <v>42</v>
      </c>
      <c r="R674">
        <v>6244</v>
      </c>
      <c r="S674">
        <v>7824</v>
      </c>
      <c r="T674">
        <v>7</v>
      </c>
      <c r="U674" t="s">
        <v>46</v>
      </c>
      <c r="V674">
        <v>17</v>
      </c>
      <c r="W674" t="s">
        <v>43</v>
      </c>
      <c r="X674" t="s">
        <v>44</v>
      </c>
      <c r="Y674">
        <v>0</v>
      </c>
      <c r="Z674">
        <v>10</v>
      </c>
      <c r="AA674">
        <v>6</v>
      </c>
      <c r="AB674" t="s">
        <v>54</v>
      </c>
      <c r="AC674">
        <v>5</v>
      </c>
      <c r="AD674" t="str" cm="1">
        <f t="array" ref="AD674">_xlfn.IFS(AC674&lt;=5,"0-5",AC674&lt;=10,"5-10",AC674&lt;=40,"10-40")</f>
        <v>0-5</v>
      </c>
      <c r="AE674">
        <v>4</v>
      </c>
      <c r="AF674">
        <v>0</v>
      </c>
      <c r="AG674">
        <v>3</v>
      </c>
      <c r="AH674">
        <v>673</v>
      </c>
    </row>
    <row r="675" spans="1:34" x14ac:dyDescent="0.3">
      <c r="A675">
        <v>33</v>
      </c>
      <c r="B675" t="str" cm="1">
        <f t="array" ref="B675">_xlfn.IFS(A675&lt;=25,"18-25",A675&lt;=35,"26-35",A675&lt;=45,"36-45",A675&lt;=55,"46-55",A675&gt;55,"55+")</f>
        <v>26-35</v>
      </c>
      <c r="C675">
        <v>0</v>
      </c>
      <c r="D675" t="s">
        <v>32</v>
      </c>
      <c r="E675">
        <v>1198</v>
      </c>
      <c r="F675" t="s">
        <v>48</v>
      </c>
      <c r="G675">
        <v>1</v>
      </c>
      <c r="H675" t="s">
        <v>58</v>
      </c>
      <c r="I675" t="s">
        <v>55</v>
      </c>
      <c r="J675" t="s">
        <v>38</v>
      </c>
      <c r="K675" t="s">
        <v>50</v>
      </c>
      <c r="L675">
        <v>100</v>
      </c>
      <c r="M675" t="s">
        <v>36</v>
      </c>
      <c r="N675" t="s">
        <v>56</v>
      </c>
      <c r="O675" t="s">
        <v>51</v>
      </c>
      <c r="P675" t="s">
        <v>44</v>
      </c>
      <c r="Q675" t="s">
        <v>42</v>
      </c>
      <c r="R675">
        <v>2799</v>
      </c>
      <c r="S675">
        <v>3339</v>
      </c>
      <c r="T675">
        <v>3</v>
      </c>
      <c r="U675" t="s">
        <v>31</v>
      </c>
      <c r="V675">
        <v>11</v>
      </c>
      <c r="W675" t="s">
        <v>43</v>
      </c>
      <c r="X675" t="s">
        <v>36</v>
      </c>
      <c r="Y675">
        <v>0</v>
      </c>
      <c r="Z675">
        <v>6</v>
      </c>
      <c r="AA675">
        <v>1</v>
      </c>
      <c r="AB675" t="s">
        <v>54</v>
      </c>
      <c r="AC675">
        <v>3</v>
      </c>
      <c r="AD675" t="str" cm="1">
        <f t="array" ref="AD675">_xlfn.IFS(AC675&lt;=5,"0-5",AC675&lt;=10,"5-10",AC675&lt;=40,"10-40")</f>
        <v>0-5</v>
      </c>
      <c r="AE675">
        <v>2</v>
      </c>
      <c r="AF675">
        <v>0</v>
      </c>
      <c r="AG675">
        <v>2</v>
      </c>
      <c r="AH675">
        <v>674</v>
      </c>
    </row>
    <row r="676" spans="1:34" x14ac:dyDescent="0.3">
      <c r="A676">
        <v>58</v>
      </c>
      <c r="B676" t="str" cm="1">
        <f t="array" ref="B676">_xlfn.IFS(A676&lt;=25,"18-25",A676&lt;=35,"26-35",A676&lt;=45,"36-45",A676&lt;=55,"46-55",A676&gt;55,"55+")</f>
        <v>55+</v>
      </c>
      <c r="C676">
        <v>0</v>
      </c>
      <c r="D676" t="s">
        <v>32</v>
      </c>
      <c r="E676">
        <v>1272</v>
      </c>
      <c r="F676" t="s">
        <v>48</v>
      </c>
      <c r="G676">
        <v>5</v>
      </c>
      <c r="H676" t="s">
        <v>61</v>
      </c>
      <c r="I676" t="s">
        <v>74</v>
      </c>
      <c r="J676" t="s">
        <v>38</v>
      </c>
      <c r="K676" t="s">
        <v>37</v>
      </c>
      <c r="L676">
        <v>37</v>
      </c>
      <c r="M676" t="s">
        <v>36</v>
      </c>
      <c r="N676" t="s">
        <v>63</v>
      </c>
      <c r="O676" t="s">
        <v>65</v>
      </c>
      <c r="P676" t="s">
        <v>36</v>
      </c>
      <c r="Q676" t="s">
        <v>62</v>
      </c>
      <c r="R676">
        <v>10552</v>
      </c>
      <c r="S676">
        <v>9255</v>
      </c>
      <c r="T676">
        <v>2</v>
      </c>
      <c r="U676" t="s">
        <v>31</v>
      </c>
      <c r="V676">
        <v>13</v>
      </c>
      <c r="W676" t="s">
        <v>43</v>
      </c>
      <c r="X676" t="s">
        <v>41</v>
      </c>
      <c r="Y676">
        <v>1</v>
      </c>
      <c r="Z676">
        <v>24</v>
      </c>
      <c r="AA676">
        <v>3</v>
      </c>
      <c r="AB676" t="s">
        <v>54</v>
      </c>
      <c r="AC676">
        <v>6</v>
      </c>
      <c r="AD676" t="str" cm="1">
        <f t="array" ref="AD676">_xlfn.IFS(AC676&lt;=5,"0-5",AC676&lt;=10,"5-10",AC676&lt;=40,"10-40")</f>
        <v>5-10</v>
      </c>
      <c r="AE676">
        <v>0</v>
      </c>
      <c r="AF676">
        <v>0</v>
      </c>
      <c r="AG676">
        <v>4</v>
      </c>
      <c r="AH676">
        <v>675</v>
      </c>
    </row>
    <row r="677" spans="1:34" x14ac:dyDescent="0.3">
      <c r="A677">
        <v>31</v>
      </c>
      <c r="B677" t="str" cm="1">
        <f t="array" ref="B677">_xlfn.IFS(A677&lt;=25,"18-25",A677&lt;=35,"26-35",A677&lt;=45,"36-45",A677&lt;=55,"46-55",A677&gt;55,"55+")</f>
        <v>26-35</v>
      </c>
      <c r="C677">
        <v>0</v>
      </c>
      <c r="D677" t="s">
        <v>32</v>
      </c>
      <c r="E677">
        <v>154</v>
      </c>
      <c r="F677" t="s">
        <v>33</v>
      </c>
      <c r="G677">
        <v>7</v>
      </c>
      <c r="H677" t="s">
        <v>58</v>
      </c>
      <c r="I677" t="s">
        <v>35</v>
      </c>
      <c r="J677" t="s">
        <v>36</v>
      </c>
      <c r="K677" t="s">
        <v>50</v>
      </c>
      <c r="L677">
        <v>41</v>
      </c>
      <c r="M677" t="s">
        <v>36</v>
      </c>
      <c r="N677" t="s">
        <v>56</v>
      </c>
      <c r="O677" t="s">
        <v>69</v>
      </c>
      <c r="P677" t="s">
        <v>38</v>
      </c>
      <c r="Q677" t="s">
        <v>52</v>
      </c>
      <c r="R677">
        <v>2329</v>
      </c>
      <c r="S677">
        <v>11737</v>
      </c>
      <c r="T677">
        <v>3</v>
      </c>
      <c r="U677" t="s">
        <v>46</v>
      </c>
      <c r="V677">
        <v>15</v>
      </c>
      <c r="W677" t="s">
        <v>43</v>
      </c>
      <c r="X677" t="s">
        <v>36</v>
      </c>
      <c r="Y677">
        <v>0</v>
      </c>
      <c r="Z677">
        <v>13</v>
      </c>
      <c r="AA677">
        <v>2</v>
      </c>
      <c r="AB677" t="s">
        <v>73</v>
      </c>
      <c r="AC677">
        <v>7</v>
      </c>
      <c r="AD677" t="str" cm="1">
        <f t="array" ref="AD677">_xlfn.IFS(AC677&lt;=5,"0-5",AC677&lt;=10,"5-10",AC677&lt;=40,"10-40")</f>
        <v>5-10</v>
      </c>
      <c r="AE677">
        <v>7</v>
      </c>
      <c r="AF677">
        <v>5</v>
      </c>
      <c r="AG677">
        <v>2</v>
      </c>
      <c r="AH677">
        <v>676</v>
      </c>
    </row>
    <row r="678" spans="1:34" x14ac:dyDescent="0.3">
      <c r="A678">
        <v>35</v>
      </c>
      <c r="B678" t="str" cm="1">
        <f t="array" ref="B678">_xlfn.IFS(A678&lt;=25,"18-25",A678&lt;=35,"26-35",A678&lt;=45,"36-45",A678&lt;=55,"46-55",A678&gt;55,"55+")</f>
        <v>26-35</v>
      </c>
      <c r="C678">
        <v>0</v>
      </c>
      <c r="D678" t="s">
        <v>32</v>
      </c>
      <c r="E678">
        <v>1137</v>
      </c>
      <c r="F678" t="s">
        <v>48</v>
      </c>
      <c r="G678">
        <v>21</v>
      </c>
      <c r="H678" t="s">
        <v>49</v>
      </c>
      <c r="I678" t="s">
        <v>35</v>
      </c>
      <c r="J678" t="s">
        <v>41</v>
      </c>
      <c r="K678" t="s">
        <v>37</v>
      </c>
      <c r="L678">
        <v>51</v>
      </c>
      <c r="M678" t="s">
        <v>38</v>
      </c>
      <c r="N678" t="s">
        <v>39</v>
      </c>
      <c r="O678" t="s">
        <v>65</v>
      </c>
      <c r="P678" t="s">
        <v>41</v>
      </c>
      <c r="Q678" t="s">
        <v>52</v>
      </c>
      <c r="R678">
        <v>4014</v>
      </c>
      <c r="S678">
        <v>19170</v>
      </c>
      <c r="T678">
        <v>1</v>
      </c>
      <c r="U678" t="s">
        <v>31</v>
      </c>
      <c r="V678">
        <v>25</v>
      </c>
      <c r="W678" t="s">
        <v>53</v>
      </c>
      <c r="X678" t="s">
        <v>41</v>
      </c>
      <c r="Y678">
        <v>1</v>
      </c>
      <c r="Z678">
        <v>10</v>
      </c>
      <c r="AA678">
        <v>2</v>
      </c>
      <c r="AB678" t="s">
        <v>45</v>
      </c>
      <c r="AC678">
        <v>10</v>
      </c>
      <c r="AD678" t="str" cm="1">
        <f t="array" ref="AD678">_xlfn.IFS(AC678&lt;=5,"0-5",AC678&lt;=10,"5-10",AC678&lt;=40,"10-40")</f>
        <v>5-10</v>
      </c>
      <c r="AE678">
        <v>6</v>
      </c>
      <c r="AF678">
        <v>0</v>
      </c>
      <c r="AG678">
        <v>7</v>
      </c>
      <c r="AH678">
        <v>677</v>
      </c>
    </row>
    <row r="679" spans="1:34" x14ac:dyDescent="0.3">
      <c r="A679">
        <v>49</v>
      </c>
      <c r="B679" t="str" cm="1">
        <f t="array" ref="B679">_xlfn.IFS(A679&lt;=25,"18-25",A679&lt;=35,"26-35",A679&lt;=45,"36-45",A679&lt;=55,"46-55",A679&gt;55,"55+")</f>
        <v>46-55</v>
      </c>
      <c r="C679">
        <v>0</v>
      </c>
      <c r="D679" t="s">
        <v>32</v>
      </c>
      <c r="E679">
        <v>527</v>
      </c>
      <c r="F679" t="s">
        <v>48</v>
      </c>
      <c r="G679">
        <v>8</v>
      </c>
      <c r="H679" t="s">
        <v>34</v>
      </c>
      <c r="I679" t="s">
        <v>55</v>
      </c>
      <c r="J679" t="s">
        <v>44</v>
      </c>
      <c r="K679" t="s">
        <v>37</v>
      </c>
      <c r="L679">
        <v>51</v>
      </c>
      <c r="M679" t="s">
        <v>38</v>
      </c>
      <c r="N679" t="s">
        <v>63</v>
      </c>
      <c r="O679" t="s">
        <v>57</v>
      </c>
      <c r="P679" t="s">
        <v>36</v>
      </c>
      <c r="Q679" t="s">
        <v>52</v>
      </c>
      <c r="R679">
        <v>7403</v>
      </c>
      <c r="S679">
        <v>22477</v>
      </c>
      <c r="T679">
        <v>4</v>
      </c>
      <c r="U679" t="s">
        <v>46</v>
      </c>
      <c r="V679">
        <v>11</v>
      </c>
      <c r="W679" t="s">
        <v>43</v>
      </c>
      <c r="X679" t="s">
        <v>38</v>
      </c>
      <c r="Y679">
        <v>1</v>
      </c>
      <c r="Z679">
        <v>29</v>
      </c>
      <c r="AA679">
        <v>3</v>
      </c>
      <c r="AB679" t="s">
        <v>60</v>
      </c>
      <c r="AC679">
        <v>26</v>
      </c>
      <c r="AD679" t="str" cm="1">
        <f t="array" ref="AD679">_xlfn.IFS(AC679&lt;=5,"0-5",AC679&lt;=10,"5-10",AC679&lt;=40,"10-40")</f>
        <v>10-40</v>
      </c>
      <c r="AE679">
        <v>9</v>
      </c>
      <c r="AF679">
        <v>1</v>
      </c>
      <c r="AG679">
        <v>7</v>
      </c>
      <c r="AH679">
        <v>678</v>
      </c>
    </row>
    <row r="680" spans="1:34" x14ac:dyDescent="0.3">
      <c r="A680">
        <v>48</v>
      </c>
      <c r="B680" t="str" cm="1">
        <f t="array" ref="B680">_xlfn.IFS(A680&lt;=25,"18-25",A680&lt;=35,"26-35",A680&lt;=45,"36-45",A680&lt;=55,"46-55",A680&gt;55,"55+")</f>
        <v>46-55</v>
      </c>
      <c r="C680">
        <v>0</v>
      </c>
      <c r="D680" t="s">
        <v>32</v>
      </c>
      <c r="E680">
        <v>1469</v>
      </c>
      <c r="F680" t="s">
        <v>48</v>
      </c>
      <c r="G680">
        <v>20</v>
      </c>
      <c r="H680" t="s">
        <v>58</v>
      </c>
      <c r="I680" t="s">
        <v>59</v>
      </c>
      <c r="J680" t="s">
        <v>41</v>
      </c>
      <c r="K680" t="s">
        <v>50</v>
      </c>
      <c r="L680">
        <v>51</v>
      </c>
      <c r="M680" t="s">
        <v>38</v>
      </c>
      <c r="N680" t="s">
        <v>56</v>
      </c>
      <c r="O680" t="s">
        <v>51</v>
      </c>
      <c r="P680" t="s">
        <v>38</v>
      </c>
      <c r="Q680" t="s">
        <v>52</v>
      </c>
      <c r="R680">
        <v>2259</v>
      </c>
      <c r="S680">
        <v>5543</v>
      </c>
      <c r="T680">
        <v>4</v>
      </c>
      <c r="U680" t="s">
        <v>46</v>
      </c>
      <c r="V680">
        <v>17</v>
      </c>
      <c r="W680" t="s">
        <v>43</v>
      </c>
      <c r="X680" t="s">
        <v>44</v>
      </c>
      <c r="Y680">
        <v>2</v>
      </c>
      <c r="Z680">
        <v>13</v>
      </c>
      <c r="AA680">
        <v>2</v>
      </c>
      <c r="AB680" t="s">
        <v>60</v>
      </c>
      <c r="AC680">
        <v>0</v>
      </c>
      <c r="AD680" t="str" cm="1">
        <f t="array" ref="AD680">_xlfn.IFS(AC680&lt;=5,"0-5",AC680&lt;=10,"5-10",AC680&lt;=40,"10-40")</f>
        <v>0-5</v>
      </c>
      <c r="AE680">
        <v>0</v>
      </c>
      <c r="AF680">
        <v>0</v>
      </c>
      <c r="AG680">
        <v>0</v>
      </c>
      <c r="AH680">
        <v>679</v>
      </c>
    </row>
    <row r="681" spans="1:34" x14ac:dyDescent="0.3">
      <c r="A681">
        <v>31</v>
      </c>
      <c r="B681" t="str" cm="1">
        <f t="array" ref="B681">_xlfn.IFS(A681&lt;=25,"18-25",A681&lt;=35,"26-35",A681&lt;=45,"36-45",A681&lt;=55,"46-55",A681&gt;55,"55+")</f>
        <v>26-35</v>
      </c>
      <c r="C681">
        <v>0</v>
      </c>
      <c r="D681" t="s">
        <v>66</v>
      </c>
      <c r="E681">
        <v>1188</v>
      </c>
      <c r="F681" t="s">
        <v>33</v>
      </c>
      <c r="G681">
        <v>20</v>
      </c>
      <c r="H681" t="s">
        <v>34</v>
      </c>
      <c r="I681" t="s">
        <v>72</v>
      </c>
      <c r="J681" t="s">
        <v>41</v>
      </c>
      <c r="K681" t="s">
        <v>37</v>
      </c>
      <c r="L681">
        <v>45</v>
      </c>
      <c r="M681" t="s">
        <v>38</v>
      </c>
      <c r="N681" t="s">
        <v>39</v>
      </c>
      <c r="O681" t="s">
        <v>40</v>
      </c>
      <c r="P681" t="s">
        <v>38</v>
      </c>
      <c r="Q681" t="s">
        <v>52</v>
      </c>
      <c r="R681">
        <v>6932</v>
      </c>
      <c r="S681">
        <v>24406</v>
      </c>
      <c r="T681">
        <v>1</v>
      </c>
      <c r="U681" t="s">
        <v>46</v>
      </c>
      <c r="V681">
        <v>13</v>
      </c>
      <c r="W681" t="s">
        <v>43</v>
      </c>
      <c r="X681" t="s">
        <v>41</v>
      </c>
      <c r="Y681">
        <v>1</v>
      </c>
      <c r="Z681">
        <v>9</v>
      </c>
      <c r="AA681">
        <v>2</v>
      </c>
      <c r="AB681" t="s">
        <v>60</v>
      </c>
      <c r="AC681">
        <v>9</v>
      </c>
      <c r="AD681" t="str" cm="1">
        <f t="array" ref="AD681">_xlfn.IFS(AC681&lt;=5,"0-5",AC681&lt;=10,"5-10",AC681&lt;=40,"10-40")</f>
        <v>5-10</v>
      </c>
      <c r="AE681">
        <v>8</v>
      </c>
      <c r="AF681">
        <v>0</v>
      </c>
      <c r="AG681">
        <v>0</v>
      </c>
      <c r="AH681">
        <v>680</v>
      </c>
    </row>
    <row r="682" spans="1:34" x14ac:dyDescent="0.3">
      <c r="A682">
        <v>36</v>
      </c>
      <c r="B682" t="str" cm="1">
        <f t="array" ref="B682">_xlfn.IFS(A682&lt;=25,"18-25",A682&lt;=35,"26-35",A682&lt;=45,"36-45",A682&lt;=55,"46-55",A682&gt;55,"55+")</f>
        <v>36-45</v>
      </c>
      <c r="C682">
        <v>0</v>
      </c>
      <c r="D682" t="s">
        <v>32</v>
      </c>
      <c r="E682">
        <v>188</v>
      </c>
      <c r="F682" t="s">
        <v>48</v>
      </c>
      <c r="G682">
        <v>7</v>
      </c>
      <c r="H682" t="s">
        <v>58</v>
      </c>
      <c r="I682" t="s">
        <v>55</v>
      </c>
      <c r="J682" t="s">
        <v>36</v>
      </c>
      <c r="K682" t="s">
        <v>50</v>
      </c>
      <c r="L682">
        <v>65</v>
      </c>
      <c r="M682" t="s">
        <v>38</v>
      </c>
      <c r="N682" t="s">
        <v>56</v>
      </c>
      <c r="O682" t="s">
        <v>51</v>
      </c>
      <c r="P682" t="s">
        <v>41</v>
      </c>
      <c r="Q682" t="s">
        <v>42</v>
      </c>
      <c r="R682">
        <v>4678</v>
      </c>
      <c r="S682">
        <v>23293</v>
      </c>
      <c r="T682">
        <v>2</v>
      </c>
      <c r="U682" t="s">
        <v>46</v>
      </c>
      <c r="V682">
        <v>18</v>
      </c>
      <c r="W682" t="s">
        <v>43</v>
      </c>
      <c r="X682" t="s">
        <v>38</v>
      </c>
      <c r="Y682">
        <v>0</v>
      </c>
      <c r="Z682">
        <v>8</v>
      </c>
      <c r="AA682">
        <v>6</v>
      </c>
      <c r="AB682" t="s">
        <v>54</v>
      </c>
      <c r="AC682">
        <v>6</v>
      </c>
      <c r="AD682" t="str" cm="1">
        <f t="array" ref="AD682">_xlfn.IFS(AC682&lt;=5,"0-5",AC682&lt;=10,"5-10",AC682&lt;=40,"10-40")</f>
        <v>5-10</v>
      </c>
      <c r="AE682">
        <v>2</v>
      </c>
      <c r="AF682">
        <v>0</v>
      </c>
      <c r="AG682">
        <v>1</v>
      </c>
      <c r="AH682">
        <v>681</v>
      </c>
    </row>
    <row r="683" spans="1:34" x14ac:dyDescent="0.3">
      <c r="A683">
        <v>38</v>
      </c>
      <c r="B683" t="str" cm="1">
        <f t="array" ref="B683">_xlfn.IFS(A683&lt;=25,"18-25",A683&lt;=35,"26-35",A683&lt;=45,"36-45",A683&lt;=55,"46-55",A683&gt;55,"55+")</f>
        <v>36-45</v>
      </c>
      <c r="C683">
        <v>0</v>
      </c>
      <c r="D683" t="s">
        <v>32</v>
      </c>
      <c r="E683">
        <v>1333</v>
      </c>
      <c r="F683" t="s">
        <v>48</v>
      </c>
      <c r="G683">
        <v>1</v>
      </c>
      <c r="H683" t="s">
        <v>61</v>
      </c>
      <c r="I683" t="s">
        <v>74</v>
      </c>
      <c r="J683" t="s">
        <v>41</v>
      </c>
      <c r="K683" t="s">
        <v>37</v>
      </c>
      <c r="L683">
        <v>80</v>
      </c>
      <c r="M683" t="s">
        <v>38</v>
      </c>
      <c r="N683" t="s">
        <v>63</v>
      </c>
      <c r="O683" t="s">
        <v>70</v>
      </c>
      <c r="P683" t="s">
        <v>44</v>
      </c>
      <c r="Q683" t="s">
        <v>52</v>
      </c>
      <c r="R683">
        <v>13582</v>
      </c>
      <c r="S683">
        <v>16292</v>
      </c>
      <c r="T683">
        <v>1</v>
      </c>
      <c r="U683" t="s">
        <v>46</v>
      </c>
      <c r="V683">
        <v>13</v>
      </c>
      <c r="W683" t="s">
        <v>43</v>
      </c>
      <c r="X683" t="s">
        <v>36</v>
      </c>
      <c r="Y683">
        <v>1</v>
      </c>
      <c r="Z683">
        <v>15</v>
      </c>
      <c r="AA683">
        <v>3</v>
      </c>
      <c r="AB683" t="s">
        <v>54</v>
      </c>
      <c r="AC683">
        <v>15</v>
      </c>
      <c r="AD683" t="str" cm="1">
        <f t="array" ref="AD683">_xlfn.IFS(AC683&lt;=5,"0-5",AC683&lt;=10,"5-10",AC683&lt;=40,"10-40")</f>
        <v>10-40</v>
      </c>
      <c r="AE683">
        <v>12</v>
      </c>
      <c r="AF683">
        <v>5</v>
      </c>
      <c r="AG683">
        <v>11</v>
      </c>
      <c r="AH683">
        <v>682</v>
      </c>
    </row>
    <row r="684" spans="1:34" x14ac:dyDescent="0.3">
      <c r="A684">
        <v>32</v>
      </c>
      <c r="B684" t="str" cm="1">
        <f t="array" ref="B684">_xlfn.IFS(A684&lt;=25,"18-25",A684&lt;=35,"26-35",A684&lt;=45,"36-45",A684&lt;=55,"46-55",A684&gt;55,"55+")</f>
        <v>26-35</v>
      </c>
      <c r="C684">
        <v>0</v>
      </c>
      <c r="D684" t="s">
        <v>66</v>
      </c>
      <c r="E684">
        <v>1184</v>
      </c>
      <c r="F684" t="s">
        <v>48</v>
      </c>
      <c r="G684">
        <v>1</v>
      </c>
      <c r="H684" t="s">
        <v>61</v>
      </c>
      <c r="I684" t="s">
        <v>35</v>
      </c>
      <c r="J684" t="s">
        <v>38</v>
      </c>
      <c r="K684" t="s">
        <v>37</v>
      </c>
      <c r="L684">
        <v>70</v>
      </c>
      <c r="M684" t="s">
        <v>36</v>
      </c>
      <c r="N684" t="s">
        <v>56</v>
      </c>
      <c r="O684" t="s">
        <v>57</v>
      </c>
      <c r="P684" t="s">
        <v>36</v>
      </c>
      <c r="Q684" t="s">
        <v>52</v>
      </c>
      <c r="R684">
        <v>2332</v>
      </c>
      <c r="S684">
        <v>3974</v>
      </c>
      <c r="T684">
        <v>6</v>
      </c>
      <c r="U684" t="s">
        <v>46</v>
      </c>
      <c r="V684">
        <v>20</v>
      </c>
      <c r="W684" t="s">
        <v>53</v>
      </c>
      <c r="X684" t="s">
        <v>38</v>
      </c>
      <c r="Y684">
        <v>0</v>
      </c>
      <c r="Z684">
        <v>5</v>
      </c>
      <c r="AA684">
        <v>3</v>
      </c>
      <c r="AB684" t="s">
        <v>54</v>
      </c>
      <c r="AC684">
        <v>3</v>
      </c>
      <c r="AD684" t="str" cm="1">
        <f t="array" ref="AD684">_xlfn.IFS(AC684&lt;=5,"0-5",AC684&lt;=10,"5-10",AC684&lt;=40,"10-40")</f>
        <v>0-5</v>
      </c>
      <c r="AE684">
        <v>0</v>
      </c>
      <c r="AF684">
        <v>0</v>
      </c>
      <c r="AG684">
        <v>2</v>
      </c>
      <c r="AH684">
        <v>683</v>
      </c>
    </row>
    <row r="685" spans="1:34" x14ac:dyDescent="0.3">
      <c r="A685">
        <v>25</v>
      </c>
      <c r="B685" t="str" cm="1">
        <f t="array" ref="B685">_xlfn.IFS(A685&lt;=25,"18-25",A685&lt;=35,"26-35",A685&lt;=45,"36-45",A685&lt;=55,"46-55",A685&gt;55,"55+")</f>
        <v>18-25</v>
      </c>
      <c r="C685">
        <v>1</v>
      </c>
      <c r="D685" t="s">
        <v>32</v>
      </c>
      <c r="E685">
        <v>867</v>
      </c>
      <c r="F685" t="s">
        <v>33</v>
      </c>
      <c r="G685">
        <v>19</v>
      </c>
      <c r="H685" t="s">
        <v>34</v>
      </c>
      <c r="I685" t="s">
        <v>72</v>
      </c>
      <c r="J685" t="s">
        <v>38</v>
      </c>
      <c r="K685" t="s">
        <v>50</v>
      </c>
      <c r="L685">
        <v>36</v>
      </c>
      <c r="M685" t="s">
        <v>36</v>
      </c>
      <c r="N685" t="s">
        <v>56</v>
      </c>
      <c r="O685" t="s">
        <v>69</v>
      </c>
      <c r="P685" t="s">
        <v>36</v>
      </c>
      <c r="Q685" t="s">
        <v>52</v>
      </c>
      <c r="R685">
        <v>2413</v>
      </c>
      <c r="S685">
        <v>18798</v>
      </c>
      <c r="T685">
        <v>1</v>
      </c>
      <c r="U685" t="s">
        <v>31</v>
      </c>
      <c r="V685">
        <v>18</v>
      </c>
      <c r="W685" t="s">
        <v>43</v>
      </c>
      <c r="X685" t="s">
        <v>38</v>
      </c>
      <c r="Y685">
        <v>3</v>
      </c>
      <c r="Z685">
        <v>1</v>
      </c>
      <c r="AA685">
        <v>2</v>
      </c>
      <c r="AB685" t="s">
        <v>54</v>
      </c>
      <c r="AC685">
        <v>1</v>
      </c>
      <c r="AD685" t="str" cm="1">
        <f t="array" ref="AD685">_xlfn.IFS(AC685&lt;=5,"0-5",AC685&lt;=10,"5-10",AC685&lt;=40,"10-40")</f>
        <v>0-5</v>
      </c>
      <c r="AE685">
        <v>0</v>
      </c>
      <c r="AF685">
        <v>0</v>
      </c>
      <c r="AG685">
        <v>0</v>
      </c>
      <c r="AH685">
        <v>684</v>
      </c>
    </row>
    <row r="686" spans="1:34" x14ac:dyDescent="0.3">
      <c r="A686">
        <v>40</v>
      </c>
      <c r="B686" t="str" cm="1">
        <f t="array" ref="B686">_xlfn.IFS(A686&lt;=25,"18-25",A686&lt;=35,"26-35",A686&lt;=45,"36-45",A686&lt;=55,"46-55",A686&gt;55,"55+")</f>
        <v>36-45</v>
      </c>
      <c r="C686">
        <v>0</v>
      </c>
      <c r="D686" t="s">
        <v>32</v>
      </c>
      <c r="E686">
        <v>658</v>
      </c>
      <c r="F686" t="s">
        <v>33</v>
      </c>
      <c r="G686">
        <v>10</v>
      </c>
      <c r="H686" t="s">
        <v>58</v>
      </c>
      <c r="I686" t="s">
        <v>72</v>
      </c>
      <c r="J686" t="s">
        <v>44</v>
      </c>
      <c r="K686" t="s">
        <v>50</v>
      </c>
      <c r="L686">
        <v>67</v>
      </c>
      <c r="M686" t="s">
        <v>36</v>
      </c>
      <c r="N686" t="s">
        <v>63</v>
      </c>
      <c r="O686" t="s">
        <v>40</v>
      </c>
      <c r="P686" t="s">
        <v>36</v>
      </c>
      <c r="Q686" t="s">
        <v>62</v>
      </c>
      <c r="R686">
        <v>9705</v>
      </c>
      <c r="S686">
        <v>20652</v>
      </c>
      <c r="T686">
        <v>2</v>
      </c>
      <c r="U686" t="s">
        <v>46</v>
      </c>
      <c r="V686">
        <v>12</v>
      </c>
      <c r="W686" t="s">
        <v>43</v>
      </c>
      <c r="X686" t="s">
        <v>36</v>
      </c>
      <c r="Y686">
        <v>1</v>
      </c>
      <c r="Z686">
        <v>11</v>
      </c>
      <c r="AA686">
        <v>2</v>
      </c>
      <c r="AB686" t="s">
        <v>60</v>
      </c>
      <c r="AC686">
        <v>1</v>
      </c>
      <c r="AD686" t="str" cm="1">
        <f t="array" ref="AD686">_xlfn.IFS(AC686&lt;=5,"0-5",AC686&lt;=10,"5-10",AC686&lt;=40,"10-40")</f>
        <v>0-5</v>
      </c>
      <c r="AE686">
        <v>0</v>
      </c>
      <c r="AF686">
        <v>0</v>
      </c>
      <c r="AG686">
        <v>0</v>
      </c>
      <c r="AH686">
        <v>685</v>
      </c>
    </row>
    <row r="687" spans="1:34" x14ac:dyDescent="0.3">
      <c r="A687">
        <v>26</v>
      </c>
      <c r="B687" t="str" cm="1">
        <f t="array" ref="B687">_xlfn.IFS(A687&lt;=25,"18-25",A687&lt;=35,"26-35",A687&lt;=45,"36-45",A687&lt;=55,"46-55",A687&gt;55,"55+")</f>
        <v>26-35</v>
      </c>
      <c r="C687">
        <v>0</v>
      </c>
      <c r="D687" t="s">
        <v>47</v>
      </c>
      <c r="E687">
        <v>1283</v>
      </c>
      <c r="F687" t="s">
        <v>33</v>
      </c>
      <c r="G687">
        <v>1</v>
      </c>
      <c r="H687" t="s">
        <v>61</v>
      </c>
      <c r="I687" t="s">
        <v>59</v>
      </c>
      <c r="J687" t="s">
        <v>38</v>
      </c>
      <c r="K687" t="s">
        <v>50</v>
      </c>
      <c r="L687">
        <v>52</v>
      </c>
      <c r="M687" t="s">
        <v>36</v>
      </c>
      <c r="N687" t="s">
        <v>39</v>
      </c>
      <c r="O687" t="s">
        <v>40</v>
      </c>
      <c r="P687" t="s">
        <v>44</v>
      </c>
      <c r="Q687" t="s">
        <v>42</v>
      </c>
      <c r="R687">
        <v>4294</v>
      </c>
      <c r="S687">
        <v>11148</v>
      </c>
      <c r="T687">
        <v>1</v>
      </c>
      <c r="U687" t="s">
        <v>46</v>
      </c>
      <c r="V687">
        <v>12</v>
      </c>
      <c r="W687" t="s">
        <v>43</v>
      </c>
      <c r="X687" t="s">
        <v>36</v>
      </c>
      <c r="Y687">
        <v>0</v>
      </c>
      <c r="Z687">
        <v>7</v>
      </c>
      <c r="AA687">
        <v>2</v>
      </c>
      <c r="AB687" t="s">
        <v>54</v>
      </c>
      <c r="AC687">
        <v>7</v>
      </c>
      <c r="AD687" t="str" cm="1">
        <f t="array" ref="AD687">_xlfn.IFS(AC687&lt;=5,"0-5",AC687&lt;=10,"5-10",AC687&lt;=40,"10-40")</f>
        <v>5-10</v>
      </c>
      <c r="AE687">
        <v>7</v>
      </c>
      <c r="AF687">
        <v>0</v>
      </c>
      <c r="AG687">
        <v>7</v>
      </c>
      <c r="AH687">
        <v>686</v>
      </c>
    </row>
    <row r="688" spans="1:34" x14ac:dyDescent="0.3">
      <c r="A688">
        <v>41</v>
      </c>
      <c r="B688" t="str" cm="1">
        <f t="array" ref="B688">_xlfn.IFS(A688&lt;=25,"18-25",A688&lt;=35,"26-35",A688&lt;=45,"36-45",A688&lt;=55,"46-55",A688&gt;55,"55+")</f>
        <v>36-45</v>
      </c>
      <c r="C688">
        <v>0</v>
      </c>
      <c r="D688" t="s">
        <v>32</v>
      </c>
      <c r="E688">
        <v>263</v>
      </c>
      <c r="F688" t="s">
        <v>48</v>
      </c>
      <c r="G688">
        <v>6</v>
      </c>
      <c r="H688" t="s">
        <v>61</v>
      </c>
      <c r="I688" t="s">
        <v>59</v>
      </c>
      <c r="J688" t="s">
        <v>41</v>
      </c>
      <c r="K688" t="s">
        <v>50</v>
      </c>
      <c r="L688">
        <v>59</v>
      </c>
      <c r="M688" t="s">
        <v>38</v>
      </c>
      <c r="N688" t="s">
        <v>56</v>
      </c>
      <c r="O688" t="s">
        <v>57</v>
      </c>
      <c r="P688" t="s">
        <v>44</v>
      </c>
      <c r="Q688" t="s">
        <v>42</v>
      </c>
      <c r="R688">
        <v>4721</v>
      </c>
      <c r="S688">
        <v>3119</v>
      </c>
      <c r="T688">
        <v>2</v>
      </c>
      <c r="U688" t="s">
        <v>31</v>
      </c>
      <c r="V688">
        <v>13</v>
      </c>
      <c r="W688" t="s">
        <v>43</v>
      </c>
      <c r="X688" t="s">
        <v>38</v>
      </c>
      <c r="Y688">
        <v>0</v>
      </c>
      <c r="Z688">
        <v>20</v>
      </c>
      <c r="AA688">
        <v>3</v>
      </c>
      <c r="AB688" t="s">
        <v>54</v>
      </c>
      <c r="AC688">
        <v>18</v>
      </c>
      <c r="AD688" t="str" cm="1">
        <f t="array" ref="AD688">_xlfn.IFS(AC688&lt;=5,"0-5",AC688&lt;=10,"5-10",AC688&lt;=40,"10-40")</f>
        <v>10-40</v>
      </c>
      <c r="AE688">
        <v>13</v>
      </c>
      <c r="AF688">
        <v>2</v>
      </c>
      <c r="AG688">
        <v>17</v>
      </c>
      <c r="AH688">
        <v>687</v>
      </c>
    </row>
    <row r="689" spans="1:34" x14ac:dyDescent="0.3">
      <c r="A689">
        <v>36</v>
      </c>
      <c r="B689" t="str" cm="1">
        <f t="array" ref="B689">_xlfn.IFS(A689&lt;=25,"18-25",A689&lt;=35,"26-35",A689&lt;=45,"36-45",A689&lt;=55,"46-55",A689&gt;55,"55+")</f>
        <v>36-45</v>
      </c>
      <c r="C689">
        <v>0</v>
      </c>
      <c r="D689" t="s">
        <v>32</v>
      </c>
      <c r="E689">
        <v>938</v>
      </c>
      <c r="F689" t="s">
        <v>48</v>
      </c>
      <c r="G689">
        <v>2</v>
      </c>
      <c r="H689" t="s">
        <v>58</v>
      </c>
      <c r="I689" t="s">
        <v>59</v>
      </c>
      <c r="J689" t="s">
        <v>38</v>
      </c>
      <c r="K689" t="s">
        <v>50</v>
      </c>
      <c r="L689">
        <v>79</v>
      </c>
      <c r="M689" t="s">
        <v>38</v>
      </c>
      <c r="N689" t="s">
        <v>56</v>
      </c>
      <c r="O689" t="s">
        <v>57</v>
      </c>
      <c r="P689" t="s">
        <v>38</v>
      </c>
      <c r="Q689" t="s">
        <v>42</v>
      </c>
      <c r="R689">
        <v>2519</v>
      </c>
      <c r="S689">
        <v>12287</v>
      </c>
      <c r="T689">
        <v>4</v>
      </c>
      <c r="U689" t="s">
        <v>46</v>
      </c>
      <c r="V689">
        <v>21</v>
      </c>
      <c r="W689" t="s">
        <v>53</v>
      </c>
      <c r="X689" t="s">
        <v>38</v>
      </c>
      <c r="Y689">
        <v>0</v>
      </c>
      <c r="Z689">
        <v>16</v>
      </c>
      <c r="AA689">
        <v>6</v>
      </c>
      <c r="AB689" t="s">
        <v>54</v>
      </c>
      <c r="AC689">
        <v>11</v>
      </c>
      <c r="AD689" t="str" cm="1">
        <f t="array" ref="AD689">_xlfn.IFS(AC689&lt;=5,"0-5",AC689&lt;=10,"5-10",AC689&lt;=40,"10-40")</f>
        <v>10-40</v>
      </c>
      <c r="AE689">
        <v>8</v>
      </c>
      <c r="AF689">
        <v>3</v>
      </c>
      <c r="AG689">
        <v>9</v>
      </c>
      <c r="AH689">
        <v>688</v>
      </c>
    </row>
    <row r="690" spans="1:34" x14ac:dyDescent="0.3">
      <c r="A690">
        <v>19</v>
      </c>
      <c r="B690" t="str" cm="1">
        <f t="array" ref="B690">_xlfn.IFS(A690&lt;=25,"18-25",A690&lt;=35,"26-35",A690&lt;=45,"36-45",A690&lt;=55,"46-55",A690&gt;55,"55+")</f>
        <v>18-25</v>
      </c>
      <c r="C690">
        <v>1</v>
      </c>
      <c r="D690" t="s">
        <v>32</v>
      </c>
      <c r="E690">
        <v>419</v>
      </c>
      <c r="F690" t="s">
        <v>33</v>
      </c>
      <c r="G690">
        <v>21</v>
      </c>
      <c r="H690" t="s">
        <v>61</v>
      </c>
      <c r="I690" t="s">
        <v>55</v>
      </c>
      <c r="J690" t="s">
        <v>41</v>
      </c>
      <c r="K690" t="s">
        <v>50</v>
      </c>
      <c r="L690">
        <v>37</v>
      </c>
      <c r="M690" t="s">
        <v>36</v>
      </c>
      <c r="N690" t="s">
        <v>56</v>
      </c>
      <c r="O690" t="s">
        <v>69</v>
      </c>
      <c r="P690" t="s">
        <v>36</v>
      </c>
      <c r="Q690" t="s">
        <v>42</v>
      </c>
      <c r="R690">
        <v>2121</v>
      </c>
      <c r="S690">
        <v>9947</v>
      </c>
      <c r="T690">
        <v>1</v>
      </c>
      <c r="U690" t="s">
        <v>31</v>
      </c>
      <c r="V690">
        <v>13</v>
      </c>
      <c r="W690" t="s">
        <v>43</v>
      </c>
      <c r="X690" t="s">
        <v>36</v>
      </c>
      <c r="Y690">
        <v>0</v>
      </c>
      <c r="Z690">
        <v>1</v>
      </c>
      <c r="AA690">
        <v>3</v>
      </c>
      <c r="AB690" t="s">
        <v>73</v>
      </c>
      <c r="AC690">
        <v>1</v>
      </c>
      <c r="AD690" t="str" cm="1">
        <f t="array" ref="AD690">_xlfn.IFS(AC690&lt;=5,"0-5",AC690&lt;=10,"5-10",AC690&lt;=40,"10-40")</f>
        <v>0-5</v>
      </c>
      <c r="AE690">
        <v>0</v>
      </c>
      <c r="AF690">
        <v>0</v>
      </c>
      <c r="AG690">
        <v>0</v>
      </c>
      <c r="AH690">
        <v>689</v>
      </c>
    </row>
    <row r="691" spans="1:34" x14ac:dyDescent="0.3">
      <c r="A691">
        <v>20</v>
      </c>
      <c r="B691" t="str" cm="1">
        <f t="array" ref="B691">_xlfn.IFS(A691&lt;=25,"18-25",A691&lt;=35,"26-35",A691&lt;=45,"36-45",A691&lt;=55,"46-55",A691&gt;55,"55+")</f>
        <v>18-25</v>
      </c>
      <c r="C691">
        <v>1</v>
      </c>
      <c r="D691" t="s">
        <v>32</v>
      </c>
      <c r="E691">
        <v>129</v>
      </c>
      <c r="F691" t="s">
        <v>48</v>
      </c>
      <c r="G691">
        <v>4</v>
      </c>
      <c r="H691" t="s">
        <v>61</v>
      </c>
      <c r="I691" t="s">
        <v>74</v>
      </c>
      <c r="J691" t="s">
        <v>44</v>
      </c>
      <c r="K691" t="s">
        <v>50</v>
      </c>
      <c r="L691">
        <v>84</v>
      </c>
      <c r="M691" t="s">
        <v>38</v>
      </c>
      <c r="N691" t="s">
        <v>56</v>
      </c>
      <c r="O691" t="s">
        <v>57</v>
      </c>
      <c r="P691" t="s">
        <v>44</v>
      </c>
      <c r="Q691" t="s">
        <v>42</v>
      </c>
      <c r="R691">
        <v>2973</v>
      </c>
      <c r="S691">
        <v>13008</v>
      </c>
      <c r="T691">
        <v>1</v>
      </c>
      <c r="U691" t="s">
        <v>46</v>
      </c>
      <c r="V691">
        <v>19</v>
      </c>
      <c r="W691" t="s">
        <v>43</v>
      </c>
      <c r="X691" t="s">
        <v>36</v>
      </c>
      <c r="Y691">
        <v>0</v>
      </c>
      <c r="Z691">
        <v>1</v>
      </c>
      <c r="AA691">
        <v>2</v>
      </c>
      <c r="AB691" t="s">
        <v>54</v>
      </c>
      <c r="AC691">
        <v>1</v>
      </c>
      <c r="AD691" t="str" cm="1">
        <f t="array" ref="AD691">_xlfn.IFS(AC691&lt;=5,"0-5",AC691&lt;=10,"5-10",AC691&lt;=40,"10-40")</f>
        <v>0-5</v>
      </c>
      <c r="AE691">
        <v>0</v>
      </c>
      <c r="AF691">
        <v>0</v>
      </c>
      <c r="AG691">
        <v>0</v>
      </c>
      <c r="AH691">
        <v>690</v>
      </c>
    </row>
    <row r="692" spans="1:34" x14ac:dyDescent="0.3">
      <c r="A692">
        <v>31</v>
      </c>
      <c r="B692" t="str" cm="1">
        <f t="array" ref="B692">_xlfn.IFS(A692&lt;=25,"18-25",A692&lt;=35,"26-35",A692&lt;=45,"36-45",A692&lt;=55,"46-55",A692&gt;55,"55+")</f>
        <v>26-35</v>
      </c>
      <c r="C692">
        <v>0</v>
      </c>
      <c r="D692" t="s">
        <v>32</v>
      </c>
      <c r="E692">
        <v>616</v>
      </c>
      <c r="F692" t="s">
        <v>48</v>
      </c>
      <c r="G692">
        <v>12</v>
      </c>
      <c r="H692" t="s">
        <v>61</v>
      </c>
      <c r="I692" t="s">
        <v>59</v>
      </c>
      <c r="J692" t="s">
        <v>41</v>
      </c>
      <c r="K692" t="s">
        <v>37</v>
      </c>
      <c r="L692">
        <v>41</v>
      </c>
      <c r="M692" t="s">
        <v>38</v>
      </c>
      <c r="N692" t="s">
        <v>39</v>
      </c>
      <c r="O692" t="s">
        <v>65</v>
      </c>
      <c r="P692" t="s">
        <v>41</v>
      </c>
      <c r="Q692" t="s">
        <v>52</v>
      </c>
      <c r="R692">
        <v>5855</v>
      </c>
      <c r="S692">
        <v>17369</v>
      </c>
      <c r="T692">
        <v>0</v>
      </c>
      <c r="U692" t="s">
        <v>31</v>
      </c>
      <c r="V692">
        <v>11</v>
      </c>
      <c r="W692" t="s">
        <v>43</v>
      </c>
      <c r="X692" t="s">
        <v>38</v>
      </c>
      <c r="Y692">
        <v>2</v>
      </c>
      <c r="Z692">
        <v>10</v>
      </c>
      <c r="AA692">
        <v>2</v>
      </c>
      <c r="AB692" t="s">
        <v>45</v>
      </c>
      <c r="AC692">
        <v>9</v>
      </c>
      <c r="AD692" t="str" cm="1">
        <f t="array" ref="AD692">_xlfn.IFS(AC692&lt;=5,"0-5",AC692&lt;=10,"5-10",AC692&lt;=40,"10-40")</f>
        <v>5-10</v>
      </c>
      <c r="AE692">
        <v>7</v>
      </c>
      <c r="AF692">
        <v>8</v>
      </c>
      <c r="AG692">
        <v>5</v>
      </c>
      <c r="AH692">
        <v>691</v>
      </c>
    </row>
    <row r="693" spans="1:34" x14ac:dyDescent="0.3">
      <c r="A693">
        <v>40</v>
      </c>
      <c r="B693" t="str" cm="1">
        <f t="array" ref="B693">_xlfn.IFS(A693&lt;=25,"18-25",A693&lt;=35,"26-35",A693&lt;=45,"36-45",A693&lt;=55,"46-55",A693&gt;55,"55+")</f>
        <v>36-45</v>
      </c>
      <c r="C693">
        <v>0</v>
      </c>
      <c r="D693" t="s">
        <v>47</v>
      </c>
      <c r="E693">
        <v>1469</v>
      </c>
      <c r="F693" t="s">
        <v>48</v>
      </c>
      <c r="G693">
        <v>9</v>
      </c>
      <c r="H693" t="s">
        <v>58</v>
      </c>
      <c r="I693" t="s">
        <v>59</v>
      </c>
      <c r="J693" t="s">
        <v>41</v>
      </c>
      <c r="K693" t="s">
        <v>50</v>
      </c>
      <c r="L693">
        <v>35</v>
      </c>
      <c r="M693" t="s">
        <v>38</v>
      </c>
      <c r="N693" t="s">
        <v>56</v>
      </c>
      <c r="O693" t="s">
        <v>51</v>
      </c>
      <c r="P693" t="s">
        <v>36</v>
      </c>
      <c r="Q693" t="s">
        <v>62</v>
      </c>
      <c r="R693">
        <v>3617</v>
      </c>
      <c r="S693">
        <v>25063</v>
      </c>
      <c r="T693">
        <v>8</v>
      </c>
      <c r="U693" t="s">
        <v>31</v>
      </c>
      <c r="V693">
        <v>14</v>
      </c>
      <c r="W693" t="s">
        <v>43</v>
      </c>
      <c r="X693" t="s">
        <v>41</v>
      </c>
      <c r="Y693">
        <v>1</v>
      </c>
      <c r="Z693">
        <v>3</v>
      </c>
      <c r="AA693">
        <v>2</v>
      </c>
      <c r="AB693" t="s">
        <v>54</v>
      </c>
      <c r="AC693">
        <v>1</v>
      </c>
      <c r="AD693" t="str" cm="1">
        <f t="array" ref="AD693">_xlfn.IFS(AC693&lt;=5,"0-5",AC693&lt;=10,"5-10",AC693&lt;=40,"10-40")</f>
        <v>0-5</v>
      </c>
      <c r="AE693">
        <v>1</v>
      </c>
      <c r="AF693">
        <v>0</v>
      </c>
      <c r="AG693">
        <v>0</v>
      </c>
      <c r="AH693">
        <v>692</v>
      </c>
    </row>
    <row r="694" spans="1:34" x14ac:dyDescent="0.3">
      <c r="A694">
        <v>32</v>
      </c>
      <c r="B694" t="str" cm="1">
        <f t="array" ref="B694">_xlfn.IFS(A694&lt;=25,"18-25",A694&lt;=35,"26-35",A694&lt;=45,"36-45",A694&lt;=55,"46-55",A694&gt;55,"55+")</f>
        <v>26-35</v>
      </c>
      <c r="C694">
        <v>0</v>
      </c>
      <c r="D694" t="s">
        <v>32</v>
      </c>
      <c r="E694">
        <v>498</v>
      </c>
      <c r="F694" t="s">
        <v>48</v>
      </c>
      <c r="G694">
        <v>3</v>
      </c>
      <c r="H694" t="s">
        <v>58</v>
      </c>
      <c r="I694" t="s">
        <v>59</v>
      </c>
      <c r="J694" t="s">
        <v>38</v>
      </c>
      <c r="K694" t="s">
        <v>37</v>
      </c>
      <c r="L694">
        <v>93</v>
      </c>
      <c r="M694" t="s">
        <v>38</v>
      </c>
      <c r="N694" t="s">
        <v>39</v>
      </c>
      <c r="O694" t="s">
        <v>64</v>
      </c>
      <c r="P694" t="s">
        <v>44</v>
      </c>
      <c r="Q694" t="s">
        <v>52</v>
      </c>
      <c r="R694">
        <v>6725</v>
      </c>
      <c r="S694">
        <v>13554</v>
      </c>
      <c r="T694">
        <v>1</v>
      </c>
      <c r="U694" t="s">
        <v>46</v>
      </c>
      <c r="V694">
        <v>12</v>
      </c>
      <c r="W694" t="s">
        <v>43</v>
      </c>
      <c r="X694" t="s">
        <v>38</v>
      </c>
      <c r="Y694">
        <v>1</v>
      </c>
      <c r="Z694">
        <v>8</v>
      </c>
      <c r="AA694">
        <v>2</v>
      </c>
      <c r="AB694" t="s">
        <v>73</v>
      </c>
      <c r="AC694">
        <v>8</v>
      </c>
      <c r="AD694" t="str" cm="1">
        <f t="array" ref="AD694">_xlfn.IFS(AC694&lt;=5,"0-5",AC694&lt;=10,"5-10",AC694&lt;=40,"10-40")</f>
        <v>5-10</v>
      </c>
      <c r="AE694">
        <v>7</v>
      </c>
      <c r="AF694">
        <v>6</v>
      </c>
      <c r="AG694">
        <v>3</v>
      </c>
      <c r="AH694">
        <v>693</v>
      </c>
    </row>
    <row r="695" spans="1:34" x14ac:dyDescent="0.3">
      <c r="A695">
        <v>36</v>
      </c>
      <c r="B695" t="str" cm="1">
        <f t="array" ref="B695">_xlfn.IFS(A695&lt;=25,"18-25",A695&lt;=35,"26-35",A695&lt;=45,"36-45",A695&lt;=55,"46-55",A695&gt;55,"55+")</f>
        <v>36-45</v>
      </c>
      <c r="C695">
        <v>1</v>
      </c>
      <c r="D695" t="s">
        <v>32</v>
      </c>
      <c r="E695">
        <v>530</v>
      </c>
      <c r="F695" t="s">
        <v>33</v>
      </c>
      <c r="G695">
        <v>3</v>
      </c>
      <c r="H695" t="s">
        <v>49</v>
      </c>
      <c r="I695" t="s">
        <v>35</v>
      </c>
      <c r="J695" t="s">
        <v>38</v>
      </c>
      <c r="K695" t="s">
        <v>50</v>
      </c>
      <c r="L695">
        <v>51</v>
      </c>
      <c r="M695" t="s">
        <v>36</v>
      </c>
      <c r="N695" t="s">
        <v>63</v>
      </c>
      <c r="O695" t="s">
        <v>40</v>
      </c>
      <c r="P695" t="s">
        <v>41</v>
      </c>
      <c r="Q695" t="s">
        <v>52</v>
      </c>
      <c r="R695">
        <v>10325</v>
      </c>
      <c r="S695">
        <v>5518</v>
      </c>
      <c r="T695">
        <v>1</v>
      </c>
      <c r="U695" t="s">
        <v>31</v>
      </c>
      <c r="V695">
        <v>11</v>
      </c>
      <c r="W695" t="s">
        <v>43</v>
      </c>
      <c r="X695" t="s">
        <v>44</v>
      </c>
      <c r="Y695">
        <v>1</v>
      </c>
      <c r="Z695">
        <v>16</v>
      </c>
      <c r="AA695">
        <v>6</v>
      </c>
      <c r="AB695" t="s">
        <v>54</v>
      </c>
      <c r="AC695">
        <v>16</v>
      </c>
      <c r="AD695" t="str" cm="1">
        <f t="array" ref="AD695">_xlfn.IFS(AC695&lt;=5,"0-5",AC695&lt;=10,"5-10",AC695&lt;=40,"10-40")</f>
        <v>10-40</v>
      </c>
      <c r="AE695">
        <v>7</v>
      </c>
      <c r="AF695">
        <v>3</v>
      </c>
      <c r="AG695">
        <v>7</v>
      </c>
      <c r="AH695">
        <v>694</v>
      </c>
    </row>
    <row r="696" spans="1:34" x14ac:dyDescent="0.3">
      <c r="A696">
        <v>33</v>
      </c>
      <c r="B696" t="str" cm="1">
        <f t="array" ref="B696">_xlfn.IFS(A696&lt;=25,"18-25",A696&lt;=35,"26-35",A696&lt;=45,"36-45",A696&lt;=55,"46-55",A696&gt;55,"55+")</f>
        <v>26-35</v>
      </c>
      <c r="C696">
        <v>0</v>
      </c>
      <c r="D696" t="s">
        <v>32</v>
      </c>
      <c r="E696">
        <v>1069</v>
      </c>
      <c r="F696" t="s">
        <v>48</v>
      </c>
      <c r="G696">
        <v>1</v>
      </c>
      <c r="H696" t="s">
        <v>61</v>
      </c>
      <c r="I696" t="s">
        <v>35</v>
      </c>
      <c r="J696" t="s">
        <v>36</v>
      </c>
      <c r="K696" t="s">
        <v>37</v>
      </c>
      <c r="L696">
        <v>42</v>
      </c>
      <c r="M696" t="s">
        <v>36</v>
      </c>
      <c r="N696" t="s">
        <v>39</v>
      </c>
      <c r="O696" t="s">
        <v>65</v>
      </c>
      <c r="P696" t="s">
        <v>41</v>
      </c>
      <c r="Q696" t="s">
        <v>42</v>
      </c>
      <c r="R696">
        <v>6949</v>
      </c>
      <c r="S696">
        <v>12291</v>
      </c>
      <c r="T696">
        <v>0</v>
      </c>
      <c r="U696" t="s">
        <v>46</v>
      </c>
      <c r="V696">
        <v>14</v>
      </c>
      <c r="W696" t="s">
        <v>43</v>
      </c>
      <c r="X696" t="s">
        <v>44</v>
      </c>
      <c r="Y696">
        <v>0</v>
      </c>
      <c r="Z696">
        <v>6</v>
      </c>
      <c r="AA696">
        <v>3</v>
      </c>
      <c r="AB696" t="s">
        <v>54</v>
      </c>
      <c r="AC696">
        <v>5</v>
      </c>
      <c r="AD696" t="str" cm="1">
        <f t="array" ref="AD696">_xlfn.IFS(AC696&lt;=5,"0-5",AC696&lt;=10,"5-10",AC696&lt;=40,"10-40")</f>
        <v>0-5</v>
      </c>
      <c r="AE696">
        <v>0</v>
      </c>
      <c r="AF696">
        <v>1</v>
      </c>
      <c r="AG696">
        <v>4</v>
      </c>
      <c r="AH696">
        <v>695</v>
      </c>
    </row>
    <row r="697" spans="1:34" x14ac:dyDescent="0.3">
      <c r="A697">
        <v>37</v>
      </c>
      <c r="B697" t="str" cm="1">
        <f t="array" ref="B697">_xlfn.IFS(A697&lt;=25,"18-25",A697&lt;=35,"26-35",A697&lt;=45,"36-45",A697&lt;=55,"46-55",A697&gt;55,"55+")</f>
        <v>36-45</v>
      </c>
      <c r="C697">
        <v>1</v>
      </c>
      <c r="D697" t="s">
        <v>32</v>
      </c>
      <c r="E697">
        <v>625</v>
      </c>
      <c r="F697" t="s">
        <v>33</v>
      </c>
      <c r="G697">
        <v>1</v>
      </c>
      <c r="H697" t="s">
        <v>58</v>
      </c>
      <c r="I697" t="s">
        <v>35</v>
      </c>
      <c r="J697" t="s">
        <v>44</v>
      </c>
      <c r="K697" t="s">
        <v>50</v>
      </c>
      <c r="L697">
        <v>46</v>
      </c>
      <c r="M697" t="s">
        <v>36</v>
      </c>
      <c r="N697" t="s">
        <v>63</v>
      </c>
      <c r="O697" t="s">
        <v>40</v>
      </c>
      <c r="P697" t="s">
        <v>38</v>
      </c>
      <c r="Q697" t="s">
        <v>52</v>
      </c>
      <c r="R697">
        <v>10609</v>
      </c>
      <c r="S697">
        <v>14922</v>
      </c>
      <c r="T697">
        <v>5</v>
      </c>
      <c r="U697" t="s">
        <v>46</v>
      </c>
      <c r="V697">
        <v>11</v>
      </c>
      <c r="W697" t="s">
        <v>43</v>
      </c>
      <c r="X697" t="s">
        <v>38</v>
      </c>
      <c r="Y697">
        <v>0</v>
      </c>
      <c r="Z697">
        <v>17</v>
      </c>
      <c r="AA697">
        <v>2</v>
      </c>
      <c r="AB697" t="s">
        <v>45</v>
      </c>
      <c r="AC697">
        <v>14</v>
      </c>
      <c r="AD697" t="str" cm="1">
        <f t="array" ref="AD697">_xlfn.IFS(AC697&lt;=5,"0-5",AC697&lt;=10,"5-10",AC697&lt;=40,"10-40")</f>
        <v>10-40</v>
      </c>
      <c r="AE697">
        <v>1</v>
      </c>
      <c r="AF697">
        <v>11</v>
      </c>
      <c r="AG697">
        <v>7</v>
      </c>
      <c r="AH697">
        <v>696</v>
      </c>
    </row>
    <row r="698" spans="1:34" x14ac:dyDescent="0.3">
      <c r="A698">
        <v>45</v>
      </c>
      <c r="B698" t="str" cm="1">
        <f t="array" ref="B698">_xlfn.IFS(A698&lt;=25,"18-25",A698&lt;=35,"26-35",A698&lt;=45,"36-45",A698&lt;=55,"46-55",A698&gt;55,"55+")</f>
        <v>36-45</v>
      </c>
      <c r="C698">
        <v>0</v>
      </c>
      <c r="D698" t="s">
        <v>66</v>
      </c>
      <c r="E698">
        <v>805</v>
      </c>
      <c r="F698" t="s">
        <v>48</v>
      </c>
      <c r="G698">
        <v>4</v>
      </c>
      <c r="H698" t="s">
        <v>34</v>
      </c>
      <c r="I698" t="s">
        <v>35</v>
      </c>
      <c r="J698" t="s">
        <v>38</v>
      </c>
      <c r="K698" t="s">
        <v>50</v>
      </c>
      <c r="L698">
        <v>57</v>
      </c>
      <c r="M698" t="s">
        <v>38</v>
      </c>
      <c r="N698" t="s">
        <v>39</v>
      </c>
      <c r="O698" t="s">
        <v>57</v>
      </c>
      <c r="P698" t="s">
        <v>36</v>
      </c>
      <c r="Q698" t="s">
        <v>52</v>
      </c>
      <c r="R698">
        <v>4447</v>
      </c>
      <c r="S698">
        <v>23163</v>
      </c>
      <c r="T698">
        <v>1</v>
      </c>
      <c r="U698" t="s">
        <v>46</v>
      </c>
      <c r="V698">
        <v>12</v>
      </c>
      <c r="W698" t="s">
        <v>43</v>
      </c>
      <c r="X698" t="s">
        <v>36</v>
      </c>
      <c r="Y698">
        <v>0</v>
      </c>
      <c r="Z698">
        <v>9</v>
      </c>
      <c r="AA698">
        <v>5</v>
      </c>
      <c r="AB698" t="s">
        <v>60</v>
      </c>
      <c r="AC698">
        <v>9</v>
      </c>
      <c r="AD698" t="str" cm="1">
        <f t="array" ref="AD698">_xlfn.IFS(AC698&lt;=5,"0-5",AC698&lt;=10,"5-10",AC698&lt;=40,"10-40")</f>
        <v>5-10</v>
      </c>
      <c r="AE698">
        <v>7</v>
      </c>
      <c r="AF698">
        <v>0</v>
      </c>
      <c r="AG698">
        <v>8</v>
      </c>
      <c r="AH698">
        <v>697</v>
      </c>
    </row>
    <row r="699" spans="1:34" x14ac:dyDescent="0.3">
      <c r="A699">
        <v>29</v>
      </c>
      <c r="B699" t="str" cm="1">
        <f t="array" ref="B699">_xlfn.IFS(A699&lt;=25,"18-25",A699&lt;=35,"26-35",A699&lt;=45,"36-45",A699&lt;=55,"46-55",A699&gt;55,"55+")</f>
        <v>26-35</v>
      </c>
      <c r="C699">
        <v>0</v>
      </c>
      <c r="D699" t="s">
        <v>47</v>
      </c>
      <c r="E699">
        <v>1404</v>
      </c>
      <c r="F699" t="s">
        <v>33</v>
      </c>
      <c r="G699">
        <v>20</v>
      </c>
      <c r="H699" t="s">
        <v>61</v>
      </c>
      <c r="I699" t="s">
        <v>74</v>
      </c>
      <c r="J699" t="s">
        <v>38</v>
      </c>
      <c r="K699" t="s">
        <v>37</v>
      </c>
      <c r="L699">
        <v>84</v>
      </c>
      <c r="M699" t="s">
        <v>38</v>
      </c>
      <c r="N699" t="s">
        <v>56</v>
      </c>
      <c r="O699" t="s">
        <v>69</v>
      </c>
      <c r="P699" t="s">
        <v>41</v>
      </c>
      <c r="Q699" t="s">
        <v>52</v>
      </c>
      <c r="R699">
        <v>2157</v>
      </c>
      <c r="S699">
        <v>18203</v>
      </c>
      <c r="T699">
        <v>1</v>
      </c>
      <c r="U699" t="s">
        <v>46</v>
      </c>
      <c r="V699">
        <v>15</v>
      </c>
      <c r="W699" t="s">
        <v>43</v>
      </c>
      <c r="X699" t="s">
        <v>36</v>
      </c>
      <c r="Y699">
        <v>1</v>
      </c>
      <c r="Z699">
        <v>3</v>
      </c>
      <c r="AA699">
        <v>5</v>
      </c>
      <c r="AB699" t="s">
        <v>54</v>
      </c>
      <c r="AC699">
        <v>3</v>
      </c>
      <c r="AD699" t="str" cm="1">
        <f t="array" ref="AD699">_xlfn.IFS(AC699&lt;=5,"0-5",AC699&lt;=10,"5-10",AC699&lt;=40,"10-40")</f>
        <v>0-5</v>
      </c>
      <c r="AE699">
        <v>1</v>
      </c>
      <c r="AF699">
        <v>0</v>
      </c>
      <c r="AG699">
        <v>2</v>
      </c>
      <c r="AH699">
        <v>698</v>
      </c>
    </row>
    <row r="700" spans="1:34" x14ac:dyDescent="0.3">
      <c r="A700">
        <v>35</v>
      </c>
      <c r="B700" t="str" cm="1">
        <f t="array" ref="B700">_xlfn.IFS(A700&lt;=25,"18-25",A700&lt;=35,"26-35",A700&lt;=45,"36-45",A700&lt;=55,"46-55",A700&gt;55,"55+")</f>
        <v>26-35</v>
      </c>
      <c r="C700">
        <v>0</v>
      </c>
      <c r="D700" t="s">
        <v>32</v>
      </c>
      <c r="E700">
        <v>1219</v>
      </c>
      <c r="F700" t="s">
        <v>33</v>
      </c>
      <c r="G700">
        <v>18</v>
      </c>
      <c r="H700" t="s">
        <v>61</v>
      </c>
      <c r="I700" t="s">
        <v>59</v>
      </c>
      <c r="J700" t="s">
        <v>38</v>
      </c>
      <c r="K700" t="s">
        <v>37</v>
      </c>
      <c r="L700">
        <v>86</v>
      </c>
      <c r="M700" t="s">
        <v>38</v>
      </c>
      <c r="N700" t="s">
        <v>39</v>
      </c>
      <c r="O700" t="s">
        <v>40</v>
      </c>
      <c r="P700" t="s">
        <v>38</v>
      </c>
      <c r="Q700" t="s">
        <v>52</v>
      </c>
      <c r="R700">
        <v>4601</v>
      </c>
      <c r="S700">
        <v>6179</v>
      </c>
      <c r="T700">
        <v>1</v>
      </c>
      <c r="U700" t="s">
        <v>46</v>
      </c>
      <c r="V700">
        <v>16</v>
      </c>
      <c r="W700" t="s">
        <v>43</v>
      </c>
      <c r="X700" t="s">
        <v>36</v>
      </c>
      <c r="Y700">
        <v>0</v>
      </c>
      <c r="Z700">
        <v>5</v>
      </c>
      <c r="AA700">
        <v>3</v>
      </c>
      <c r="AB700" t="s">
        <v>54</v>
      </c>
      <c r="AC700">
        <v>5</v>
      </c>
      <c r="AD700" t="str" cm="1">
        <f t="array" ref="AD700">_xlfn.IFS(AC700&lt;=5,"0-5",AC700&lt;=10,"5-10",AC700&lt;=40,"10-40")</f>
        <v>0-5</v>
      </c>
      <c r="AE700">
        <v>2</v>
      </c>
      <c r="AF700">
        <v>1</v>
      </c>
      <c r="AG700">
        <v>0</v>
      </c>
      <c r="AH700">
        <v>699</v>
      </c>
    </row>
    <row r="701" spans="1:34" x14ac:dyDescent="0.3">
      <c r="A701">
        <v>52</v>
      </c>
      <c r="B701" t="str" cm="1">
        <f t="array" ref="B701">_xlfn.IFS(A701&lt;=25,"18-25",A701&lt;=35,"26-35",A701&lt;=45,"36-45",A701&lt;=55,"46-55",A701&gt;55,"55+")</f>
        <v>46-55</v>
      </c>
      <c r="C701">
        <v>0</v>
      </c>
      <c r="D701" t="s">
        <v>32</v>
      </c>
      <c r="E701">
        <v>1053</v>
      </c>
      <c r="F701" t="s">
        <v>48</v>
      </c>
      <c r="G701">
        <v>1</v>
      </c>
      <c r="H701" t="s">
        <v>34</v>
      </c>
      <c r="I701" t="s">
        <v>35</v>
      </c>
      <c r="J701" t="s">
        <v>41</v>
      </c>
      <c r="K701" t="s">
        <v>50</v>
      </c>
      <c r="L701">
        <v>70</v>
      </c>
      <c r="M701" t="s">
        <v>38</v>
      </c>
      <c r="N701" t="s">
        <v>67</v>
      </c>
      <c r="O701" t="s">
        <v>68</v>
      </c>
      <c r="P701" t="s">
        <v>41</v>
      </c>
      <c r="Q701" t="s">
        <v>52</v>
      </c>
      <c r="R701">
        <v>17099</v>
      </c>
      <c r="S701">
        <v>13829</v>
      </c>
      <c r="T701">
        <v>2</v>
      </c>
      <c r="U701" t="s">
        <v>46</v>
      </c>
      <c r="V701">
        <v>15</v>
      </c>
      <c r="W701" t="s">
        <v>43</v>
      </c>
      <c r="X701" t="s">
        <v>36</v>
      </c>
      <c r="Y701">
        <v>1</v>
      </c>
      <c r="Z701">
        <v>26</v>
      </c>
      <c r="AA701">
        <v>2</v>
      </c>
      <c r="AB701" t="s">
        <v>60</v>
      </c>
      <c r="AC701">
        <v>9</v>
      </c>
      <c r="AD701" t="str" cm="1">
        <f t="array" ref="AD701">_xlfn.IFS(AC701&lt;=5,"0-5",AC701&lt;=10,"5-10",AC701&lt;=40,"10-40")</f>
        <v>5-10</v>
      </c>
      <c r="AE701">
        <v>8</v>
      </c>
      <c r="AF701">
        <v>7</v>
      </c>
      <c r="AG701">
        <v>8</v>
      </c>
      <c r="AH701">
        <v>700</v>
      </c>
    </row>
    <row r="702" spans="1:34" x14ac:dyDescent="0.3">
      <c r="A702">
        <v>58</v>
      </c>
      <c r="B702" t="str" cm="1">
        <f t="array" ref="B702">_xlfn.IFS(A702&lt;=25,"18-25",A702&lt;=35,"26-35",A702&lt;=45,"36-45",A702&lt;=55,"46-55",A702&gt;55,"55+")</f>
        <v>55+</v>
      </c>
      <c r="C702">
        <v>1</v>
      </c>
      <c r="D702" t="s">
        <v>32</v>
      </c>
      <c r="E702">
        <v>289</v>
      </c>
      <c r="F702" t="s">
        <v>48</v>
      </c>
      <c r="G702">
        <v>2</v>
      </c>
      <c r="H702" t="s">
        <v>61</v>
      </c>
      <c r="I702" t="s">
        <v>74</v>
      </c>
      <c r="J702" t="s">
        <v>41</v>
      </c>
      <c r="K702" t="s">
        <v>50</v>
      </c>
      <c r="L702">
        <v>51</v>
      </c>
      <c r="M702" t="s">
        <v>38</v>
      </c>
      <c r="N702" t="s">
        <v>56</v>
      </c>
      <c r="O702" t="s">
        <v>51</v>
      </c>
      <c r="P702" t="s">
        <v>38</v>
      </c>
      <c r="Q702" t="s">
        <v>42</v>
      </c>
      <c r="R702">
        <v>2479</v>
      </c>
      <c r="S702">
        <v>26227</v>
      </c>
      <c r="T702">
        <v>4</v>
      </c>
      <c r="U702" t="s">
        <v>46</v>
      </c>
      <c r="V702">
        <v>24</v>
      </c>
      <c r="W702" t="s">
        <v>53</v>
      </c>
      <c r="X702" t="s">
        <v>44</v>
      </c>
      <c r="Y702">
        <v>0</v>
      </c>
      <c r="Z702">
        <v>7</v>
      </c>
      <c r="AA702">
        <v>4</v>
      </c>
      <c r="AB702" t="s">
        <v>54</v>
      </c>
      <c r="AC702">
        <v>1</v>
      </c>
      <c r="AD702" t="str" cm="1">
        <f t="array" ref="AD702">_xlfn.IFS(AC702&lt;=5,"0-5",AC702&lt;=10,"5-10",AC702&lt;=40,"10-40")</f>
        <v>0-5</v>
      </c>
      <c r="AE702">
        <v>0</v>
      </c>
      <c r="AF702">
        <v>0</v>
      </c>
      <c r="AG702">
        <v>0</v>
      </c>
      <c r="AH702">
        <v>701</v>
      </c>
    </row>
    <row r="703" spans="1:34" x14ac:dyDescent="0.3">
      <c r="A703">
        <v>53</v>
      </c>
      <c r="B703" t="str" cm="1">
        <f t="array" ref="B703">_xlfn.IFS(A703&lt;=25,"18-25",A703&lt;=35,"26-35",A703&lt;=45,"36-45",A703&lt;=55,"46-55",A703&gt;55,"55+")</f>
        <v>46-55</v>
      </c>
      <c r="C703">
        <v>0</v>
      </c>
      <c r="D703" t="s">
        <v>32</v>
      </c>
      <c r="E703">
        <v>1376</v>
      </c>
      <c r="F703" t="s">
        <v>33</v>
      </c>
      <c r="G703">
        <v>2</v>
      </c>
      <c r="H703" t="s">
        <v>34</v>
      </c>
      <c r="I703" t="s">
        <v>59</v>
      </c>
      <c r="J703" t="s">
        <v>38</v>
      </c>
      <c r="K703" t="s">
        <v>50</v>
      </c>
      <c r="L703">
        <v>45</v>
      </c>
      <c r="M703" t="s">
        <v>38</v>
      </c>
      <c r="N703" t="s">
        <v>67</v>
      </c>
      <c r="O703" t="s">
        <v>68</v>
      </c>
      <c r="P703" t="s">
        <v>38</v>
      </c>
      <c r="Q703" t="s">
        <v>62</v>
      </c>
      <c r="R703">
        <v>14852</v>
      </c>
      <c r="S703">
        <v>13938</v>
      </c>
      <c r="T703">
        <v>6</v>
      </c>
      <c r="U703" t="s">
        <v>46</v>
      </c>
      <c r="V703">
        <v>13</v>
      </c>
      <c r="W703" t="s">
        <v>43</v>
      </c>
      <c r="X703" t="s">
        <v>38</v>
      </c>
      <c r="Y703">
        <v>1</v>
      </c>
      <c r="Z703">
        <v>22</v>
      </c>
      <c r="AA703">
        <v>3</v>
      </c>
      <c r="AB703" t="s">
        <v>73</v>
      </c>
      <c r="AC703">
        <v>17</v>
      </c>
      <c r="AD703" t="str" cm="1">
        <f t="array" ref="AD703">_xlfn.IFS(AC703&lt;=5,"0-5",AC703&lt;=10,"5-10",AC703&lt;=40,"10-40")</f>
        <v>10-40</v>
      </c>
      <c r="AE703">
        <v>13</v>
      </c>
      <c r="AF703">
        <v>15</v>
      </c>
      <c r="AG703">
        <v>2</v>
      </c>
      <c r="AH703">
        <v>702</v>
      </c>
    </row>
    <row r="704" spans="1:34" x14ac:dyDescent="0.3">
      <c r="A704">
        <v>30</v>
      </c>
      <c r="B704" t="str" cm="1">
        <f t="array" ref="B704">_xlfn.IFS(A704&lt;=25,"18-25",A704&lt;=35,"26-35",A704&lt;=45,"36-45",A704&lt;=55,"46-55",A704&gt;55,"55+")</f>
        <v>26-35</v>
      </c>
      <c r="C704">
        <v>0</v>
      </c>
      <c r="D704" t="s">
        <v>32</v>
      </c>
      <c r="E704">
        <v>231</v>
      </c>
      <c r="F704" t="s">
        <v>33</v>
      </c>
      <c r="G704">
        <v>8</v>
      </c>
      <c r="H704" t="s">
        <v>34</v>
      </c>
      <c r="I704" t="s">
        <v>55</v>
      </c>
      <c r="J704" t="s">
        <v>38</v>
      </c>
      <c r="K704" t="s">
        <v>50</v>
      </c>
      <c r="L704">
        <v>62</v>
      </c>
      <c r="M704" t="s">
        <v>38</v>
      </c>
      <c r="N704" t="s">
        <v>63</v>
      </c>
      <c r="O704" t="s">
        <v>40</v>
      </c>
      <c r="P704" t="s">
        <v>38</v>
      </c>
      <c r="Q704" t="s">
        <v>62</v>
      </c>
      <c r="R704">
        <v>7264</v>
      </c>
      <c r="S704">
        <v>9977</v>
      </c>
      <c r="T704">
        <v>5</v>
      </c>
      <c r="U704" t="s">
        <v>46</v>
      </c>
      <c r="V704">
        <v>11</v>
      </c>
      <c r="W704" t="s">
        <v>43</v>
      </c>
      <c r="X704" t="s">
        <v>44</v>
      </c>
      <c r="Y704">
        <v>1</v>
      </c>
      <c r="Z704">
        <v>10</v>
      </c>
      <c r="AA704">
        <v>2</v>
      </c>
      <c r="AB704" t="s">
        <v>73</v>
      </c>
      <c r="AC704">
        <v>8</v>
      </c>
      <c r="AD704" t="str" cm="1">
        <f t="array" ref="AD704">_xlfn.IFS(AC704&lt;=5,"0-5",AC704&lt;=10,"5-10",AC704&lt;=40,"10-40")</f>
        <v>5-10</v>
      </c>
      <c r="AE704">
        <v>4</v>
      </c>
      <c r="AF704">
        <v>7</v>
      </c>
      <c r="AG704">
        <v>7</v>
      </c>
      <c r="AH704">
        <v>703</v>
      </c>
    </row>
    <row r="705" spans="1:34" x14ac:dyDescent="0.3">
      <c r="A705">
        <v>38</v>
      </c>
      <c r="B705" t="str" cm="1">
        <f t="array" ref="B705">_xlfn.IFS(A705&lt;=25,"18-25",A705&lt;=35,"26-35",A705&lt;=45,"36-45",A705&lt;=55,"46-55",A705&gt;55,"55+")</f>
        <v>36-45</v>
      </c>
      <c r="C705">
        <v>0</v>
      </c>
      <c r="D705" t="s">
        <v>66</v>
      </c>
      <c r="E705">
        <v>152</v>
      </c>
      <c r="F705" t="s">
        <v>33</v>
      </c>
      <c r="G705">
        <v>10</v>
      </c>
      <c r="H705" t="s">
        <v>61</v>
      </c>
      <c r="I705" t="s">
        <v>74</v>
      </c>
      <c r="J705" t="s">
        <v>38</v>
      </c>
      <c r="K705" t="s">
        <v>37</v>
      </c>
      <c r="L705">
        <v>85</v>
      </c>
      <c r="M705" t="s">
        <v>38</v>
      </c>
      <c r="N705" t="s">
        <v>39</v>
      </c>
      <c r="O705" t="s">
        <v>40</v>
      </c>
      <c r="P705" t="s">
        <v>41</v>
      </c>
      <c r="Q705" t="s">
        <v>42</v>
      </c>
      <c r="R705">
        <v>5666</v>
      </c>
      <c r="S705">
        <v>19899</v>
      </c>
      <c r="T705">
        <v>1</v>
      </c>
      <c r="U705" t="s">
        <v>31</v>
      </c>
      <c r="V705">
        <v>13</v>
      </c>
      <c r="W705" t="s">
        <v>43</v>
      </c>
      <c r="X705" t="s">
        <v>36</v>
      </c>
      <c r="Y705">
        <v>0</v>
      </c>
      <c r="Z705">
        <v>6</v>
      </c>
      <c r="AA705">
        <v>1</v>
      </c>
      <c r="AB705" t="s">
        <v>54</v>
      </c>
      <c r="AC705">
        <v>5</v>
      </c>
      <c r="AD705" t="str" cm="1">
        <f t="array" ref="AD705">_xlfn.IFS(AC705&lt;=5,"0-5",AC705&lt;=10,"5-10",AC705&lt;=40,"10-40")</f>
        <v>0-5</v>
      </c>
      <c r="AE705">
        <v>3</v>
      </c>
      <c r="AF705">
        <v>1</v>
      </c>
      <c r="AG705">
        <v>3</v>
      </c>
      <c r="AH705">
        <v>704</v>
      </c>
    </row>
    <row r="706" spans="1:34" x14ac:dyDescent="0.3">
      <c r="A706">
        <v>35</v>
      </c>
      <c r="B706" t="str" cm="1">
        <f t="array" ref="B706">_xlfn.IFS(A706&lt;=25,"18-25",A706&lt;=35,"26-35",A706&lt;=45,"36-45",A706&lt;=55,"46-55",A706&gt;55,"55+")</f>
        <v>26-35</v>
      </c>
      <c r="C706">
        <v>0</v>
      </c>
      <c r="D706" t="s">
        <v>32</v>
      </c>
      <c r="E706">
        <v>882</v>
      </c>
      <c r="F706" t="s">
        <v>33</v>
      </c>
      <c r="G706">
        <v>3</v>
      </c>
      <c r="H706" t="s">
        <v>58</v>
      </c>
      <c r="I706" t="s">
        <v>35</v>
      </c>
      <c r="J706" t="s">
        <v>41</v>
      </c>
      <c r="K706" t="s">
        <v>50</v>
      </c>
      <c r="L706">
        <v>92</v>
      </c>
      <c r="M706" t="s">
        <v>38</v>
      </c>
      <c r="N706" t="s">
        <v>63</v>
      </c>
      <c r="O706" t="s">
        <v>40</v>
      </c>
      <c r="P706" t="s">
        <v>41</v>
      </c>
      <c r="Q706" t="s">
        <v>62</v>
      </c>
      <c r="R706">
        <v>7823</v>
      </c>
      <c r="S706">
        <v>6812</v>
      </c>
      <c r="T706">
        <v>6</v>
      </c>
      <c r="U706" t="s">
        <v>46</v>
      </c>
      <c r="V706">
        <v>13</v>
      </c>
      <c r="W706" t="s">
        <v>43</v>
      </c>
      <c r="X706" t="s">
        <v>36</v>
      </c>
      <c r="Y706">
        <v>1</v>
      </c>
      <c r="Z706">
        <v>12</v>
      </c>
      <c r="AA706">
        <v>2</v>
      </c>
      <c r="AB706" t="s">
        <v>54</v>
      </c>
      <c r="AC706">
        <v>10</v>
      </c>
      <c r="AD706" t="str" cm="1">
        <f t="array" ref="AD706">_xlfn.IFS(AC706&lt;=5,"0-5",AC706&lt;=10,"5-10",AC706&lt;=40,"10-40")</f>
        <v>5-10</v>
      </c>
      <c r="AE706">
        <v>9</v>
      </c>
      <c r="AF706">
        <v>0</v>
      </c>
      <c r="AG706">
        <v>8</v>
      </c>
      <c r="AH706">
        <v>705</v>
      </c>
    </row>
    <row r="707" spans="1:34" x14ac:dyDescent="0.3">
      <c r="A707">
        <v>39</v>
      </c>
      <c r="B707" t="str" cm="1">
        <f t="array" ref="B707">_xlfn.IFS(A707&lt;=25,"18-25",A707&lt;=35,"26-35",A707&lt;=45,"36-45",A707&lt;=55,"46-55",A707&gt;55,"55+")</f>
        <v>36-45</v>
      </c>
      <c r="C707">
        <v>0</v>
      </c>
      <c r="D707" t="s">
        <v>32</v>
      </c>
      <c r="E707">
        <v>903</v>
      </c>
      <c r="F707" t="s">
        <v>33</v>
      </c>
      <c r="G707">
        <v>2</v>
      </c>
      <c r="H707" t="s">
        <v>75</v>
      </c>
      <c r="I707" t="s">
        <v>35</v>
      </c>
      <c r="J707" t="s">
        <v>44</v>
      </c>
      <c r="K707" t="s">
        <v>50</v>
      </c>
      <c r="L707">
        <v>41</v>
      </c>
      <c r="M707" t="s">
        <v>41</v>
      </c>
      <c r="N707" t="s">
        <v>63</v>
      </c>
      <c r="O707" t="s">
        <v>40</v>
      </c>
      <c r="P707" t="s">
        <v>38</v>
      </c>
      <c r="Q707" t="s">
        <v>42</v>
      </c>
      <c r="R707">
        <v>7880</v>
      </c>
      <c r="S707">
        <v>2560</v>
      </c>
      <c r="T707">
        <v>0</v>
      </c>
      <c r="U707" t="s">
        <v>46</v>
      </c>
      <c r="V707">
        <v>18</v>
      </c>
      <c r="W707" t="s">
        <v>43</v>
      </c>
      <c r="X707" t="s">
        <v>41</v>
      </c>
      <c r="Y707">
        <v>0</v>
      </c>
      <c r="Z707">
        <v>9</v>
      </c>
      <c r="AA707">
        <v>3</v>
      </c>
      <c r="AB707" t="s">
        <v>54</v>
      </c>
      <c r="AC707">
        <v>8</v>
      </c>
      <c r="AD707" t="str" cm="1">
        <f t="array" ref="AD707">_xlfn.IFS(AC707&lt;=5,"0-5",AC707&lt;=10,"5-10",AC707&lt;=40,"10-40")</f>
        <v>5-10</v>
      </c>
      <c r="AE707">
        <v>7</v>
      </c>
      <c r="AF707">
        <v>0</v>
      </c>
      <c r="AG707">
        <v>7</v>
      </c>
      <c r="AH707">
        <v>706</v>
      </c>
    </row>
    <row r="708" spans="1:34" x14ac:dyDescent="0.3">
      <c r="A708">
        <v>40</v>
      </c>
      <c r="B708" t="str" cm="1">
        <f t="array" ref="B708">_xlfn.IFS(A708&lt;=25,"18-25",A708&lt;=35,"26-35",A708&lt;=45,"36-45",A708&lt;=55,"46-55",A708&gt;55,"55+")</f>
        <v>36-45</v>
      </c>
      <c r="C708">
        <v>1</v>
      </c>
      <c r="D708" t="s">
        <v>66</v>
      </c>
      <c r="E708">
        <v>1479</v>
      </c>
      <c r="F708" t="s">
        <v>33</v>
      </c>
      <c r="G708">
        <v>24</v>
      </c>
      <c r="H708" t="s">
        <v>61</v>
      </c>
      <c r="I708" t="s">
        <v>35</v>
      </c>
      <c r="J708" t="s">
        <v>36</v>
      </c>
      <c r="K708" t="s">
        <v>37</v>
      </c>
      <c r="L708">
        <v>100</v>
      </c>
      <c r="M708" t="s">
        <v>41</v>
      </c>
      <c r="N708" t="s">
        <v>67</v>
      </c>
      <c r="O708" t="s">
        <v>40</v>
      </c>
      <c r="P708" t="s">
        <v>36</v>
      </c>
      <c r="Q708" t="s">
        <v>42</v>
      </c>
      <c r="R708">
        <v>13194</v>
      </c>
      <c r="S708">
        <v>17071</v>
      </c>
      <c r="T708">
        <v>4</v>
      </c>
      <c r="U708" t="s">
        <v>31</v>
      </c>
      <c r="V708">
        <v>16</v>
      </c>
      <c r="W708" t="s">
        <v>43</v>
      </c>
      <c r="X708" t="s">
        <v>41</v>
      </c>
      <c r="Y708">
        <v>0</v>
      </c>
      <c r="Z708">
        <v>22</v>
      </c>
      <c r="AA708">
        <v>2</v>
      </c>
      <c r="AB708" t="s">
        <v>60</v>
      </c>
      <c r="AC708">
        <v>1</v>
      </c>
      <c r="AD708" t="str" cm="1">
        <f t="array" ref="AD708">_xlfn.IFS(AC708&lt;=5,"0-5",AC708&lt;=10,"5-10",AC708&lt;=40,"10-40")</f>
        <v>0-5</v>
      </c>
      <c r="AE708">
        <v>0</v>
      </c>
      <c r="AF708">
        <v>0</v>
      </c>
      <c r="AG708">
        <v>0</v>
      </c>
      <c r="AH708">
        <v>707</v>
      </c>
    </row>
    <row r="709" spans="1:34" x14ac:dyDescent="0.3">
      <c r="A709">
        <v>47</v>
      </c>
      <c r="B709" t="str" cm="1">
        <f t="array" ref="B709">_xlfn.IFS(A709&lt;=25,"18-25",A709&lt;=35,"26-35",A709&lt;=45,"36-45",A709&lt;=55,"46-55",A709&gt;55,"55+")</f>
        <v>46-55</v>
      </c>
      <c r="C709">
        <v>0</v>
      </c>
      <c r="D709" t="s">
        <v>47</v>
      </c>
      <c r="E709">
        <v>1379</v>
      </c>
      <c r="F709" t="s">
        <v>48</v>
      </c>
      <c r="G709">
        <v>16</v>
      </c>
      <c r="H709" t="s">
        <v>58</v>
      </c>
      <c r="I709" t="s">
        <v>59</v>
      </c>
      <c r="J709" t="s">
        <v>38</v>
      </c>
      <c r="K709" t="s">
        <v>50</v>
      </c>
      <c r="L709">
        <v>64</v>
      </c>
      <c r="M709" t="s">
        <v>41</v>
      </c>
      <c r="N709" t="s">
        <v>39</v>
      </c>
      <c r="O709" t="s">
        <v>64</v>
      </c>
      <c r="P709" t="s">
        <v>38</v>
      </c>
      <c r="Q709" t="s">
        <v>62</v>
      </c>
      <c r="R709">
        <v>5067</v>
      </c>
      <c r="S709">
        <v>6759</v>
      </c>
      <c r="T709">
        <v>1</v>
      </c>
      <c r="U709" t="s">
        <v>31</v>
      </c>
      <c r="V709">
        <v>19</v>
      </c>
      <c r="W709" t="s">
        <v>43</v>
      </c>
      <c r="X709" t="s">
        <v>38</v>
      </c>
      <c r="Y709">
        <v>0</v>
      </c>
      <c r="Z709">
        <v>20</v>
      </c>
      <c r="AA709">
        <v>3</v>
      </c>
      <c r="AB709" t="s">
        <v>73</v>
      </c>
      <c r="AC709">
        <v>19</v>
      </c>
      <c r="AD709" t="str" cm="1">
        <f t="array" ref="AD709">_xlfn.IFS(AC709&lt;=5,"0-5",AC709&lt;=10,"5-10",AC709&lt;=40,"10-40")</f>
        <v>10-40</v>
      </c>
      <c r="AE709">
        <v>10</v>
      </c>
      <c r="AF709">
        <v>2</v>
      </c>
      <c r="AG709">
        <v>7</v>
      </c>
      <c r="AH709">
        <v>708</v>
      </c>
    </row>
    <row r="710" spans="1:34" x14ac:dyDescent="0.3">
      <c r="A710">
        <v>36</v>
      </c>
      <c r="B710" t="str" cm="1">
        <f t="array" ref="B710">_xlfn.IFS(A710&lt;=25,"18-25",A710&lt;=35,"26-35",A710&lt;=45,"36-45",A710&lt;=55,"46-55",A710&gt;55,"55+")</f>
        <v>36-45</v>
      </c>
      <c r="C710">
        <v>0</v>
      </c>
      <c r="D710" t="s">
        <v>66</v>
      </c>
      <c r="E710">
        <v>1229</v>
      </c>
      <c r="F710" t="s">
        <v>33</v>
      </c>
      <c r="G710">
        <v>8</v>
      </c>
      <c r="H710" t="s">
        <v>58</v>
      </c>
      <c r="I710" t="s">
        <v>74</v>
      </c>
      <c r="J710" t="s">
        <v>44</v>
      </c>
      <c r="K710" t="s">
        <v>50</v>
      </c>
      <c r="L710">
        <v>84</v>
      </c>
      <c r="M710" t="s">
        <v>38</v>
      </c>
      <c r="N710" t="s">
        <v>39</v>
      </c>
      <c r="O710" t="s">
        <v>40</v>
      </c>
      <c r="P710" t="s">
        <v>41</v>
      </c>
      <c r="Q710" t="s">
        <v>62</v>
      </c>
      <c r="R710">
        <v>5079</v>
      </c>
      <c r="S710">
        <v>25952</v>
      </c>
      <c r="T710">
        <v>4</v>
      </c>
      <c r="U710" t="s">
        <v>46</v>
      </c>
      <c r="V710">
        <v>13</v>
      </c>
      <c r="W710" t="s">
        <v>43</v>
      </c>
      <c r="X710" t="s">
        <v>41</v>
      </c>
      <c r="Y710">
        <v>2</v>
      </c>
      <c r="Z710">
        <v>12</v>
      </c>
      <c r="AA710">
        <v>3</v>
      </c>
      <c r="AB710" t="s">
        <v>54</v>
      </c>
      <c r="AC710">
        <v>7</v>
      </c>
      <c r="AD710" t="str" cm="1">
        <f t="array" ref="AD710">_xlfn.IFS(AC710&lt;=5,"0-5",AC710&lt;=10,"5-10",AC710&lt;=40,"10-40")</f>
        <v>5-10</v>
      </c>
      <c r="AE710">
        <v>7</v>
      </c>
      <c r="AF710">
        <v>0</v>
      </c>
      <c r="AG710">
        <v>7</v>
      </c>
      <c r="AH710">
        <v>709</v>
      </c>
    </row>
    <row r="711" spans="1:34" x14ac:dyDescent="0.3">
      <c r="A711">
        <v>31</v>
      </c>
      <c r="B711" t="str" cm="1">
        <f t="array" ref="B711">_xlfn.IFS(A711&lt;=25,"18-25",A711&lt;=35,"26-35",A711&lt;=45,"36-45",A711&lt;=55,"46-55",A711&gt;55,"55+")</f>
        <v>26-35</v>
      </c>
      <c r="C711">
        <v>1</v>
      </c>
      <c r="D711" t="s">
        <v>66</v>
      </c>
      <c r="E711">
        <v>335</v>
      </c>
      <c r="F711" t="s">
        <v>48</v>
      </c>
      <c r="G711">
        <v>9</v>
      </c>
      <c r="H711" t="s">
        <v>34</v>
      </c>
      <c r="I711" t="s">
        <v>59</v>
      </c>
      <c r="J711" t="s">
        <v>38</v>
      </c>
      <c r="K711" t="s">
        <v>50</v>
      </c>
      <c r="L711">
        <v>46</v>
      </c>
      <c r="M711" t="s">
        <v>36</v>
      </c>
      <c r="N711" t="s">
        <v>56</v>
      </c>
      <c r="O711" t="s">
        <v>51</v>
      </c>
      <c r="P711" t="s">
        <v>44</v>
      </c>
      <c r="Q711" t="s">
        <v>42</v>
      </c>
      <c r="R711">
        <v>2321</v>
      </c>
      <c r="S711">
        <v>10322</v>
      </c>
      <c r="T711">
        <v>0</v>
      </c>
      <c r="U711" t="s">
        <v>31</v>
      </c>
      <c r="V711">
        <v>22</v>
      </c>
      <c r="W711" t="s">
        <v>53</v>
      </c>
      <c r="X711" t="s">
        <v>44</v>
      </c>
      <c r="Y711">
        <v>0</v>
      </c>
      <c r="Z711">
        <v>4</v>
      </c>
      <c r="AA711">
        <v>0</v>
      </c>
      <c r="AB711" t="s">
        <v>54</v>
      </c>
      <c r="AC711">
        <v>3</v>
      </c>
      <c r="AD711" t="str" cm="1">
        <f t="array" ref="AD711">_xlfn.IFS(AC711&lt;=5,"0-5",AC711&lt;=10,"5-10",AC711&lt;=40,"10-40")</f>
        <v>0-5</v>
      </c>
      <c r="AE711">
        <v>2</v>
      </c>
      <c r="AF711">
        <v>1</v>
      </c>
      <c r="AG711">
        <v>2</v>
      </c>
      <c r="AH711">
        <v>710</v>
      </c>
    </row>
    <row r="712" spans="1:34" x14ac:dyDescent="0.3">
      <c r="A712">
        <v>33</v>
      </c>
      <c r="B712" t="str" cm="1">
        <f t="array" ref="B712">_xlfn.IFS(A712&lt;=25,"18-25",A712&lt;=35,"26-35",A712&lt;=45,"36-45",A712&lt;=55,"46-55",A712&gt;55,"55+")</f>
        <v>26-35</v>
      </c>
      <c r="C712">
        <v>0</v>
      </c>
      <c r="D712" t="s">
        <v>66</v>
      </c>
      <c r="E712">
        <v>722</v>
      </c>
      <c r="F712" t="s">
        <v>33</v>
      </c>
      <c r="G712">
        <v>17</v>
      </c>
      <c r="H712" t="s">
        <v>61</v>
      </c>
      <c r="I712" t="s">
        <v>35</v>
      </c>
      <c r="J712" t="s">
        <v>41</v>
      </c>
      <c r="K712" t="s">
        <v>50</v>
      </c>
      <c r="L712">
        <v>38</v>
      </c>
      <c r="M712" t="s">
        <v>38</v>
      </c>
      <c r="N712" t="s">
        <v>67</v>
      </c>
      <c r="O712" t="s">
        <v>68</v>
      </c>
      <c r="P712" t="s">
        <v>38</v>
      </c>
      <c r="Q712" t="s">
        <v>42</v>
      </c>
      <c r="R712">
        <v>17444</v>
      </c>
      <c r="S712">
        <v>20489</v>
      </c>
      <c r="T712">
        <v>1</v>
      </c>
      <c r="U712" t="s">
        <v>46</v>
      </c>
      <c r="V712">
        <v>11</v>
      </c>
      <c r="W712" t="s">
        <v>43</v>
      </c>
      <c r="X712" t="s">
        <v>41</v>
      </c>
      <c r="Y712">
        <v>0</v>
      </c>
      <c r="Z712">
        <v>10</v>
      </c>
      <c r="AA712">
        <v>2</v>
      </c>
      <c r="AB712" t="s">
        <v>54</v>
      </c>
      <c r="AC712">
        <v>10</v>
      </c>
      <c r="AD712" t="str" cm="1">
        <f t="array" ref="AD712">_xlfn.IFS(AC712&lt;=5,"0-5",AC712&lt;=10,"5-10",AC712&lt;=40,"10-40")</f>
        <v>5-10</v>
      </c>
      <c r="AE712">
        <v>8</v>
      </c>
      <c r="AF712">
        <v>6</v>
      </c>
      <c r="AG712">
        <v>0</v>
      </c>
      <c r="AH712">
        <v>711</v>
      </c>
    </row>
    <row r="713" spans="1:34" x14ac:dyDescent="0.3">
      <c r="A713">
        <v>29</v>
      </c>
      <c r="B713" t="str" cm="1">
        <f t="array" ref="B713">_xlfn.IFS(A713&lt;=25,"18-25",A713&lt;=35,"26-35",A713&lt;=45,"36-45",A713&lt;=55,"46-55",A713&gt;55,"55+")</f>
        <v>26-35</v>
      </c>
      <c r="C713">
        <v>1</v>
      </c>
      <c r="D713" t="s">
        <v>32</v>
      </c>
      <c r="E713">
        <v>906</v>
      </c>
      <c r="F713" t="s">
        <v>48</v>
      </c>
      <c r="G713">
        <v>10</v>
      </c>
      <c r="H713" t="s">
        <v>61</v>
      </c>
      <c r="I713" t="s">
        <v>35</v>
      </c>
      <c r="J713" t="s">
        <v>41</v>
      </c>
      <c r="K713" t="s">
        <v>37</v>
      </c>
      <c r="L713">
        <v>92</v>
      </c>
      <c r="M713" t="s">
        <v>36</v>
      </c>
      <c r="N713" t="s">
        <v>56</v>
      </c>
      <c r="O713" t="s">
        <v>51</v>
      </c>
      <c r="P713" t="s">
        <v>44</v>
      </c>
      <c r="Q713" t="s">
        <v>42</v>
      </c>
      <c r="R713">
        <v>2404</v>
      </c>
      <c r="S713">
        <v>11479</v>
      </c>
      <c r="T713">
        <v>6</v>
      </c>
      <c r="U713" t="s">
        <v>31</v>
      </c>
      <c r="V713">
        <v>20</v>
      </c>
      <c r="W713" t="s">
        <v>53</v>
      </c>
      <c r="X713" t="s">
        <v>38</v>
      </c>
      <c r="Y713">
        <v>0</v>
      </c>
      <c r="Z713">
        <v>3</v>
      </c>
      <c r="AA713">
        <v>5</v>
      </c>
      <c r="AB713" t="s">
        <v>54</v>
      </c>
      <c r="AC713">
        <v>0</v>
      </c>
      <c r="AD713" t="str" cm="1">
        <f t="array" ref="AD713">_xlfn.IFS(AC713&lt;=5,"0-5",AC713&lt;=10,"5-10",AC713&lt;=40,"10-40")</f>
        <v>0-5</v>
      </c>
      <c r="AE713">
        <v>0</v>
      </c>
      <c r="AF713">
        <v>0</v>
      </c>
      <c r="AG713">
        <v>0</v>
      </c>
      <c r="AH713">
        <v>712</v>
      </c>
    </row>
    <row r="714" spans="1:34" x14ac:dyDescent="0.3">
      <c r="A714">
        <v>33</v>
      </c>
      <c r="B714" t="str" cm="1">
        <f t="array" ref="B714">_xlfn.IFS(A714&lt;=25,"18-25",A714&lt;=35,"26-35",A714&lt;=45,"36-45",A714&lt;=55,"46-55",A714&gt;55,"55+")</f>
        <v>26-35</v>
      </c>
      <c r="C714">
        <v>0</v>
      </c>
      <c r="D714" t="s">
        <v>32</v>
      </c>
      <c r="E714">
        <v>461</v>
      </c>
      <c r="F714" t="s">
        <v>48</v>
      </c>
      <c r="G714">
        <v>13</v>
      </c>
      <c r="H714" t="s">
        <v>49</v>
      </c>
      <c r="I714" t="s">
        <v>35</v>
      </c>
      <c r="J714" t="s">
        <v>36</v>
      </c>
      <c r="K714" t="s">
        <v>37</v>
      </c>
      <c r="L714">
        <v>53</v>
      </c>
      <c r="M714" t="s">
        <v>38</v>
      </c>
      <c r="N714" t="s">
        <v>56</v>
      </c>
      <c r="O714" t="s">
        <v>51</v>
      </c>
      <c r="P714" t="s">
        <v>41</v>
      </c>
      <c r="Q714" t="s">
        <v>42</v>
      </c>
      <c r="R714">
        <v>3452</v>
      </c>
      <c r="S714">
        <v>17241</v>
      </c>
      <c r="T714">
        <v>3</v>
      </c>
      <c r="U714" t="s">
        <v>46</v>
      </c>
      <c r="V714">
        <v>18</v>
      </c>
      <c r="W714" t="s">
        <v>43</v>
      </c>
      <c r="X714" t="s">
        <v>44</v>
      </c>
      <c r="Y714">
        <v>0</v>
      </c>
      <c r="Z714">
        <v>5</v>
      </c>
      <c r="AA714">
        <v>4</v>
      </c>
      <c r="AB714" t="s">
        <v>54</v>
      </c>
      <c r="AC714">
        <v>3</v>
      </c>
      <c r="AD714" t="str" cm="1">
        <f t="array" ref="AD714">_xlfn.IFS(AC714&lt;=5,"0-5",AC714&lt;=10,"5-10",AC714&lt;=40,"10-40")</f>
        <v>0-5</v>
      </c>
      <c r="AE714">
        <v>2</v>
      </c>
      <c r="AF714">
        <v>0</v>
      </c>
      <c r="AG714">
        <v>2</v>
      </c>
      <c r="AH714">
        <v>713</v>
      </c>
    </row>
    <row r="715" spans="1:34" x14ac:dyDescent="0.3">
      <c r="A715">
        <v>45</v>
      </c>
      <c r="B715" t="str" cm="1">
        <f t="array" ref="B715">_xlfn.IFS(A715&lt;=25,"18-25",A715&lt;=35,"26-35",A715&lt;=45,"36-45",A715&lt;=55,"46-55",A715&gt;55,"55+")</f>
        <v>36-45</v>
      </c>
      <c r="C715">
        <v>0</v>
      </c>
      <c r="D715" t="s">
        <v>32</v>
      </c>
      <c r="E715">
        <v>974</v>
      </c>
      <c r="F715" t="s">
        <v>48</v>
      </c>
      <c r="G715">
        <v>1</v>
      </c>
      <c r="H715" t="s">
        <v>58</v>
      </c>
      <c r="I715" t="s">
        <v>59</v>
      </c>
      <c r="J715" t="s">
        <v>41</v>
      </c>
      <c r="K715" t="s">
        <v>37</v>
      </c>
      <c r="L715">
        <v>91</v>
      </c>
      <c r="M715" t="s">
        <v>38</v>
      </c>
      <c r="N715" t="s">
        <v>56</v>
      </c>
      <c r="O715" t="s">
        <v>57</v>
      </c>
      <c r="P715" t="s">
        <v>41</v>
      </c>
      <c r="Q715" t="s">
        <v>62</v>
      </c>
      <c r="R715">
        <v>2270</v>
      </c>
      <c r="S715">
        <v>11005</v>
      </c>
      <c r="T715">
        <v>3</v>
      </c>
      <c r="U715" t="s">
        <v>46</v>
      </c>
      <c r="V715">
        <v>14</v>
      </c>
      <c r="W715" t="s">
        <v>43</v>
      </c>
      <c r="X715" t="s">
        <v>41</v>
      </c>
      <c r="Y715">
        <v>2</v>
      </c>
      <c r="Z715">
        <v>8</v>
      </c>
      <c r="AA715">
        <v>2</v>
      </c>
      <c r="AB715" t="s">
        <v>54</v>
      </c>
      <c r="AC715">
        <v>5</v>
      </c>
      <c r="AD715" t="str" cm="1">
        <f t="array" ref="AD715">_xlfn.IFS(AC715&lt;=5,"0-5",AC715&lt;=10,"5-10",AC715&lt;=40,"10-40")</f>
        <v>0-5</v>
      </c>
      <c r="AE715">
        <v>3</v>
      </c>
      <c r="AF715">
        <v>0</v>
      </c>
      <c r="AG715">
        <v>2</v>
      </c>
      <c r="AH715">
        <v>714</v>
      </c>
    </row>
    <row r="716" spans="1:34" x14ac:dyDescent="0.3">
      <c r="A716">
        <v>50</v>
      </c>
      <c r="B716" t="str" cm="1">
        <f t="array" ref="B716">_xlfn.IFS(A716&lt;=25,"18-25",A716&lt;=35,"26-35",A716&lt;=45,"36-45",A716&lt;=55,"46-55",A716&gt;55,"55+")</f>
        <v>46-55</v>
      </c>
      <c r="C716">
        <v>0</v>
      </c>
      <c r="D716" t="s">
        <v>32</v>
      </c>
      <c r="E716">
        <v>1126</v>
      </c>
      <c r="F716" t="s">
        <v>48</v>
      </c>
      <c r="G716">
        <v>1</v>
      </c>
      <c r="H716" t="s">
        <v>34</v>
      </c>
      <c r="I716" t="s">
        <v>59</v>
      </c>
      <c r="J716" t="s">
        <v>41</v>
      </c>
      <c r="K716" t="s">
        <v>50</v>
      </c>
      <c r="L716">
        <v>66</v>
      </c>
      <c r="M716" t="s">
        <v>38</v>
      </c>
      <c r="N716" t="s">
        <v>67</v>
      </c>
      <c r="O716" t="s">
        <v>70</v>
      </c>
      <c r="P716" t="s">
        <v>41</v>
      </c>
      <c r="Q716" t="s">
        <v>62</v>
      </c>
      <c r="R716">
        <v>17399</v>
      </c>
      <c r="S716">
        <v>6615</v>
      </c>
      <c r="T716">
        <v>9</v>
      </c>
      <c r="U716" t="s">
        <v>46</v>
      </c>
      <c r="V716">
        <v>22</v>
      </c>
      <c r="W716" t="s">
        <v>53</v>
      </c>
      <c r="X716" t="s">
        <v>38</v>
      </c>
      <c r="Y716">
        <v>1</v>
      </c>
      <c r="Z716">
        <v>32</v>
      </c>
      <c r="AA716">
        <v>1</v>
      </c>
      <c r="AB716" t="s">
        <v>60</v>
      </c>
      <c r="AC716">
        <v>5</v>
      </c>
      <c r="AD716" t="str" cm="1">
        <f t="array" ref="AD716">_xlfn.IFS(AC716&lt;=5,"0-5",AC716&lt;=10,"5-10",AC716&lt;=40,"10-40")</f>
        <v>0-5</v>
      </c>
      <c r="AE716">
        <v>4</v>
      </c>
      <c r="AF716">
        <v>1</v>
      </c>
      <c r="AG716">
        <v>3</v>
      </c>
      <c r="AH716">
        <v>715</v>
      </c>
    </row>
    <row r="717" spans="1:34" x14ac:dyDescent="0.3">
      <c r="A717">
        <v>33</v>
      </c>
      <c r="B717" t="str" cm="1">
        <f t="array" ref="B717">_xlfn.IFS(A717&lt;=25,"18-25",A717&lt;=35,"26-35",A717&lt;=45,"36-45",A717&lt;=55,"46-55",A717&gt;55,"55+")</f>
        <v>26-35</v>
      </c>
      <c r="C717">
        <v>0</v>
      </c>
      <c r="D717" t="s">
        <v>47</v>
      </c>
      <c r="E717">
        <v>827</v>
      </c>
      <c r="F717" t="s">
        <v>48</v>
      </c>
      <c r="G717">
        <v>1</v>
      </c>
      <c r="H717" t="s">
        <v>58</v>
      </c>
      <c r="I717" t="s">
        <v>55</v>
      </c>
      <c r="J717" t="s">
        <v>38</v>
      </c>
      <c r="K717" t="s">
        <v>37</v>
      </c>
      <c r="L717">
        <v>84</v>
      </c>
      <c r="M717" t="s">
        <v>41</v>
      </c>
      <c r="N717" t="s">
        <v>39</v>
      </c>
      <c r="O717" t="s">
        <v>65</v>
      </c>
      <c r="P717" t="s">
        <v>36</v>
      </c>
      <c r="Q717" t="s">
        <v>52</v>
      </c>
      <c r="R717">
        <v>5488</v>
      </c>
      <c r="S717">
        <v>20161</v>
      </c>
      <c r="T717">
        <v>1</v>
      </c>
      <c r="U717" t="s">
        <v>31</v>
      </c>
      <c r="V717">
        <v>13</v>
      </c>
      <c r="W717" t="s">
        <v>43</v>
      </c>
      <c r="X717" t="s">
        <v>44</v>
      </c>
      <c r="Y717">
        <v>1</v>
      </c>
      <c r="Z717">
        <v>6</v>
      </c>
      <c r="AA717">
        <v>2</v>
      </c>
      <c r="AB717" t="s">
        <v>54</v>
      </c>
      <c r="AC717">
        <v>6</v>
      </c>
      <c r="AD717" t="str" cm="1">
        <f t="array" ref="AD717">_xlfn.IFS(AC717&lt;=5,"0-5",AC717&lt;=10,"5-10",AC717&lt;=40,"10-40")</f>
        <v>5-10</v>
      </c>
      <c r="AE717">
        <v>5</v>
      </c>
      <c r="AF717">
        <v>1</v>
      </c>
      <c r="AG717">
        <v>2</v>
      </c>
      <c r="AH717">
        <v>716</v>
      </c>
    </row>
    <row r="718" spans="1:34" x14ac:dyDescent="0.3">
      <c r="A718">
        <v>41</v>
      </c>
      <c r="B718" t="str" cm="1">
        <f t="array" ref="B718">_xlfn.IFS(A718&lt;=25,"18-25",A718&lt;=35,"26-35",A718&lt;=45,"36-45",A718&lt;=55,"46-55",A718&gt;55,"55+")</f>
        <v>36-45</v>
      </c>
      <c r="C718">
        <v>0</v>
      </c>
      <c r="D718" t="s">
        <v>47</v>
      </c>
      <c r="E718">
        <v>840</v>
      </c>
      <c r="F718" t="s">
        <v>48</v>
      </c>
      <c r="G718">
        <v>9</v>
      </c>
      <c r="H718" t="s">
        <v>61</v>
      </c>
      <c r="I718" t="s">
        <v>59</v>
      </c>
      <c r="J718" t="s">
        <v>44</v>
      </c>
      <c r="K718" t="s">
        <v>50</v>
      </c>
      <c r="L718">
        <v>64</v>
      </c>
      <c r="M718" t="s">
        <v>38</v>
      </c>
      <c r="N718" t="s">
        <v>71</v>
      </c>
      <c r="O718" t="s">
        <v>70</v>
      </c>
      <c r="P718" t="s">
        <v>38</v>
      </c>
      <c r="Q718" t="s">
        <v>62</v>
      </c>
      <c r="R718">
        <v>19419</v>
      </c>
      <c r="S718">
        <v>3735</v>
      </c>
      <c r="T718">
        <v>2</v>
      </c>
      <c r="U718" t="s">
        <v>46</v>
      </c>
      <c r="V718">
        <v>17</v>
      </c>
      <c r="W718" t="s">
        <v>43</v>
      </c>
      <c r="X718" t="s">
        <v>36</v>
      </c>
      <c r="Y718">
        <v>1</v>
      </c>
      <c r="Z718">
        <v>21</v>
      </c>
      <c r="AA718">
        <v>2</v>
      </c>
      <c r="AB718" t="s">
        <v>73</v>
      </c>
      <c r="AC718">
        <v>18</v>
      </c>
      <c r="AD718" t="str" cm="1">
        <f t="array" ref="AD718">_xlfn.IFS(AC718&lt;=5,"0-5",AC718&lt;=10,"5-10",AC718&lt;=40,"10-40")</f>
        <v>10-40</v>
      </c>
      <c r="AE718">
        <v>16</v>
      </c>
      <c r="AF718">
        <v>0</v>
      </c>
      <c r="AG718">
        <v>11</v>
      </c>
      <c r="AH718">
        <v>717</v>
      </c>
    </row>
    <row r="719" spans="1:34" x14ac:dyDescent="0.3">
      <c r="A719">
        <v>27</v>
      </c>
      <c r="B719" t="str" cm="1">
        <f t="array" ref="B719">_xlfn.IFS(A719&lt;=25,"18-25",A719&lt;=35,"26-35",A719&lt;=45,"36-45",A719&lt;=55,"46-55",A719&gt;55,"55+")</f>
        <v>26-35</v>
      </c>
      <c r="C719">
        <v>0</v>
      </c>
      <c r="D719" t="s">
        <v>32</v>
      </c>
      <c r="E719">
        <v>1134</v>
      </c>
      <c r="F719" t="s">
        <v>48</v>
      </c>
      <c r="G719">
        <v>16</v>
      </c>
      <c r="H719" t="s">
        <v>58</v>
      </c>
      <c r="I719" t="s">
        <v>74</v>
      </c>
      <c r="J719" t="s">
        <v>38</v>
      </c>
      <c r="K719" t="s">
        <v>37</v>
      </c>
      <c r="L719">
        <v>37</v>
      </c>
      <c r="M719" t="s">
        <v>38</v>
      </c>
      <c r="N719" t="s">
        <v>56</v>
      </c>
      <c r="O719" t="s">
        <v>57</v>
      </c>
      <c r="P719" t="s">
        <v>36</v>
      </c>
      <c r="Q719" t="s">
        <v>52</v>
      </c>
      <c r="R719">
        <v>2811</v>
      </c>
      <c r="S719">
        <v>12086</v>
      </c>
      <c r="T719">
        <v>9</v>
      </c>
      <c r="U719" t="s">
        <v>46</v>
      </c>
      <c r="V719">
        <v>14</v>
      </c>
      <c r="W719" t="s">
        <v>43</v>
      </c>
      <c r="X719" t="s">
        <v>36</v>
      </c>
      <c r="Y719">
        <v>1</v>
      </c>
      <c r="Z719">
        <v>4</v>
      </c>
      <c r="AA719">
        <v>2</v>
      </c>
      <c r="AB719" t="s">
        <v>54</v>
      </c>
      <c r="AC719">
        <v>2</v>
      </c>
      <c r="AD719" t="str" cm="1">
        <f t="array" ref="AD719">_xlfn.IFS(AC719&lt;=5,"0-5",AC719&lt;=10,"5-10",AC719&lt;=40,"10-40")</f>
        <v>0-5</v>
      </c>
      <c r="AE719">
        <v>2</v>
      </c>
      <c r="AF719">
        <v>2</v>
      </c>
      <c r="AG719">
        <v>2</v>
      </c>
      <c r="AH719">
        <v>718</v>
      </c>
    </row>
    <row r="720" spans="1:34" x14ac:dyDescent="0.3">
      <c r="A720">
        <v>45</v>
      </c>
      <c r="B720" t="str" cm="1">
        <f t="array" ref="B720">_xlfn.IFS(A720&lt;=25,"18-25",A720&lt;=35,"26-35",A720&lt;=45,"36-45",A720&lt;=55,"46-55",A720&gt;55,"55+")</f>
        <v>36-45</v>
      </c>
      <c r="C720">
        <v>0</v>
      </c>
      <c r="D720" t="s">
        <v>66</v>
      </c>
      <c r="E720">
        <v>248</v>
      </c>
      <c r="F720" t="s">
        <v>48</v>
      </c>
      <c r="G720">
        <v>23</v>
      </c>
      <c r="H720" t="s">
        <v>34</v>
      </c>
      <c r="I720" t="s">
        <v>35</v>
      </c>
      <c r="J720" t="s">
        <v>41</v>
      </c>
      <c r="K720" t="s">
        <v>50</v>
      </c>
      <c r="L720">
        <v>42</v>
      </c>
      <c r="M720" t="s">
        <v>38</v>
      </c>
      <c r="N720" t="s">
        <v>39</v>
      </c>
      <c r="O720" t="s">
        <v>57</v>
      </c>
      <c r="P720" t="s">
        <v>44</v>
      </c>
      <c r="Q720" t="s">
        <v>52</v>
      </c>
      <c r="R720">
        <v>3633</v>
      </c>
      <c r="S720">
        <v>14039</v>
      </c>
      <c r="T720">
        <v>1</v>
      </c>
      <c r="U720" t="s">
        <v>31</v>
      </c>
      <c r="V720">
        <v>15</v>
      </c>
      <c r="W720" t="s">
        <v>43</v>
      </c>
      <c r="X720" t="s">
        <v>38</v>
      </c>
      <c r="Y720">
        <v>1</v>
      </c>
      <c r="Z720">
        <v>9</v>
      </c>
      <c r="AA720">
        <v>2</v>
      </c>
      <c r="AB720" t="s">
        <v>54</v>
      </c>
      <c r="AC720">
        <v>9</v>
      </c>
      <c r="AD720" t="str" cm="1">
        <f t="array" ref="AD720">_xlfn.IFS(AC720&lt;=5,"0-5",AC720&lt;=10,"5-10",AC720&lt;=40,"10-40")</f>
        <v>5-10</v>
      </c>
      <c r="AE720">
        <v>8</v>
      </c>
      <c r="AF720">
        <v>0</v>
      </c>
      <c r="AG720">
        <v>8</v>
      </c>
      <c r="AH720">
        <v>719</v>
      </c>
    </row>
    <row r="721" spans="1:34" x14ac:dyDescent="0.3">
      <c r="A721">
        <v>47</v>
      </c>
      <c r="B721" t="str" cm="1">
        <f t="array" ref="B721">_xlfn.IFS(A721&lt;=25,"18-25",A721&lt;=35,"26-35",A721&lt;=45,"36-45",A721&lt;=55,"46-55",A721&gt;55,"55+")</f>
        <v>46-55</v>
      </c>
      <c r="C721">
        <v>0</v>
      </c>
      <c r="D721" t="s">
        <v>32</v>
      </c>
      <c r="E721">
        <v>955</v>
      </c>
      <c r="F721" t="s">
        <v>33</v>
      </c>
      <c r="G721">
        <v>4</v>
      </c>
      <c r="H721" t="s">
        <v>34</v>
      </c>
      <c r="I721" t="s">
        <v>35</v>
      </c>
      <c r="J721" t="s">
        <v>41</v>
      </c>
      <c r="K721" t="s">
        <v>37</v>
      </c>
      <c r="L721">
        <v>83</v>
      </c>
      <c r="M721" t="s">
        <v>38</v>
      </c>
      <c r="N721" t="s">
        <v>39</v>
      </c>
      <c r="O721" t="s">
        <v>40</v>
      </c>
      <c r="P721" t="s">
        <v>41</v>
      </c>
      <c r="Q721" t="s">
        <v>42</v>
      </c>
      <c r="R721">
        <v>4163</v>
      </c>
      <c r="S721">
        <v>8571</v>
      </c>
      <c r="T721">
        <v>1</v>
      </c>
      <c r="U721" t="s">
        <v>31</v>
      </c>
      <c r="V721">
        <v>17</v>
      </c>
      <c r="W721" t="s">
        <v>43</v>
      </c>
      <c r="X721" t="s">
        <v>38</v>
      </c>
      <c r="Y721">
        <v>0</v>
      </c>
      <c r="Z721">
        <v>9</v>
      </c>
      <c r="AA721">
        <v>0</v>
      </c>
      <c r="AB721" t="s">
        <v>54</v>
      </c>
      <c r="AC721">
        <v>9</v>
      </c>
      <c r="AD721" t="str" cm="1">
        <f t="array" ref="AD721">_xlfn.IFS(AC721&lt;=5,"0-5",AC721&lt;=10,"5-10",AC721&lt;=40,"10-40")</f>
        <v>5-10</v>
      </c>
      <c r="AE721">
        <v>0</v>
      </c>
      <c r="AF721">
        <v>0</v>
      </c>
      <c r="AG721">
        <v>7</v>
      </c>
      <c r="AH721">
        <v>720</v>
      </c>
    </row>
    <row r="722" spans="1:34" x14ac:dyDescent="0.3">
      <c r="A722">
        <v>30</v>
      </c>
      <c r="B722" t="str" cm="1">
        <f t="array" ref="B722">_xlfn.IFS(A722&lt;=25,"18-25",A722&lt;=35,"26-35",A722&lt;=45,"36-45",A722&lt;=55,"46-55",A722&gt;55,"55+")</f>
        <v>26-35</v>
      </c>
      <c r="C722">
        <v>1</v>
      </c>
      <c r="D722" t="s">
        <v>32</v>
      </c>
      <c r="E722">
        <v>138</v>
      </c>
      <c r="F722" t="s">
        <v>48</v>
      </c>
      <c r="G722">
        <v>22</v>
      </c>
      <c r="H722" t="s">
        <v>61</v>
      </c>
      <c r="I722" t="s">
        <v>35</v>
      </c>
      <c r="J722" t="s">
        <v>44</v>
      </c>
      <c r="K722" t="s">
        <v>37</v>
      </c>
      <c r="L722">
        <v>48</v>
      </c>
      <c r="M722" t="s">
        <v>38</v>
      </c>
      <c r="N722" t="s">
        <v>56</v>
      </c>
      <c r="O722" t="s">
        <v>51</v>
      </c>
      <c r="P722" t="s">
        <v>38</v>
      </c>
      <c r="Q722" t="s">
        <v>52</v>
      </c>
      <c r="R722">
        <v>2132</v>
      </c>
      <c r="S722">
        <v>11539</v>
      </c>
      <c r="T722">
        <v>4</v>
      </c>
      <c r="U722" t="s">
        <v>31</v>
      </c>
      <c r="V722">
        <v>11</v>
      </c>
      <c r="W722" t="s">
        <v>43</v>
      </c>
      <c r="X722" t="s">
        <v>36</v>
      </c>
      <c r="Y722">
        <v>0</v>
      </c>
      <c r="Z722">
        <v>7</v>
      </c>
      <c r="AA722">
        <v>2</v>
      </c>
      <c r="AB722" t="s">
        <v>54</v>
      </c>
      <c r="AC722">
        <v>5</v>
      </c>
      <c r="AD722" t="str" cm="1">
        <f t="array" ref="AD722">_xlfn.IFS(AC722&lt;=5,"0-5",AC722&lt;=10,"5-10",AC722&lt;=40,"10-40")</f>
        <v>0-5</v>
      </c>
      <c r="AE722">
        <v>2</v>
      </c>
      <c r="AF722">
        <v>0</v>
      </c>
      <c r="AG722">
        <v>1</v>
      </c>
      <c r="AH722">
        <v>721</v>
      </c>
    </row>
    <row r="723" spans="1:34" x14ac:dyDescent="0.3">
      <c r="A723">
        <v>50</v>
      </c>
      <c r="B723" t="str" cm="1">
        <f t="array" ref="B723">_xlfn.IFS(A723&lt;=25,"18-25",A723&lt;=35,"26-35",A723&lt;=45,"36-45",A723&lt;=55,"46-55",A723&gt;55,"55+")</f>
        <v>46-55</v>
      </c>
      <c r="C723">
        <v>0</v>
      </c>
      <c r="D723" t="s">
        <v>32</v>
      </c>
      <c r="E723">
        <v>939</v>
      </c>
      <c r="F723" t="s">
        <v>48</v>
      </c>
      <c r="G723">
        <v>24</v>
      </c>
      <c r="H723" t="s">
        <v>61</v>
      </c>
      <c r="I723" t="s">
        <v>35</v>
      </c>
      <c r="J723" t="s">
        <v>41</v>
      </c>
      <c r="K723" t="s">
        <v>50</v>
      </c>
      <c r="L723">
        <v>95</v>
      </c>
      <c r="M723" t="s">
        <v>38</v>
      </c>
      <c r="N723" t="s">
        <v>67</v>
      </c>
      <c r="O723" t="s">
        <v>64</v>
      </c>
      <c r="P723" t="s">
        <v>38</v>
      </c>
      <c r="Q723" t="s">
        <v>52</v>
      </c>
      <c r="R723">
        <v>13973</v>
      </c>
      <c r="S723">
        <v>4161</v>
      </c>
      <c r="T723">
        <v>3</v>
      </c>
      <c r="U723" t="s">
        <v>31</v>
      </c>
      <c r="V723">
        <v>18</v>
      </c>
      <c r="W723" t="s">
        <v>43</v>
      </c>
      <c r="X723" t="s">
        <v>41</v>
      </c>
      <c r="Y723">
        <v>1</v>
      </c>
      <c r="Z723">
        <v>22</v>
      </c>
      <c r="AA723">
        <v>2</v>
      </c>
      <c r="AB723" t="s">
        <v>54</v>
      </c>
      <c r="AC723">
        <v>12</v>
      </c>
      <c r="AD723" t="str" cm="1">
        <f t="array" ref="AD723">_xlfn.IFS(AC723&lt;=5,"0-5",AC723&lt;=10,"5-10",AC723&lt;=40,"10-40")</f>
        <v>10-40</v>
      </c>
      <c r="AE723">
        <v>11</v>
      </c>
      <c r="AF723">
        <v>1</v>
      </c>
      <c r="AG723">
        <v>5</v>
      </c>
      <c r="AH723">
        <v>722</v>
      </c>
    </row>
    <row r="724" spans="1:34" x14ac:dyDescent="0.3">
      <c r="A724">
        <v>38</v>
      </c>
      <c r="B724" t="str" cm="1">
        <f t="array" ref="B724">_xlfn.IFS(A724&lt;=25,"18-25",A724&lt;=35,"26-35",A724&lt;=45,"36-45",A724&lt;=55,"46-55",A724&gt;55,"55+")</f>
        <v>36-45</v>
      </c>
      <c r="C724">
        <v>0</v>
      </c>
      <c r="D724" t="s">
        <v>47</v>
      </c>
      <c r="E724">
        <v>1391</v>
      </c>
      <c r="F724" t="s">
        <v>48</v>
      </c>
      <c r="G724">
        <v>10</v>
      </c>
      <c r="H724" t="s">
        <v>49</v>
      </c>
      <c r="I724" t="s">
        <v>59</v>
      </c>
      <c r="J724" t="s">
        <v>38</v>
      </c>
      <c r="K724" t="s">
        <v>50</v>
      </c>
      <c r="L724">
        <v>66</v>
      </c>
      <c r="M724" t="s">
        <v>38</v>
      </c>
      <c r="N724" t="s">
        <v>56</v>
      </c>
      <c r="O724" t="s">
        <v>51</v>
      </c>
      <c r="P724" t="s">
        <v>38</v>
      </c>
      <c r="Q724" t="s">
        <v>52</v>
      </c>
      <c r="R724">
        <v>2684</v>
      </c>
      <c r="S724">
        <v>12127</v>
      </c>
      <c r="T724">
        <v>0</v>
      </c>
      <c r="U724" t="s">
        <v>46</v>
      </c>
      <c r="V724">
        <v>17</v>
      </c>
      <c r="W724" t="s">
        <v>43</v>
      </c>
      <c r="X724" t="s">
        <v>36</v>
      </c>
      <c r="Y724">
        <v>1</v>
      </c>
      <c r="Z724">
        <v>3</v>
      </c>
      <c r="AA724">
        <v>0</v>
      </c>
      <c r="AB724" t="s">
        <v>60</v>
      </c>
      <c r="AC724">
        <v>2</v>
      </c>
      <c r="AD724" t="str" cm="1">
        <f t="array" ref="AD724">_xlfn.IFS(AC724&lt;=5,"0-5",AC724&lt;=10,"5-10",AC724&lt;=40,"10-40")</f>
        <v>0-5</v>
      </c>
      <c r="AE724">
        <v>1</v>
      </c>
      <c r="AF724">
        <v>0</v>
      </c>
      <c r="AG724">
        <v>2</v>
      </c>
      <c r="AH724">
        <v>723</v>
      </c>
    </row>
    <row r="725" spans="1:34" x14ac:dyDescent="0.3">
      <c r="A725">
        <v>46</v>
      </c>
      <c r="B725" t="str" cm="1">
        <f t="array" ref="B725">_xlfn.IFS(A725&lt;=25,"18-25",A725&lt;=35,"26-35",A725&lt;=45,"36-45",A725&lt;=55,"46-55",A725&gt;55,"55+")</f>
        <v>46-55</v>
      </c>
      <c r="C725">
        <v>0</v>
      </c>
      <c r="D725" t="s">
        <v>32</v>
      </c>
      <c r="E725">
        <v>566</v>
      </c>
      <c r="F725" t="s">
        <v>48</v>
      </c>
      <c r="G725">
        <v>7</v>
      </c>
      <c r="H725" t="s">
        <v>34</v>
      </c>
      <c r="I725" t="s">
        <v>59</v>
      </c>
      <c r="J725" t="s">
        <v>41</v>
      </c>
      <c r="K725" t="s">
        <v>50</v>
      </c>
      <c r="L725">
        <v>75</v>
      </c>
      <c r="M725" t="s">
        <v>38</v>
      </c>
      <c r="N725" t="s">
        <v>63</v>
      </c>
      <c r="O725" t="s">
        <v>64</v>
      </c>
      <c r="P725" t="s">
        <v>38</v>
      </c>
      <c r="Q725" t="s">
        <v>62</v>
      </c>
      <c r="R725">
        <v>10845</v>
      </c>
      <c r="S725">
        <v>24208</v>
      </c>
      <c r="T725">
        <v>6</v>
      </c>
      <c r="U725" t="s">
        <v>46</v>
      </c>
      <c r="V725">
        <v>13</v>
      </c>
      <c r="W725" t="s">
        <v>43</v>
      </c>
      <c r="X725" t="s">
        <v>36</v>
      </c>
      <c r="Y725">
        <v>1</v>
      </c>
      <c r="Z725">
        <v>13</v>
      </c>
      <c r="AA725">
        <v>3</v>
      </c>
      <c r="AB725" t="s">
        <v>54</v>
      </c>
      <c r="AC725">
        <v>8</v>
      </c>
      <c r="AD725" t="str" cm="1">
        <f t="array" ref="AD725">_xlfn.IFS(AC725&lt;=5,"0-5",AC725&lt;=10,"5-10",AC725&lt;=40,"10-40")</f>
        <v>5-10</v>
      </c>
      <c r="AE725">
        <v>7</v>
      </c>
      <c r="AF725">
        <v>0</v>
      </c>
      <c r="AG725">
        <v>7</v>
      </c>
      <c r="AH725">
        <v>724</v>
      </c>
    </row>
    <row r="726" spans="1:34" x14ac:dyDescent="0.3">
      <c r="A726">
        <v>24</v>
      </c>
      <c r="B726" t="str" cm="1">
        <f t="array" ref="B726">_xlfn.IFS(A726&lt;=25,"18-25",A726&lt;=35,"26-35",A726&lt;=45,"36-45",A726&lt;=55,"46-55",A726&gt;55,"55+")</f>
        <v>18-25</v>
      </c>
      <c r="C726">
        <v>0</v>
      </c>
      <c r="D726" t="s">
        <v>32</v>
      </c>
      <c r="E726">
        <v>1206</v>
      </c>
      <c r="F726" t="s">
        <v>48</v>
      </c>
      <c r="G726">
        <v>17</v>
      </c>
      <c r="H726" t="s">
        <v>49</v>
      </c>
      <c r="I726" t="s">
        <v>59</v>
      </c>
      <c r="J726" t="s">
        <v>41</v>
      </c>
      <c r="K726" t="s">
        <v>37</v>
      </c>
      <c r="L726">
        <v>41</v>
      </c>
      <c r="M726" t="s">
        <v>36</v>
      </c>
      <c r="N726" t="s">
        <v>39</v>
      </c>
      <c r="O726" t="s">
        <v>64</v>
      </c>
      <c r="P726" t="s">
        <v>38</v>
      </c>
      <c r="Q726" t="s">
        <v>62</v>
      </c>
      <c r="R726">
        <v>4377</v>
      </c>
      <c r="S726">
        <v>24117</v>
      </c>
      <c r="T726">
        <v>1</v>
      </c>
      <c r="U726" t="s">
        <v>46</v>
      </c>
      <c r="V726">
        <v>15</v>
      </c>
      <c r="W726" t="s">
        <v>43</v>
      </c>
      <c r="X726" t="s">
        <v>36</v>
      </c>
      <c r="Y726">
        <v>2</v>
      </c>
      <c r="Z726">
        <v>5</v>
      </c>
      <c r="AA726">
        <v>6</v>
      </c>
      <c r="AB726" t="s">
        <v>54</v>
      </c>
      <c r="AC726">
        <v>4</v>
      </c>
      <c r="AD726" t="str" cm="1">
        <f t="array" ref="AD726">_xlfn.IFS(AC726&lt;=5,"0-5",AC726&lt;=10,"5-10",AC726&lt;=40,"10-40")</f>
        <v>0-5</v>
      </c>
      <c r="AE726">
        <v>2</v>
      </c>
      <c r="AF726">
        <v>3</v>
      </c>
      <c r="AG726">
        <v>2</v>
      </c>
      <c r="AH726">
        <v>725</v>
      </c>
    </row>
    <row r="727" spans="1:34" x14ac:dyDescent="0.3">
      <c r="A727">
        <v>35</v>
      </c>
      <c r="B727" t="str" cm="1">
        <f t="array" ref="B727">_xlfn.IFS(A727&lt;=25,"18-25",A727&lt;=35,"26-35",A727&lt;=45,"36-45",A727&lt;=55,"46-55",A727&gt;55,"55+")</f>
        <v>26-35</v>
      </c>
      <c r="C727">
        <v>1</v>
      </c>
      <c r="D727" t="s">
        <v>32</v>
      </c>
      <c r="E727">
        <v>622</v>
      </c>
      <c r="F727" t="s">
        <v>48</v>
      </c>
      <c r="G727">
        <v>14</v>
      </c>
      <c r="H727" t="s">
        <v>58</v>
      </c>
      <c r="I727" t="s">
        <v>55</v>
      </c>
      <c r="J727" t="s">
        <v>38</v>
      </c>
      <c r="K727" t="s">
        <v>50</v>
      </c>
      <c r="L727">
        <v>39</v>
      </c>
      <c r="M727" t="s">
        <v>36</v>
      </c>
      <c r="N727" t="s">
        <v>56</v>
      </c>
      <c r="O727" t="s">
        <v>57</v>
      </c>
      <c r="P727" t="s">
        <v>36</v>
      </c>
      <c r="Q727" t="s">
        <v>62</v>
      </c>
      <c r="R727">
        <v>3743</v>
      </c>
      <c r="S727">
        <v>10074</v>
      </c>
      <c r="T727">
        <v>1</v>
      </c>
      <c r="U727" t="s">
        <v>31</v>
      </c>
      <c r="V727">
        <v>24</v>
      </c>
      <c r="W727" t="s">
        <v>53</v>
      </c>
      <c r="X727" t="s">
        <v>41</v>
      </c>
      <c r="Y727">
        <v>1</v>
      </c>
      <c r="Z727">
        <v>5</v>
      </c>
      <c r="AA727">
        <v>2</v>
      </c>
      <c r="AB727" t="s">
        <v>45</v>
      </c>
      <c r="AC727">
        <v>4</v>
      </c>
      <c r="AD727" t="str" cm="1">
        <f t="array" ref="AD727">_xlfn.IFS(AC727&lt;=5,"0-5",AC727&lt;=10,"5-10",AC727&lt;=40,"10-40")</f>
        <v>0-5</v>
      </c>
      <c r="AE727">
        <v>2</v>
      </c>
      <c r="AF727">
        <v>0</v>
      </c>
      <c r="AG727">
        <v>2</v>
      </c>
      <c r="AH727">
        <v>726</v>
      </c>
    </row>
    <row r="728" spans="1:34" x14ac:dyDescent="0.3">
      <c r="A728">
        <v>31</v>
      </c>
      <c r="B728" t="str" cm="1">
        <f t="array" ref="B728">_xlfn.IFS(A728&lt;=25,"18-25",A728&lt;=35,"26-35",A728&lt;=45,"36-45",A728&lt;=55,"46-55",A728&gt;55,"55+")</f>
        <v>26-35</v>
      </c>
      <c r="C728">
        <v>0</v>
      </c>
      <c r="D728" t="s">
        <v>47</v>
      </c>
      <c r="E728">
        <v>853</v>
      </c>
      <c r="F728" t="s">
        <v>48</v>
      </c>
      <c r="G728">
        <v>1</v>
      </c>
      <c r="H728" t="s">
        <v>49</v>
      </c>
      <c r="I728" t="s">
        <v>35</v>
      </c>
      <c r="J728" t="s">
        <v>38</v>
      </c>
      <c r="K728" t="s">
        <v>37</v>
      </c>
      <c r="L728">
        <v>96</v>
      </c>
      <c r="M728" t="s">
        <v>38</v>
      </c>
      <c r="N728" t="s">
        <v>39</v>
      </c>
      <c r="O728" t="s">
        <v>64</v>
      </c>
      <c r="P728" t="s">
        <v>44</v>
      </c>
      <c r="Q728" t="s">
        <v>52</v>
      </c>
      <c r="R728">
        <v>4148</v>
      </c>
      <c r="S728">
        <v>11275</v>
      </c>
      <c r="T728">
        <v>1</v>
      </c>
      <c r="U728" t="s">
        <v>46</v>
      </c>
      <c r="V728">
        <v>12</v>
      </c>
      <c r="W728" t="s">
        <v>43</v>
      </c>
      <c r="X728" t="s">
        <v>38</v>
      </c>
      <c r="Y728">
        <v>1</v>
      </c>
      <c r="Z728">
        <v>4</v>
      </c>
      <c r="AA728">
        <v>1</v>
      </c>
      <c r="AB728" t="s">
        <v>54</v>
      </c>
      <c r="AC728">
        <v>4</v>
      </c>
      <c r="AD728" t="str" cm="1">
        <f t="array" ref="AD728">_xlfn.IFS(AC728&lt;=5,"0-5",AC728&lt;=10,"5-10",AC728&lt;=40,"10-40")</f>
        <v>0-5</v>
      </c>
      <c r="AE728">
        <v>3</v>
      </c>
      <c r="AF728">
        <v>0</v>
      </c>
      <c r="AG728">
        <v>3</v>
      </c>
      <c r="AH728">
        <v>727</v>
      </c>
    </row>
    <row r="729" spans="1:34" x14ac:dyDescent="0.3">
      <c r="A729">
        <v>18</v>
      </c>
      <c r="B729" t="str" cm="1">
        <f t="array" ref="B729">_xlfn.IFS(A729&lt;=25,"18-25",A729&lt;=35,"26-35",A729&lt;=45,"36-45",A729&lt;=55,"46-55",A729&gt;55,"55+")</f>
        <v>18-25</v>
      </c>
      <c r="C729">
        <v>0</v>
      </c>
      <c r="D729" t="s">
        <v>66</v>
      </c>
      <c r="E729">
        <v>287</v>
      </c>
      <c r="F729" t="s">
        <v>48</v>
      </c>
      <c r="G729">
        <v>5</v>
      </c>
      <c r="H729" t="s">
        <v>34</v>
      </c>
      <c r="I729" t="s">
        <v>35</v>
      </c>
      <c r="J729" t="s">
        <v>36</v>
      </c>
      <c r="K729" t="s">
        <v>50</v>
      </c>
      <c r="L729">
        <v>73</v>
      </c>
      <c r="M729" t="s">
        <v>38</v>
      </c>
      <c r="N729" t="s">
        <v>56</v>
      </c>
      <c r="O729" t="s">
        <v>51</v>
      </c>
      <c r="P729" t="s">
        <v>41</v>
      </c>
      <c r="Q729" t="s">
        <v>42</v>
      </c>
      <c r="R729">
        <v>1051</v>
      </c>
      <c r="S729">
        <v>13493</v>
      </c>
      <c r="T729">
        <v>1</v>
      </c>
      <c r="U729" t="s">
        <v>46</v>
      </c>
      <c r="V729">
        <v>15</v>
      </c>
      <c r="W729" t="s">
        <v>43</v>
      </c>
      <c r="X729" t="s">
        <v>41</v>
      </c>
      <c r="Y729">
        <v>0</v>
      </c>
      <c r="Z729">
        <v>0</v>
      </c>
      <c r="AA729">
        <v>2</v>
      </c>
      <c r="AB729" t="s">
        <v>54</v>
      </c>
      <c r="AC729">
        <v>0</v>
      </c>
      <c r="AD729" t="str" cm="1">
        <f t="array" ref="AD729">_xlfn.IFS(AC729&lt;=5,"0-5",AC729&lt;=10,"5-10",AC729&lt;=40,"10-40")</f>
        <v>0-5</v>
      </c>
      <c r="AE729">
        <v>0</v>
      </c>
      <c r="AF729">
        <v>0</v>
      </c>
      <c r="AG729">
        <v>0</v>
      </c>
      <c r="AH729">
        <v>728</v>
      </c>
    </row>
    <row r="730" spans="1:34" x14ac:dyDescent="0.3">
      <c r="A730">
        <v>54</v>
      </c>
      <c r="B730" t="str" cm="1">
        <f t="array" ref="B730">_xlfn.IFS(A730&lt;=25,"18-25",A730&lt;=35,"26-35",A730&lt;=45,"36-45",A730&lt;=55,"46-55",A730&gt;55,"55+")</f>
        <v>46-55</v>
      </c>
      <c r="C730">
        <v>0</v>
      </c>
      <c r="D730" t="s">
        <v>32</v>
      </c>
      <c r="E730">
        <v>1441</v>
      </c>
      <c r="F730" t="s">
        <v>48</v>
      </c>
      <c r="G730">
        <v>17</v>
      </c>
      <c r="H730" t="s">
        <v>61</v>
      </c>
      <c r="I730" t="s">
        <v>74</v>
      </c>
      <c r="J730" t="s">
        <v>38</v>
      </c>
      <c r="K730" t="s">
        <v>37</v>
      </c>
      <c r="L730">
        <v>56</v>
      </c>
      <c r="M730" t="s">
        <v>38</v>
      </c>
      <c r="N730" t="s">
        <v>63</v>
      </c>
      <c r="O730" t="s">
        <v>64</v>
      </c>
      <c r="P730" t="s">
        <v>38</v>
      </c>
      <c r="Q730" t="s">
        <v>52</v>
      </c>
      <c r="R730">
        <v>10739</v>
      </c>
      <c r="S730">
        <v>13943</v>
      </c>
      <c r="T730">
        <v>8</v>
      </c>
      <c r="U730" t="s">
        <v>46</v>
      </c>
      <c r="V730">
        <v>11</v>
      </c>
      <c r="W730" t="s">
        <v>43</v>
      </c>
      <c r="X730" t="s">
        <v>38</v>
      </c>
      <c r="Y730">
        <v>1</v>
      </c>
      <c r="Z730">
        <v>22</v>
      </c>
      <c r="AA730">
        <v>2</v>
      </c>
      <c r="AB730" t="s">
        <v>54</v>
      </c>
      <c r="AC730">
        <v>10</v>
      </c>
      <c r="AD730" t="str" cm="1">
        <f t="array" ref="AD730">_xlfn.IFS(AC730&lt;=5,"0-5",AC730&lt;=10,"5-10",AC730&lt;=40,"10-40")</f>
        <v>5-10</v>
      </c>
      <c r="AE730">
        <v>7</v>
      </c>
      <c r="AF730">
        <v>0</v>
      </c>
      <c r="AG730">
        <v>8</v>
      </c>
      <c r="AH730">
        <v>729</v>
      </c>
    </row>
    <row r="731" spans="1:34" x14ac:dyDescent="0.3">
      <c r="A731">
        <v>35</v>
      </c>
      <c r="B731" t="str" cm="1">
        <f t="array" ref="B731">_xlfn.IFS(A731&lt;=25,"18-25",A731&lt;=35,"26-35",A731&lt;=45,"36-45",A731&lt;=55,"46-55",A731&gt;55,"55+")</f>
        <v>26-35</v>
      </c>
      <c r="C731">
        <v>0</v>
      </c>
      <c r="D731" t="s">
        <v>32</v>
      </c>
      <c r="E731">
        <v>583</v>
      </c>
      <c r="F731" t="s">
        <v>48</v>
      </c>
      <c r="G731">
        <v>25</v>
      </c>
      <c r="H731" t="s">
        <v>58</v>
      </c>
      <c r="I731" t="s">
        <v>59</v>
      </c>
      <c r="J731" t="s">
        <v>38</v>
      </c>
      <c r="K731" t="s">
        <v>37</v>
      </c>
      <c r="L731">
        <v>57</v>
      </c>
      <c r="M731" t="s">
        <v>38</v>
      </c>
      <c r="N731" t="s">
        <v>63</v>
      </c>
      <c r="O731" t="s">
        <v>65</v>
      </c>
      <c r="P731" t="s">
        <v>38</v>
      </c>
      <c r="Q731" t="s">
        <v>62</v>
      </c>
      <c r="R731">
        <v>10388</v>
      </c>
      <c r="S731">
        <v>6975</v>
      </c>
      <c r="T731">
        <v>1</v>
      </c>
      <c r="U731" t="s">
        <v>31</v>
      </c>
      <c r="V731">
        <v>11</v>
      </c>
      <c r="W731" t="s">
        <v>43</v>
      </c>
      <c r="X731" t="s">
        <v>38</v>
      </c>
      <c r="Y731">
        <v>1</v>
      </c>
      <c r="Z731">
        <v>16</v>
      </c>
      <c r="AA731">
        <v>3</v>
      </c>
      <c r="AB731" t="s">
        <v>60</v>
      </c>
      <c r="AC731">
        <v>16</v>
      </c>
      <c r="AD731" t="str" cm="1">
        <f t="array" ref="AD731">_xlfn.IFS(AC731&lt;=5,"0-5",AC731&lt;=10,"5-10",AC731&lt;=40,"10-40")</f>
        <v>10-40</v>
      </c>
      <c r="AE731">
        <v>10</v>
      </c>
      <c r="AF731">
        <v>10</v>
      </c>
      <c r="AG731">
        <v>1</v>
      </c>
      <c r="AH731">
        <v>730</v>
      </c>
    </row>
    <row r="732" spans="1:34" x14ac:dyDescent="0.3">
      <c r="A732">
        <v>30</v>
      </c>
      <c r="B732" t="str" cm="1">
        <f t="array" ref="B732">_xlfn.IFS(A732&lt;=25,"18-25",A732&lt;=35,"26-35",A732&lt;=45,"36-45",A732&lt;=55,"46-55",A732&gt;55,"55+")</f>
        <v>26-35</v>
      </c>
      <c r="C732">
        <v>0</v>
      </c>
      <c r="D732" t="s">
        <v>32</v>
      </c>
      <c r="E732">
        <v>153</v>
      </c>
      <c r="F732" t="s">
        <v>48</v>
      </c>
      <c r="G732">
        <v>8</v>
      </c>
      <c r="H732" t="s">
        <v>34</v>
      </c>
      <c r="I732" t="s">
        <v>35</v>
      </c>
      <c r="J732" t="s">
        <v>36</v>
      </c>
      <c r="K732" t="s">
        <v>37</v>
      </c>
      <c r="L732">
        <v>73</v>
      </c>
      <c r="M732" t="s">
        <v>41</v>
      </c>
      <c r="N732" t="s">
        <v>63</v>
      </c>
      <c r="O732" t="s">
        <v>70</v>
      </c>
      <c r="P732" t="s">
        <v>44</v>
      </c>
      <c r="Q732" t="s">
        <v>52</v>
      </c>
      <c r="R732">
        <v>11416</v>
      </c>
      <c r="S732">
        <v>17802</v>
      </c>
      <c r="T732">
        <v>0</v>
      </c>
      <c r="U732" t="s">
        <v>31</v>
      </c>
      <c r="V732">
        <v>12</v>
      </c>
      <c r="W732" t="s">
        <v>43</v>
      </c>
      <c r="X732" t="s">
        <v>38</v>
      </c>
      <c r="Y732">
        <v>3</v>
      </c>
      <c r="Z732">
        <v>9</v>
      </c>
      <c r="AA732">
        <v>4</v>
      </c>
      <c r="AB732" t="s">
        <v>60</v>
      </c>
      <c r="AC732">
        <v>8</v>
      </c>
      <c r="AD732" t="str" cm="1">
        <f t="array" ref="AD732">_xlfn.IFS(AC732&lt;=5,"0-5",AC732&lt;=10,"5-10",AC732&lt;=40,"10-40")</f>
        <v>5-10</v>
      </c>
      <c r="AE732">
        <v>7</v>
      </c>
      <c r="AF732">
        <v>1</v>
      </c>
      <c r="AG732">
        <v>7</v>
      </c>
      <c r="AH732">
        <v>731</v>
      </c>
    </row>
    <row r="733" spans="1:34" x14ac:dyDescent="0.3">
      <c r="A733">
        <v>20</v>
      </c>
      <c r="B733" t="str" cm="1">
        <f t="array" ref="B733">_xlfn.IFS(A733&lt;=25,"18-25",A733&lt;=35,"26-35",A733&lt;=45,"36-45",A733&lt;=55,"46-55",A733&gt;55,"55+")</f>
        <v>18-25</v>
      </c>
      <c r="C733">
        <v>1</v>
      </c>
      <c r="D733" t="s">
        <v>32</v>
      </c>
      <c r="E733">
        <v>1097</v>
      </c>
      <c r="F733" t="s">
        <v>48</v>
      </c>
      <c r="G733">
        <v>11</v>
      </c>
      <c r="H733" t="s">
        <v>61</v>
      </c>
      <c r="I733" t="s">
        <v>59</v>
      </c>
      <c r="J733" t="s">
        <v>41</v>
      </c>
      <c r="K733" t="s">
        <v>37</v>
      </c>
      <c r="L733">
        <v>98</v>
      </c>
      <c r="M733" t="s">
        <v>36</v>
      </c>
      <c r="N733" t="s">
        <v>56</v>
      </c>
      <c r="O733" t="s">
        <v>51</v>
      </c>
      <c r="P733" t="s">
        <v>44</v>
      </c>
      <c r="Q733" t="s">
        <v>42</v>
      </c>
      <c r="R733">
        <v>2600</v>
      </c>
      <c r="S733">
        <v>18275</v>
      </c>
      <c r="T733">
        <v>1</v>
      </c>
      <c r="U733" t="s">
        <v>31</v>
      </c>
      <c r="V733">
        <v>15</v>
      </c>
      <c r="W733" t="s">
        <v>43</v>
      </c>
      <c r="X733" t="s">
        <v>44</v>
      </c>
      <c r="Y733">
        <v>0</v>
      </c>
      <c r="Z733">
        <v>1</v>
      </c>
      <c r="AA733">
        <v>2</v>
      </c>
      <c r="AB733" t="s">
        <v>54</v>
      </c>
      <c r="AC733">
        <v>1</v>
      </c>
      <c r="AD733" t="str" cm="1">
        <f t="array" ref="AD733">_xlfn.IFS(AC733&lt;=5,"0-5",AC733&lt;=10,"5-10",AC733&lt;=40,"10-40")</f>
        <v>0-5</v>
      </c>
      <c r="AE733">
        <v>0</v>
      </c>
      <c r="AF733">
        <v>0</v>
      </c>
      <c r="AG733">
        <v>0</v>
      </c>
      <c r="AH733">
        <v>732</v>
      </c>
    </row>
    <row r="734" spans="1:34" x14ac:dyDescent="0.3">
      <c r="A734">
        <v>30</v>
      </c>
      <c r="B734" t="str" cm="1">
        <f t="array" ref="B734">_xlfn.IFS(A734&lt;=25,"18-25",A734&lt;=35,"26-35",A734&lt;=45,"36-45",A734&lt;=55,"46-55",A734&gt;55,"55+")</f>
        <v>26-35</v>
      </c>
      <c r="C734">
        <v>1</v>
      </c>
      <c r="D734" t="s">
        <v>47</v>
      </c>
      <c r="E734">
        <v>109</v>
      </c>
      <c r="F734" t="s">
        <v>48</v>
      </c>
      <c r="G734">
        <v>5</v>
      </c>
      <c r="H734" t="s">
        <v>61</v>
      </c>
      <c r="I734" t="s">
        <v>59</v>
      </c>
      <c r="J734" t="s">
        <v>36</v>
      </c>
      <c r="K734" t="s">
        <v>37</v>
      </c>
      <c r="L734">
        <v>60</v>
      </c>
      <c r="M734" t="s">
        <v>38</v>
      </c>
      <c r="N734" t="s">
        <v>56</v>
      </c>
      <c r="O734" t="s">
        <v>57</v>
      </c>
      <c r="P734" t="s">
        <v>36</v>
      </c>
      <c r="Q734" t="s">
        <v>42</v>
      </c>
      <c r="R734">
        <v>2422</v>
      </c>
      <c r="S734">
        <v>25725</v>
      </c>
      <c r="T734">
        <v>0</v>
      </c>
      <c r="U734" t="s">
        <v>46</v>
      </c>
      <c r="V734">
        <v>17</v>
      </c>
      <c r="W734" t="s">
        <v>43</v>
      </c>
      <c r="X734" t="s">
        <v>44</v>
      </c>
      <c r="Y734">
        <v>0</v>
      </c>
      <c r="Z734">
        <v>4</v>
      </c>
      <c r="AA734">
        <v>3</v>
      </c>
      <c r="AB734" t="s">
        <v>54</v>
      </c>
      <c r="AC734">
        <v>3</v>
      </c>
      <c r="AD734" t="str" cm="1">
        <f t="array" ref="AD734">_xlfn.IFS(AC734&lt;=5,"0-5",AC734&lt;=10,"5-10",AC734&lt;=40,"10-40")</f>
        <v>0-5</v>
      </c>
      <c r="AE734">
        <v>2</v>
      </c>
      <c r="AF734">
        <v>1</v>
      </c>
      <c r="AG734">
        <v>2</v>
      </c>
      <c r="AH734">
        <v>733</v>
      </c>
    </row>
    <row r="735" spans="1:34" x14ac:dyDescent="0.3">
      <c r="A735">
        <v>26</v>
      </c>
      <c r="B735" t="str" cm="1">
        <f t="array" ref="B735">_xlfn.IFS(A735&lt;=25,"18-25",A735&lt;=35,"26-35",A735&lt;=45,"36-45",A735&lt;=55,"46-55",A735&gt;55,"55+")</f>
        <v>26-35</v>
      </c>
      <c r="C735">
        <v>0</v>
      </c>
      <c r="D735" t="s">
        <v>32</v>
      </c>
      <c r="E735">
        <v>1066</v>
      </c>
      <c r="F735" t="s">
        <v>48</v>
      </c>
      <c r="G735">
        <v>2</v>
      </c>
      <c r="H735" t="s">
        <v>34</v>
      </c>
      <c r="I735" t="s">
        <v>59</v>
      </c>
      <c r="J735" t="s">
        <v>41</v>
      </c>
      <c r="K735" t="s">
        <v>50</v>
      </c>
      <c r="L735">
        <v>32</v>
      </c>
      <c r="M735" t="s">
        <v>41</v>
      </c>
      <c r="N735" t="s">
        <v>39</v>
      </c>
      <c r="O735" t="s">
        <v>64</v>
      </c>
      <c r="P735" t="s">
        <v>41</v>
      </c>
      <c r="Q735" t="s">
        <v>52</v>
      </c>
      <c r="R735">
        <v>5472</v>
      </c>
      <c r="S735">
        <v>3334</v>
      </c>
      <c r="T735">
        <v>1</v>
      </c>
      <c r="U735" t="s">
        <v>46</v>
      </c>
      <c r="V735">
        <v>12</v>
      </c>
      <c r="W735" t="s">
        <v>43</v>
      </c>
      <c r="X735" t="s">
        <v>36</v>
      </c>
      <c r="Y735">
        <v>0</v>
      </c>
      <c r="Z735">
        <v>8</v>
      </c>
      <c r="AA735">
        <v>2</v>
      </c>
      <c r="AB735" t="s">
        <v>54</v>
      </c>
      <c r="AC735">
        <v>8</v>
      </c>
      <c r="AD735" t="str" cm="1">
        <f t="array" ref="AD735">_xlfn.IFS(AC735&lt;=5,"0-5",AC735&lt;=10,"5-10",AC735&lt;=40,"10-40")</f>
        <v>5-10</v>
      </c>
      <c r="AE735">
        <v>7</v>
      </c>
      <c r="AF735">
        <v>1</v>
      </c>
      <c r="AG735">
        <v>3</v>
      </c>
      <c r="AH735">
        <v>734</v>
      </c>
    </row>
    <row r="736" spans="1:34" x14ac:dyDescent="0.3">
      <c r="A736">
        <v>22</v>
      </c>
      <c r="B736" t="str" cm="1">
        <f t="array" ref="B736">_xlfn.IFS(A736&lt;=25,"18-25",A736&lt;=35,"26-35",A736&lt;=45,"36-45",A736&lt;=55,"46-55",A736&gt;55,"55+")</f>
        <v>18-25</v>
      </c>
      <c r="C736">
        <v>0</v>
      </c>
      <c r="D736" t="s">
        <v>32</v>
      </c>
      <c r="E736">
        <v>217</v>
      </c>
      <c r="F736" t="s">
        <v>48</v>
      </c>
      <c r="G736">
        <v>8</v>
      </c>
      <c r="H736" t="s">
        <v>49</v>
      </c>
      <c r="I736" t="s">
        <v>35</v>
      </c>
      <c r="J736" t="s">
        <v>36</v>
      </c>
      <c r="K736" t="s">
        <v>50</v>
      </c>
      <c r="L736">
        <v>94</v>
      </c>
      <c r="M736" t="s">
        <v>44</v>
      </c>
      <c r="N736" t="s">
        <v>56</v>
      </c>
      <c r="O736" t="s">
        <v>57</v>
      </c>
      <c r="P736" t="s">
        <v>44</v>
      </c>
      <c r="Q736" t="s">
        <v>52</v>
      </c>
      <c r="R736">
        <v>2451</v>
      </c>
      <c r="S736">
        <v>6881</v>
      </c>
      <c r="T736">
        <v>1</v>
      </c>
      <c r="U736" t="s">
        <v>46</v>
      </c>
      <c r="V736">
        <v>15</v>
      </c>
      <c r="W736" t="s">
        <v>43</v>
      </c>
      <c r="X736" t="s">
        <v>44</v>
      </c>
      <c r="Y736">
        <v>1</v>
      </c>
      <c r="Z736">
        <v>4</v>
      </c>
      <c r="AA736">
        <v>3</v>
      </c>
      <c r="AB736" t="s">
        <v>60</v>
      </c>
      <c r="AC736">
        <v>4</v>
      </c>
      <c r="AD736" t="str" cm="1">
        <f t="array" ref="AD736">_xlfn.IFS(AC736&lt;=5,"0-5",AC736&lt;=10,"5-10",AC736&lt;=40,"10-40")</f>
        <v>0-5</v>
      </c>
      <c r="AE736">
        <v>3</v>
      </c>
      <c r="AF736">
        <v>1</v>
      </c>
      <c r="AG736">
        <v>1</v>
      </c>
      <c r="AH736">
        <v>735</v>
      </c>
    </row>
    <row r="737" spans="1:34" x14ac:dyDescent="0.3">
      <c r="A737">
        <v>48</v>
      </c>
      <c r="B737" t="str" cm="1">
        <f t="array" ref="B737">_xlfn.IFS(A737&lt;=25,"18-25",A737&lt;=35,"26-35",A737&lt;=45,"36-45",A737&lt;=55,"46-55",A737&gt;55,"55+")</f>
        <v>46-55</v>
      </c>
      <c r="C737">
        <v>0</v>
      </c>
      <c r="D737" t="s">
        <v>32</v>
      </c>
      <c r="E737">
        <v>277</v>
      </c>
      <c r="F737" t="s">
        <v>48</v>
      </c>
      <c r="G737">
        <v>6</v>
      </c>
      <c r="H737" t="s">
        <v>61</v>
      </c>
      <c r="I737" t="s">
        <v>35</v>
      </c>
      <c r="J737" t="s">
        <v>44</v>
      </c>
      <c r="K737" t="s">
        <v>50</v>
      </c>
      <c r="L737">
        <v>97</v>
      </c>
      <c r="M737" t="s">
        <v>36</v>
      </c>
      <c r="N737" t="s">
        <v>39</v>
      </c>
      <c r="O737" t="s">
        <v>65</v>
      </c>
      <c r="P737" t="s">
        <v>38</v>
      </c>
      <c r="Q737" t="s">
        <v>42</v>
      </c>
      <c r="R737">
        <v>4240</v>
      </c>
      <c r="S737">
        <v>13119</v>
      </c>
      <c r="T737">
        <v>2</v>
      </c>
      <c r="U737" t="s">
        <v>46</v>
      </c>
      <c r="V737">
        <v>13</v>
      </c>
      <c r="W737" t="s">
        <v>43</v>
      </c>
      <c r="X737" t="s">
        <v>41</v>
      </c>
      <c r="Y737">
        <v>0</v>
      </c>
      <c r="Z737">
        <v>19</v>
      </c>
      <c r="AA737">
        <v>0</v>
      </c>
      <c r="AB737" t="s">
        <v>54</v>
      </c>
      <c r="AC737">
        <v>2</v>
      </c>
      <c r="AD737" t="str" cm="1">
        <f t="array" ref="AD737">_xlfn.IFS(AC737&lt;=5,"0-5",AC737&lt;=10,"5-10",AC737&lt;=40,"10-40")</f>
        <v>0-5</v>
      </c>
      <c r="AE737">
        <v>2</v>
      </c>
      <c r="AF737">
        <v>2</v>
      </c>
      <c r="AG737">
        <v>2</v>
      </c>
      <c r="AH737">
        <v>736</v>
      </c>
    </row>
    <row r="738" spans="1:34" x14ac:dyDescent="0.3">
      <c r="A738">
        <v>48</v>
      </c>
      <c r="B738" t="str" cm="1">
        <f t="array" ref="B738">_xlfn.IFS(A738&lt;=25,"18-25",A738&lt;=35,"26-35",A738&lt;=45,"36-45",A738&lt;=55,"46-55",A738&gt;55,"55+")</f>
        <v>46-55</v>
      </c>
      <c r="C738">
        <v>0</v>
      </c>
      <c r="D738" t="s">
        <v>32</v>
      </c>
      <c r="E738">
        <v>1355</v>
      </c>
      <c r="F738" t="s">
        <v>48</v>
      </c>
      <c r="G738">
        <v>4</v>
      </c>
      <c r="H738" t="s">
        <v>58</v>
      </c>
      <c r="I738" t="s">
        <v>35</v>
      </c>
      <c r="J738" t="s">
        <v>38</v>
      </c>
      <c r="K738" t="s">
        <v>50</v>
      </c>
      <c r="L738">
        <v>78</v>
      </c>
      <c r="M738" t="s">
        <v>36</v>
      </c>
      <c r="N738" t="s">
        <v>63</v>
      </c>
      <c r="O738" t="s">
        <v>65</v>
      </c>
      <c r="P738" t="s">
        <v>38</v>
      </c>
      <c r="Q738" t="s">
        <v>42</v>
      </c>
      <c r="R738">
        <v>10999</v>
      </c>
      <c r="S738">
        <v>22245</v>
      </c>
      <c r="T738">
        <v>7</v>
      </c>
      <c r="U738" t="s">
        <v>46</v>
      </c>
      <c r="V738">
        <v>14</v>
      </c>
      <c r="W738" t="s">
        <v>43</v>
      </c>
      <c r="X738" t="s">
        <v>36</v>
      </c>
      <c r="Y738">
        <v>0</v>
      </c>
      <c r="Z738">
        <v>27</v>
      </c>
      <c r="AA738">
        <v>3</v>
      </c>
      <c r="AB738" t="s">
        <v>54</v>
      </c>
      <c r="AC738">
        <v>15</v>
      </c>
      <c r="AD738" t="str" cm="1">
        <f t="array" ref="AD738">_xlfn.IFS(AC738&lt;=5,"0-5",AC738&lt;=10,"5-10",AC738&lt;=40,"10-40")</f>
        <v>10-40</v>
      </c>
      <c r="AE738">
        <v>11</v>
      </c>
      <c r="AF738">
        <v>4</v>
      </c>
      <c r="AG738">
        <v>8</v>
      </c>
      <c r="AH738">
        <v>737</v>
      </c>
    </row>
    <row r="739" spans="1:34" x14ac:dyDescent="0.3">
      <c r="A739">
        <v>41</v>
      </c>
      <c r="B739" t="str" cm="1">
        <f t="array" ref="B739">_xlfn.IFS(A739&lt;=25,"18-25",A739&lt;=35,"26-35",A739&lt;=45,"36-45",A739&lt;=55,"46-55",A739&gt;55,"55+")</f>
        <v>36-45</v>
      </c>
      <c r="C739">
        <v>0</v>
      </c>
      <c r="D739" t="s">
        <v>32</v>
      </c>
      <c r="E739">
        <v>549</v>
      </c>
      <c r="F739" t="s">
        <v>48</v>
      </c>
      <c r="G739">
        <v>7</v>
      </c>
      <c r="H739" t="s">
        <v>34</v>
      </c>
      <c r="I739" t="s">
        <v>59</v>
      </c>
      <c r="J739" t="s">
        <v>41</v>
      </c>
      <c r="K739" t="s">
        <v>37</v>
      </c>
      <c r="L739">
        <v>42</v>
      </c>
      <c r="M739" t="s">
        <v>38</v>
      </c>
      <c r="N739" t="s">
        <v>39</v>
      </c>
      <c r="O739" t="s">
        <v>64</v>
      </c>
      <c r="P739" t="s">
        <v>38</v>
      </c>
      <c r="Q739" t="s">
        <v>42</v>
      </c>
      <c r="R739">
        <v>5003</v>
      </c>
      <c r="S739">
        <v>23371</v>
      </c>
      <c r="T739">
        <v>6</v>
      </c>
      <c r="U739" t="s">
        <v>46</v>
      </c>
      <c r="V739">
        <v>14</v>
      </c>
      <c r="W739" t="s">
        <v>43</v>
      </c>
      <c r="X739" t="s">
        <v>36</v>
      </c>
      <c r="Y739">
        <v>0</v>
      </c>
      <c r="Z739">
        <v>8</v>
      </c>
      <c r="AA739">
        <v>6</v>
      </c>
      <c r="AB739" t="s">
        <v>54</v>
      </c>
      <c r="AC739">
        <v>2</v>
      </c>
      <c r="AD739" t="str" cm="1">
        <f t="array" ref="AD739">_xlfn.IFS(AC739&lt;=5,"0-5",AC739&lt;=10,"5-10",AC739&lt;=40,"10-40")</f>
        <v>0-5</v>
      </c>
      <c r="AE739">
        <v>2</v>
      </c>
      <c r="AF739">
        <v>2</v>
      </c>
      <c r="AG739">
        <v>1</v>
      </c>
      <c r="AH739">
        <v>738</v>
      </c>
    </row>
    <row r="740" spans="1:34" x14ac:dyDescent="0.3">
      <c r="A740">
        <v>39</v>
      </c>
      <c r="B740" t="str" cm="1">
        <f t="array" ref="B740">_xlfn.IFS(A740&lt;=25,"18-25",A740&lt;=35,"26-35",A740&lt;=45,"36-45",A740&lt;=55,"46-55",A740&gt;55,"55+")</f>
        <v>36-45</v>
      </c>
      <c r="C740">
        <v>0</v>
      </c>
      <c r="D740" t="s">
        <v>32</v>
      </c>
      <c r="E740">
        <v>466</v>
      </c>
      <c r="F740" t="s">
        <v>48</v>
      </c>
      <c r="G740">
        <v>1</v>
      </c>
      <c r="H740" t="s">
        <v>49</v>
      </c>
      <c r="I740" t="s">
        <v>35</v>
      </c>
      <c r="J740" t="s">
        <v>41</v>
      </c>
      <c r="K740" t="s">
        <v>37</v>
      </c>
      <c r="L740">
        <v>65</v>
      </c>
      <c r="M740" t="s">
        <v>36</v>
      </c>
      <c r="N740" t="s">
        <v>67</v>
      </c>
      <c r="O740" t="s">
        <v>64</v>
      </c>
      <c r="P740" t="s">
        <v>41</v>
      </c>
      <c r="Q740" t="s">
        <v>52</v>
      </c>
      <c r="R740">
        <v>12742</v>
      </c>
      <c r="S740">
        <v>7060</v>
      </c>
      <c r="T740">
        <v>1</v>
      </c>
      <c r="U740" t="s">
        <v>46</v>
      </c>
      <c r="V740">
        <v>16</v>
      </c>
      <c r="W740" t="s">
        <v>43</v>
      </c>
      <c r="X740" t="s">
        <v>38</v>
      </c>
      <c r="Y740">
        <v>1</v>
      </c>
      <c r="Z740">
        <v>21</v>
      </c>
      <c r="AA740">
        <v>3</v>
      </c>
      <c r="AB740" t="s">
        <v>54</v>
      </c>
      <c r="AC740">
        <v>21</v>
      </c>
      <c r="AD740" t="str" cm="1">
        <f t="array" ref="AD740">_xlfn.IFS(AC740&lt;=5,"0-5",AC740&lt;=10,"5-10",AC740&lt;=40,"10-40")</f>
        <v>10-40</v>
      </c>
      <c r="AE740">
        <v>6</v>
      </c>
      <c r="AF740">
        <v>11</v>
      </c>
      <c r="AG740">
        <v>8</v>
      </c>
      <c r="AH740">
        <v>739</v>
      </c>
    </row>
    <row r="741" spans="1:34" x14ac:dyDescent="0.3">
      <c r="A741">
        <v>27</v>
      </c>
      <c r="B741" t="str" cm="1">
        <f t="array" ref="B741">_xlfn.IFS(A741&lt;=25,"18-25",A741&lt;=35,"26-35",A741&lt;=45,"36-45",A741&lt;=55,"46-55",A741&gt;55,"55+")</f>
        <v>26-35</v>
      </c>
      <c r="C741">
        <v>0</v>
      </c>
      <c r="D741" t="s">
        <v>32</v>
      </c>
      <c r="E741">
        <v>1055</v>
      </c>
      <c r="F741" t="s">
        <v>48</v>
      </c>
      <c r="G741">
        <v>2</v>
      </c>
      <c r="H741" t="s">
        <v>58</v>
      </c>
      <c r="I741" t="s">
        <v>35</v>
      </c>
      <c r="J741" t="s">
        <v>44</v>
      </c>
      <c r="K741" t="s">
        <v>37</v>
      </c>
      <c r="L741">
        <v>47</v>
      </c>
      <c r="M741" t="s">
        <v>38</v>
      </c>
      <c r="N741" t="s">
        <v>39</v>
      </c>
      <c r="O741" t="s">
        <v>64</v>
      </c>
      <c r="P741" t="s">
        <v>41</v>
      </c>
      <c r="Q741" t="s">
        <v>52</v>
      </c>
      <c r="R741">
        <v>4227</v>
      </c>
      <c r="S741">
        <v>4658</v>
      </c>
      <c r="T741">
        <v>0</v>
      </c>
      <c r="U741" t="s">
        <v>46</v>
      </c>
      <c r="V741">
        <v>18</v>
      </c>
      <c r="W741" t="s">
        <v>43</v>
      </c>
      <c r="X741" t="s">
        <v>36</v>
      </c>
      <c r="Y741">
        <v>1</v>
      </c>
      <c r="Z741">
        <v>4</v>
      </c>
      <c r="AA741">
        <v>2</v>
      </c>
      <c r="AB741" t="s">
        <v>54</v>
      </c>
      <c r="AC741">
        <v>3</v>
      </c>
      <c r="AD741" t="str" cm="1">
        <f t="array" ref="AD741">_xlfn.IFS(AC741&lt;=5,"0-5",AC741&lt;=10,"5-10",AC741&lt;=40,"10-40")</f>
        <v>0-5</v>
      </c>
      <c r="AE741">
        <v>2</v>
      </c>
      <c r="AF741">
        <v>2</v>
      </c>
      <c r="AG741">
        <v>2</v>
      </c>
      <c r="AH741">
        <v>740</v>
      </c>
    </row>
    <row r="742" spans="1:34" x14ac:dyDescent="0.3">
      <c r="A742">
        <v>35</v>
      </c>
      <c r="B742" t="str" cm="1">
        <f t="array" ref="B742">_xlfn.IFS(A742&lt;=25,"18-25",A742&lt;=35,"26-35",A742&lt;=45,"36-45",A742&lt;=55,"46-55",A742&gt;55,"55+")</f>
        <v>26-35</v>
      </c>
      <c r="C742">
        <v>0</v>
      </c>
      <c r="D742" t="s">
        <v>32</v>
      </c>
      <c r="E742">
        <v>802</v>
      </c>
      <c r="F742" t="s">
        <v>48</v>
      </c>
      <c r="G742">
        <v>10</v>
      </c>
      <c r="H742" t="s">
        <v>61</v>
      </c>
      <c r="I742" t="s">
        <v>55</v>
      </c>
      <c r="J742" t="s">
        <v>36</v>
      </c>
      <c r="K742" t="s">
        <v>50</v>
      </c>
      <c r="L742">
        <v>45</v>
      </c>
      <c r="M742" t="s">
        <v>38</v>
      </c>
      <c r="N742" t="s">
        <v>56</v>
      </c>
      <c r="O742" t="s">
        <v>57</v>
      </c>
      <c r="P742" t="s">
        <v>41</v>
      </c>
      <c r="Q742" t="s">
        <v>62</v>
      </c>
      <c r="R742">
        <v>3917</v>
      </c>
      <c r="S742">
        <v>9541</v>
      </c>
      <c r="T742">
        <v>1</v>
      </c>
      <c r="U742" t="s">
        <v>46</v>
      </c>
      <c r="V742">
        <v>20</v>
      </c>
      <c r="W742" t="s">
        <v>53</v>
      </c>
      <c r="X742" t="s">
        <v>44</v>
      </c>
      <c r="Y742">
        <v>1</v>
      </c>
      <c r="Z742">
        <v>3</v>
      </c>
      <c r="AA742">
        <v>4</v>
      </c>
      <c r="AB742" t="s">
        <v>60</v>
      </c>
      <c r="AC742">
        <v>3</v>
      </c>
      <c r="AD742" t="str" cm="1">
        <f t="array" ref="AD742">_xlfn.IFS(AC742&lt;=5,"0-5",AC742&lt;=10,"5-10",AC742&lt;=40,"10-40")</f>
        <v>0-5</v>
      </c>
      <c r="AE742">
        <v>2</v>
      </c>
      <c r="AF742">
        <v>1</v>
      </c>
      <c r="AG742">
        <v>2</v>
      </c>
      <c r="AH742">
        <v>741</v>
      </c>
    </row>
    <row r="743" spans="1:34" x14ac:dyDescent="0.3">
      <c r="A743">
        <v>42</v>
      </c>
      <c r="B743" t="str" cm="1">
        <f t="array" ref="B743">_xlfn.IFS(A743&lt;=25,"18-25",A743&lt;=35,"26-35",A743&lt;=45,"36-45",A743&lt;=55,"46-55",A743&gt;55,"55+")</f>
        <v>36-45</v>
      </c>
      <c r="C743">
        <v>0</v>
      </c>
      <c r="D743" t="s">
        <v>32</v>
      </c>
      <c r="E743">
        <v>265</v>
      </c>
      <c r="F743" t="s">
        <v>33</v>
      </c>
      <c r="G743">
        <v>5</v>
      </c>
      <c r="H743" t="s">
        <v>34</v>
      </c>
      <c r="I743" t="s">
        <v>72</v>
      </c>
      <c r="J743" t="s">
        <v>41</v>
      </c>
      <c r="K743" t="s">
        <v>50</v>
      </c>
      <c r="L743">
        <v>90</v>
      </c>
      <c r="M743" t="s">
        <v>38</v>
      </c>
      <c r="N743" t="s">
        <v>71</v>
      </c>
      <c r="O743" t="s">
        <v>68</v>
      </c>
      <c r="P743" t="s">
        <v>38</v>
      </c>
      <c r="Q743" t="s">
        <v>52</v>
      </c>
      <c r="R743">
        <v>18303</v>
      </c>
      <c r="S743">
        <v>7770</v>
      </c>
      <c r="T743">
        <v>6</v>
      </c>
      <c r="U743" t="s">
        <v>46</v>
      </c>
      <c r="V743">
        <v>13</v>
      </c>
      <c r="W743" t="s">
        <v>43</v>
      </c>
      <c r="X743" t="s">
        <v>36</v>
      </c>
      <c r="Y743">
        <v>0</v>
      </c>
      <c r="Z743">
        <v>21</v>
      </c>
      <c r="AA743">
        <v>3</v>
      </c>
      <c r="AB743" t="s">
        <v>73</v>
      </c>
      <c r="AC743">
        <v>1</v>
      </c>
      <c r="AD743" t="str" cm="1">
        <f t="array" ref="AD743">_xlfn.IFS(AC743&lt;=5,"0-5",AC743&lt;=10,"5-10",AC743&lt;=40,"10-40")</f>
        <v>0-5</v>
      </c>
      <c r="AE743">
        <v>0</v>
      </c>
      <c r="AF743">
        <v>0</v>
      </c>
      <c r="AG743">
        <v>0</v>
      </c>
      <c r="AH743">
        <v>742</v>
      </c>
    </row>
    <row r="744" spans="1:34" x14ac:dyDescent="0.3">
      <c r="A744">
        <v>50</v>
      </c>
      <c r="B744" t="str" cm="1">
        <f t="array" ref="B744">_xlfn.IFS(A744&lt;=25,"18-25",A744&lt;=35,"26-35",A744&lt;=45,"36-45",A744&lt;=55,"46-55",A744&gt;55,"55+")</f>
        <v>46-55</v>
      </c>
      <c r="C744">
        <v>0</v>
      </c>
      <c r="D744" t="s">
        <v>32</v>
      </c>
      <c r="E744">
        <v>804</v>
      </c>
      <c r="F744" t="s">
        <v>48</v>
      </c>
      <c r="G744">
        <v>9</v>
      </c>
      <c r="H744" t="s">
        <v>61</v>
      </c>
      <c r="I744" t="s">
        <v>35</v>
      </c>
      <c r="J744" t="s">
        <v>44</v>
      </c>
      <c r="K744" t="s">
        <v>50</v>
      </c>
      <c r="L744">
        <v>64</v>
      </c>
      <c r="M744" t="s">
        <v>38</v>
      </c>
      <c r="N744" t="s">
        <v>56</v>
      </c>
      <c r="O744" t="s">
        <v>57</v>
      </c>
      <c r="P744" t="s">
        <v>41</v>
      </c>
      <c r="Q744" t="s">
        <v>52</v>
      </c>
      <c r="R744">
        <v>2380</v>
      </c>
      <c r="S744">
        <v>20165</v>
      </c>
      <c r="T744">
        <v>4</v>
      </c>
      <c r="U744" t="s">
        <v>46</v>
      </c>
      <c r="V744">
        <v>18</v>
      </c>
      <c r="W744" t="s">
        <v>43</v>
      </c>
      <c r="X744" t="s">
        <v>36</v>
      </c>
      <c r="Y744">
        <v>0</v>
      </c>
      <c r="Z744">
        <v>8</v>
      </c>
      <c r="AA744">
        <v>5</v>
      </c>
      <c r="AB744" t="s">
        <v>54</v>
      </c>
      <c r="AC744">
        <v>1</v>
      </c>
      <c r="AD744" t="str" cm="1">
        <f t="array" ref="AD744">_xlfn.IFS(AC744&lt;=5,"0-5",AC744&lt;=10,"5-10",AC744&lt;=40,"10-40")</f>
        <v>0-5</v>
      </c>
      <c r="AE744">
        <v>0</v>
      </c>
      <c r="AF744">
        <v>0</v>
      </c>
      <c r="AG744">
        <v>0</v>
      </c>
      <c r="AH744">
        <v>743</v>
      </c>
    </row>
    <row r="745" spans="1:34" x14ac:dyDescent="0.3">
      <c r="A745">
        <v>59</v>
      </c>
      <c r="B745" t="str" cm="1">
        <f t="array" ref="B745">_xlfn.IFS(A745&lt;=25,"18-25",A745&lt;=35,"26-35",A745&lt;=45,"36-45",A745&lt;=55,"46-55",A745&gt;55,"55+")</f>
        <v>55+</v>
      </c>
      <c r="C745">
        <v>0</v>
      </c>
      <c r="D745" t="s">
        <v>32</v>
      </c>
      <c r="E745">
        <v>715</v>
      </c>
      <c r="F745" t="s">
        <v>48</v>
      </c>
      <c r="G745">
        <v>2</v>
      </c>
      <c r="H745" t="s">
        <v>61</v>
      </c>
      <c r="I745" t="s">
        <v>35</v>
      </c>
      <c r="J745" t="s">
        <v>38</v>
      </c>
      <c r="K745" t="s">
        <v>37</v>
      </c>
      <c r="L745">
        <v>69</v>
      </c>
      <c r="M745" t="s">
        <v>36</v>
      </c>
      <c r="N745" t="s">
        <v>67</v>
      </c>
      <c r="O745" t="s">
        <v>64</v>
      </c>
      <c r="P745" t="s">
        <v>41</v>
      </c>
      <c r="Q745" t="s">
        <v>42</v>
      </c>
      <c r="R745">
        <v>13726</v>
      </c>
      <c r="S745">
        <v>21829</v>
      </c>
      <c r="T745">
        <v>3</v>
      </c>
      <c r="U745" t="s">
        <v>31</v>
      </c>
      <c r="V745">
        <v>13</v>
      </c>
      <c r="W745" t="s">
        <v>43</v>
      </c>
      <c r="X745" t="s">
        <v>44</v>
      </c>
      <c r="Y745">
        <v>0</v>
      </c>
      <c r="Z745">
        <v>30</v>
      </c>
      <c r="AA745">
        <v>4</v>
      </c>
      <c r="AB745" t="s">
        <v>54</v>
      </c>
      <c r="AC745">
        <v>5</v>
      </c>
      <c r="AD745" t="str" cm="1">
        <f t="array" ref="AD745">_xlfn.IFS(AC745&lt;=5,"0-5",AC745&lt;=10,"5-10",AC745&lt;=40,"10-40")</f>
        <v>0-5</v>
      </c>
      <c r="AE745">
        <v>3</v>
      </c>
      <c r="AF745">
        <v>4</v>
      </c>
      <c r="AG745">
        <v>3</v>
      </c>
      <c r="AH745">
        <v>744</v>
      </c>
    </row>
    <row r="746" spans="1:34" x14ac:dyDescent="0.3">
      <c r="A746">
        <v>37</v>
      </c>
      <c r="B746" t="str" cm="1">
        <f t="array" ref="B746">_xlfn.IFS(A746&lt;=25,"18-25",A746&lt;=35,"26-35",A746&lt;=45,"36-45",A746&lt;=55,"46-55",A746&gt;55,"55+")</f>
        <v>36-45</v>
      </c>
      <c r="C746">
        <v>1</v>
      </c>
      <c r="D746" t="s">
        <v>32</v>
      </c>
      <c r="E746">
        <v>1141</v>
      </c>
      <c r="F746" t="s">
        <v>48</v>
      </c>
      <c r="G746">
        <v>11</v>
      </c>
      <c r="H746" t="s">
        <v>34</v>
      </c>
      <c r="I746" t="s">
        <v>59</v>
      </c>
      <c r="J746" t="s">
        <v>44</v>
      </c>
      <c r="K746" t="s">
        <v>37</v>
      </c>
      <c r="L746">
        <v>61</v>
      </c>
      <c r="M746" t="s">
        <v>44</v>
      </c>
      <c r="N746" t="s">
        <v>39</v>
      </c>
      <c r="O746" t="s">
        <v>65</v>
      </c>
      <c r="P746" t="s">
        <v>36</v>
      </c>
      <c r="Q746" t="s">
        <v>52</v>
      </c>
      <c r="R746">
        <v>4777</v>
      </c>
      <c r="S746">
        <v>14382</v>
      </c>
      <c r="T746">
        <v>5</v>
      </c>
      <c r="U746" t="s">
        <v>46</v>
      </c>
      <c r="V746">
        <v>15</v>
      </c>
      <c r="W746" t="s">
        <v>43</v>
      </c>
      <c r="X746" t="s">
        <v>44</v>
      </c>
      <c r="Y746">
        <v>0</v>
      </c>
      <c r="Z746">
        <v>15</v>
      </c>
      <c r="AA746">
        <v>2</v>
      </c>
      <c r="AB746" t="s">
        <v>45</v>
      </c>
      <c r="AC746">
        <v>1</v>
      </c>
      <c r="AD746" t="str" cm="1">
        <f t="array" ref="AD746">_xlfn.IFS(AC746&lt;=5,"0-5",AC746&lt;=10,"5-10",AC746&lt;=40,"10-40")</f>
        <v>0-5</v>
      </c>
      <c r="AE746">
        <v>0</v>
      </c>
      <c r="AF746">
        <v>0</v>
      </c>
      <c r="AG746">
        <v>0</v>
      </c>
      <c r="AH746">
        <v>745</v>
      </c>
    </row>
    <row r="747" spans="1:34" x14ac:dyDescent="0.3">
      <c r="A747">
        <v>55</v>
      </c>
      <c r="B747" t="str" cm="1">
        <f t="array" ref="B747">_xlfn.IFS(A747&lt;=25,"18-25",A747&lt;=35,"26-35",A747&lt;=45,"36-45",A747&lt;=55,"46-55",A747&gt;55,"55+")</f>
        <v>46-55</v>
      </c>
      <c r="C747">
        <v>0</v>
      </c>
      <c r="D747" t="s">
        <v>47</v>
      </c>
      <c r="E747">
        <v>135</v>
      </c>
      <c r="F747" t="s">
        <v>48</v>
      </c>
      <c r="G747">
        <v>18</v>
      </c>
      <c r="H747" t="s">
        <v>58</v>
      </c>
      <c r="I747" t="s">
        <v>59</v>
      </c>
      <c r="J747" t="s">
        <v>38</v>
      </c>
      <c r="K747" t="s">
        <v>50</v>
      </c>
      <c r="L747">
        <v>62</v>
      </c>
      <c r="M747" t="s">
        <v>38</v>
      </c>
      <c r="N747" t="s">
        <v>39</v>
      </c>
      <c r="O747" t="s">
        <v>65</v>
      </c>
      <c r="P747" t="s">
        <v>36</v>
      </c>
      <c r="Q747" t="s">
        <v>52</v>
      </c>
      <c r="R747">
        <v>6385</v>
      </c>
      <c r="S747">
        <v>12992</v>
      </c>
      <c r="T747">
        <v>3</v>
      </c>
      <c r="U747" t="s">
        <v>31</v>
      </c>
      <c r="V747">
        <v>14</v>
      </c>
      <c r="W747" t="s">
        <v>43</v>
      </c>
      <c r="X747" t="s">
        <v>41</v>
      </c>
      <c r="Y747">
        <v>2</v>
      </c>
      <c r="Z747">
        <v>17</v>
      </c>
      <c r="AA747">
        <v>3</v>
      </c>
      <c r="AB747" t="s">
        <v>54</v>
      </c>
      <c r="AC747">
        <v>8</v>
      </c>
      <c r="AD747" t="str" cm="1">
        <f t="array" ref="AD747">_xlfn.IFS(AC747&lt;=5,"0-5",AC747&lt;=10,"5-10",AC747&lt;=40,"10-40")</f>
        <v>5-10</v>
      </c>
      <c r="AE747">
        <v>7</v>
      </c>
      <c r="AF747">
        <v>6</v>
      </c>
      <c r="AG747">
        <v>7</v>
      </c>
      <c r="AH747">
        <v>746</v>
      </c>
    </row>
    <row r="748" spans="1:34" x14ac:dyDescent="0.3">
      <c r="A748">
        <v>41</v>
      </c>
      <c r="B748" t="str" cm="1">
        <f t="array" ref="B748">_xlfn.IFS(A748&lt;=25,"18-25",A748&lt;=35,"26-35",A748&lt;=45,"36-45",A748&lt;=55,"46-55",A748&gt;55,"55+")</f>
        <v>36-45</v>
      </c>
      <c r="C748">
        <v>0</v>
      </c>
      <c r="D748" t="s">
        <v>66</v>
      </c>
      <c r="E748">
        <v>247</v>
      </c>
      <c r="F748" t="s">
        <v>48</v>
      </c>
      <c r="G748">
        <v>7</v>
      </c>
      <c r="H748" t="s">
        <v>49</v>
      </c>
      <c r="I748" t="s">
        <v>35</v>
      </c>
      <c r="J748" t="s">
        <v>36</v>
      </c>
      <c r="K748" t="s">
        <v>37</v>
      </c>
      <c r="L748">
        <v>55</v>
      </c>
      <c r="M748" t="s">
        <v>44</v>
      </c>
      <c r="N748" t="s">
        <v>71</v>
      </c>
      <c r="O748" t="s">
        <v>70</v>
      </c>
      <c r="P748" t="s">
        <v>38</v>
      </c>
      <c r="Q748" t="s">
        <v>62</v>
      </c>
      <c r="R748">
        <v>19973</v>
      </c>
      <c r="S748">
        <v>20284</v>
      </c>
      <c r="T748">
        <v>1</v>
      </c>
      <c r="U748" t="s">
        <v>46</v>
      </c>
      <c r="V748">
        <v>22</v>
      </c>
      <c r="W748" t="s">
        <v>53</v>
      </c>
      <c r="X748" t="s">
        <v>36</v>
      </c>
      <c r="Y748">
        <v>2</v>
      </c>
      <c r="Z748">
        <v>21</v>
      </c>
      <c r="AA748">
        <v>3</v>
      </c>
      <c r="AB748" t="s">
        <v>54</v>
      </c>
      <c r="AC748">
        <v>21</v>
      </c>
      <c r="AD748" t="str" cm="1">
        <f t="array" ref="AD748">_xlfn.IFS(AC748&lt;=5,"0-5",AC748&lt;=10,"5-10",AC748&lt;=40,"10-40")</f>
        <v>10-40</v>
      </c>
      <c r="AE748">
        <v>16</v>
      </c>
      <c r="AF748">
        <v>5</v>
      </c>
      <c r="AG748">
        <v>10</v>
      </c>
      <c r="AH748">
        <v>747</v>
      </c>
    </row>
    <row r="749" spans="1:34" x14ac:dyDescent="0.3">
      <c r="A749">
        <v>38</v>
      </c>
      <c r="B749" t="str" cm="1">
        <f t="array" ref="B749">_xlfn.IFS(A749&lt;=25,"18-25",A749&lt;=35,"26-35",A749&lt;=45,"36-45",A749&lt;=55,"46-55",A749&gt;55,"55+")</f>
        <v>36-45</v>
      </c>
      <c r="C749">
        <v>0</v>
      </c>
      <c r="D749" t="s">
        <v>32</v>
      </c>
      <c r="E749">
        <v>1035</v>
      </c>
      <c r="F749" t="s">
        <v>33</v>
      </c>
      <c r="G749">
        <v>3</v>
      </c>
      <c r="H749" t="s">
        <v>58</v>
      </c>
      <c r="I749" t="s">
        <v>35</v>
      </c>
      <c r="J749" t="s">
        <v>36</v>
      </c>
      <c r="K749" t="s">
        <v>50</v>
      </c>
      <c r="L749">
        <v>42</v>
      </c>
      <c r="M749" t="s">
        <v>38</v>
      </c>
      <c r="N749" t="s">
        <v>39</v>
      </c>
      <c r="O749" t="s">
        <v>40</v>
      </c>
      <c r="P749" t="s">
        <v>41</v>
      </c>
      <c r="Q749" t="s">
        <v>42</v>
      </c>
      <c r="R749">
        <v>6861</v>
      </c>
      <c r="S749">
        <v>4981</v>
      </c>
      <c r="T749">
        <v>8</v>
      </c>
      <c r="U749" t="s">
        <v>31</v>
      </c>
      <c r="V749">
        <v>12</v>
      </c>
      <c r="W749" t="s">
        <v>43</v>
      </c>
      <c r="X749" t="s">
        <v>38</v>
      </c>
      <c r="Y749">
        <v>0</v>
      </c>
      <c r="Z749">
        <v>19</v>
      </c>
      <c r="AA749">
        <v>1</v>
      </c>
      <c r="AB749" t="s">
        <v>54</v>
      </c>
      <c r="AC749">
        <v>1</v>
      </c>
      <c r="AD749" t="str" cm="1">
        <f t="array" ref="AD749">_xlfn.IFS(AC749&lt;=5,"0-5",AC749&lt;=10,"5-10",AC749&lt;=40,"10-40")</f>
        <v>0-5</v>
      </c>
      <c r="AE749">
        <v>0</v>
      </c>
      <c r="AF749">
        <v>0</v>
      </c>
      <c r="AG749">
        <v>0</v>
      </c>
      <c r="AH749">
        <v>748</v>
      </c>
    </row>
    <row r="750" spans="1:34" x14ac:dyDescent="0.3">
      <c r="A750">
        <v>26</v>
      </c>
      <c r="B750" t="str" cm="1">
        <f t="array" ref="B750">_xlfn.IFS(A750&lt;=25,"18-25",A750&lt;=35,"26-35",A750&lt;=45,"36-45",A750&lt;=55,"46-55",A750&gt;55,"55+")</f>
        <v>26-35</v>
      </c>
      <c r="C750">
        <v>1</v>
      </c>
      <c r="D750" t="s">
        <v>66</v>
      </c>
      <c r="E750">
        <v>265</v>
      </c>
      <c r="F750" t="s">
        <v>33</v>
      </c>
      <c r="G750">
        <v>29</v>
      </c>
      <c r="H750" t="s">
        <v>34</v>
      </c>
      <c r="I750" t="s">
        <v>59</v>
      </c>
      <c r="J750" t="s">
        <v>36</v>
      </c>
      <c r="K750" t="s">
        <v>50</v>
      </c>
      <c r="L750">
        <v>79</v>
      </c>
      <c r="M750" t="s">
        <v>44</v>
      </c>
      <c r="N750" t="s">
        <v>39</v>
      </c>
      <c r="O750" t="s">
        <v>40</v>
      </c>
      <c r="P750" t="s">
        <v>44</v>
      </c>
      <c r="Q750" t="s">
        <v>42</v>
      </c>
      <c r="R750">
        <v>4969</v>
      </c>
      <c r="S750">
        <v>21813</v>
      </c>
      <c r="T750">
        <v>8</v>
      </c>
      <c r="U750" t="s">
        <v>46</v>
      </c>
      <c r="V750">
        <v>18</v>
      </c>
      <c r="W750" t="s">
        <v>43</v>
      </c>
      <c r="X750" t="s">
        <v>41</v>
      </c>
      <c r="Y750">
        <v>0</v>
      </c>
      <c r="Z750">
        <v>7</v>
      </c>
      <c r="AA750">
        <v>6</v>
      </c>
      <c r="AB750" t="s">
        <v>54</v>
      </c>
      <c r="AC750">
        <v>2</v>
      </c>
      <c r="AD750" t="str" cm="1">
        <f t="array" ref="AD750">_xlfn.IFS(AC750&lt;=5,"0-5",AC750&lt;=10,"5-10",AC750&lt;=40,"10-40")</f>
        <v>0-5</v>
      </c>
      <c r="AE750">
        <v>2</v>
      </c>
      <c r="AF750">
        <v>2</v>
      </c>
      <c r="AG750">
        <v>2</v>
      </c>
      <c r="AH750">
        <v>749</v>
      </c>
    </row>
    <row r="751" spans="1:34" x14ac:dyDescent="0.3">
      <c r="A751">
        <v>52</v>
      </c>
      <c r="B751" t="str" cm="1">
        <f t="array" ref="B751">_xlfn.IFS(A751&lt;=25,"18-25",A751&lt;=35,"26-35",A751&lt;=45,"36-45",A751&lt;=55,"46-55",A751&gt;55,"55+")</f>
        <v>46-55</v>
      </c>
      <c r="C751">
        <v>1</v>
      </c>
      <c r="D751" t="s">
        <v>32</v>
      </c>
      <c r="E751">
        <v>266</v>
      </c>
      <c r="F751" t="s">
        <v>33</v>
      </c>
      <c r="G751">
        <v>2</v>
      </c>
      <c r="H751" t="s">
        <v>49</v>
      </c>
      <c r="I751" t="s">
        <v>72</v>
      </c>
      <c r="J751" t="s">
        <v>44</v>
      </c>
      <c r="K751" t="s">
        <v>37</v>
      </c>
      <c r="L751">
        <v>57</v>
      </c>
      <c r="M751" t="s">
        <v>44</v>
      </c>
      <c r="N751" t="s">
        <v>71</v>
      </c>
      <c r="O751" t="s">
        <v>68</v>
      </c>
      <c r="P751" t="s">
        <v>41</v>
      </c>
      <c r="Q751" t="s">
        <v>52</v>
      </c>
      <c r="R751">
        <v>19845</v>
      </c>
      <c r="S751">
        <v>25846</v>
      </c>
      <c r="T751">
        <v>1</v>
      </c>
      <c r="U751" t="s">
        <v>46</v>
      </c>
      <c r="V751">
        <v>15</v>
      </c>
      <c r="W751" t="s">
        <v>43</v>
      </c>
      <c r="X751" t="s">
        <v>41</v>
      </c>
      <c r="Y751">
        <v>1</v>
      </c>
      <c r="Z751">
        <v>33</v>
      </c>
      <c r="AA751">
        <v>3</v>
      </c>
      <c r="AB751" t="s">
        <v>54</v>
      </c>
      <c r="AC751">
        <v>32</v>
      </c>
      <c r="AD751" t="str" cm="1">
        <f t="array" ref="AD751">_xlfn.IFS(AC751&lt;=5,"0-5",AC751&lt;=10,"5-10",AC751&lt;=40,"10-40")</f>
        <v>10-40</v>
      </c>
      <c r="AE751">
        <v>14</v>
      </c>
      <c r="AF751">
        <v>6</v>
      </c>
      <c r="AG751">
        <v>9</v>
      </c>
      <c r="AH751">
        <v>750</v>
      </c>
    </row>
    <row r="752" spans="1:34" x14ac:dyDescent="0.3">
      <c r="A752">
        <v>44</v>
      </c>
      <c r="B752" t="str" cm="1">
        <f t="array" ref="B752">_xlfn.IFS(A752&lt;=25,"18-25",A752&lt;=35,"26-35",A752&lt;=45,"36-45",A752&lt;=55,"46-55",A752&gt;55,"55+")</f>
        <v>36-45</v>
      </c>
      <c r="C752">
        <v>0</v>
      </c>
      <c r="D752" t="s">
        <v>32</v>
      </c>
      <c r="E752">
        <v>1448</v>
      </c>
      <c r="F752" t="s">
        <v>33</v>
      </c>
      <c r="G752">
        <v>28</v>
      </c>
      <c r="H752" t="s">
        <v>61</v>
      </c>
      <c r="I752" t="s">
        <v>59</v>
      </c>
      <c r="J752" t="s">
        <v>41</v>
      </c>
      <c r="K752" t="s">
        <v>37</v>
      </c>
      <c r="L752">
        <v>53</v>
      </c>
      <c r="M752" t="s">
        <v>41</v>
      </c>
      <c r="N752" t="s">
        <v>67</v>
      </c>
      <c r="O752" t="s">
        <v>40</v>
      </c>
      <c r="P752" t="s">
        <v>41</v>
      </c>
      <c r="Q752" t="s">
        <v>52</v>
      </c>
      <c r="R752">
        <v>13320</v>
      </c>
      <c r="S752">
        <v>11737</v>
      </c>
      <c r="T752">
        <v>3</v>
      </c>
      <c r="U752" t="s">
        <v>31</v>
      </c>
      <c r="V752">
        <v>18</v>
      </c>
      <c r="W752" t="s">
        <v>43</v>
      </c>
      <c r="X752" t="s">
        <v>38</v>
      </c>
      <c r="Y752">
        <v>1</v>
      </c>
      <c r="Z752">
        <v>23</v>
      </c>
      <c r="AA752">
        <v>2</v>
      </c>
      <c r="AB752" t="s">
        <v>54</v>
      </c>
      <c r="AC752">
        <v>12</v>
      </c>
      <c r="AD752" t="str" cm="1">
        <f t="array" ref="AD752">_xlfn.IFS(AC752&lt;=5,"0-5",AC752&lt;=10,"5-10",AC752&lt;=40,"10-40")</f>
        <v>10-40</v>
      </c>
      <c r="AE752">
        <v>11</v>
      </c>
      <c r="AF752">
        <v>11</v>
      </c>
      <c r="AG752">
        <v>11</v>
      </c>
      <c r="AH752">
        <v>751</v>
      </c>
    </row>
    <row r="753" spans="1:34" x14ac:dyDescent="0.3">
      <c r="A753">
        <v>50</v>
      </c>
      <c r="B753" t="str" cm="1">
        <f t="array" ref="B753">_xlfn.IFS(A753&lt;=25,"18-25",A753&lt;=35,"26-35",A753&lt;=45,"36-45",A753&lt;=55,"46-55",A753&gt;55,"55+")</f>
        <v>46-55</v>
      </c>
      <c r="C753">
        <v>0</v>
      </c>
      <c r="D753" t="s">
        <v>66</v>
      </c>
      <c r="E753">
        <v>145</v>
      </c>
      <c r="F753" t="s">
        <v>33</v>
      </c>
      <c r="G753">
        <v>1</v>
      </c>
      <c r="H753" t="s">
        <v>61</v>
      </c>
      <c r="I753" t="s">
        <v>35</v>
      </c>
      <c r="J753" t="s">
        <v>41</v>
      </c>
      <c r="K753" t="s">
        <v>37</v>
      </c>
      <c r="L753">
        <v>95</v>
      </c>
      <c r="M753" t="s">
        <v>38</v>
      </c>
      <c r="N753" t="s">
        <v>39</v>
      </c>
      <c r="O753" t="s">
        <v>40</v>
      </c>
      <c r="P753" t="s">
        <v>38</v>
      </c>
      <c r="Q753" t="s">
        <v>52</v>
      </c>
      <c r="R753">
        <v>6347</v>
      </c>
      <c r="S753">
        <v>24920</v>
      </c>
      <c r="T753">
        <v>0</v>
      </c>
      <c r="U753" t="s">
        <v>46</v>
      </c>
      <c r="V753">
        <v>12</v>
      </c>
      <c r="W753" t="s">
        <v>43</v>
      </c>
      <c r="X753" t="s">
        <v>44</v>
      </c>
      <c r="Y753">
        <v>1</v>
      </c>
      <c r="Z753">
        <v>19</v>
      </c>
      <c r="AA753">
        <v>3</v>
      </c>
      <c r="AB753" t="s">
        <v>54</v>
      </c>
      <c r="AC753">
        <v>18</v>
      </c>
      <c r="AD753" t="str" cm="1">
        <f t="array" ref="AD753">_xlfn.IFS(AC753&lt;=5,"0-5",AC753&lt;=10,"5-10",AC753&lt;=40,"10-40")</f>
        <v>10-40</v>
      </c>
      <c r="AE753">
        <v>7</v>
      </c>
      <c r="AF753">
        <v>0</v>
      </c>
      <c r="AG753">
        <v>13</v>
      </c>
      <c r="AH753">
        <v>752</v>
      </c>
    </row>
    <row r="754" spans="1:34" x14ac:dyDescent="0.3">
      <c r="A754">
        <v>36</v>
      </c>
      <c r="B754" t="str" cm="1">
        <f t="array" ref="B754">_xlfn.IFS(A754&lt;=25,"18-25",A754&lt;=35,"26-35",A754&lt;=45,"36-45",A754&lt;=55,"46-55",A754&gt;55,"55+")</f>
        <v>36-45</v>
      </c>
      <c r="C754">
        <v>1</v>
      </c>
      <c r="D754" t="s">
        <v>32</v>
      </c>
      <c r="E754">
        <v>885</v>
      </c>
      <c r="F754" t="s">
        <v>48</v>
      </c>
      <c r="G754">
        <v>16</v>
      </c>
      <c r="H754" t="s">
        <v>58</v>
      </c>
      <c r="I754" t="s">
        <v>35</v>
      </c>
      <c r="J754" t="s">
        <v>38</v>
      </c>
      <c r="K754" t="s">
        <v>37</v>
      </c>
      <c r="L754">
        <v>43</v>
      </c>
      <c r="M754" t="s">
        <v>41</v>
      </c>
      <c r="N754" t="s">
        <v>56</v>
      </c>
      <c r="O754" t="s">
        <v>57</v>
      </c>
      <c r="P754" t="s">
        <v>44</v>
      </c>
      <c r="Q754" t="s">
        <v>42</v>
      </c>
      <c r="R754">
        <v>2743</v>
      </c>
      <c r="S754">
        <v>8269</v>
      </c>
      <c r="T754">
        <v>1</v>
      </c>
      <c r="U754" t="s">
        <v>46</v>
      </c>
      <c r="V754">
        <v>16</v>
      </c>
      <c r="W754" t="s">
        <v>43</v>
      </c>
      <c r="X754" t="s">
        <v>38</v>
      </c>
      <c r="Y754">
        <v>0</v>
      </c>
      <c r="Z754">
        <v>18</v>
      </c>
      <c r="AA754">
        <v>1</v>
      </c>
      <c r="AB754" t="s">
        <v>54</v>
      </c>
      <c r="AC754">
        <v>17</v>
      </c>
      <c r="AD754" t="str" cm="1">
        <f t="array" ref="AD754">_xlfn.IFS(AC754&lt;=5,"0-5",AC754&lt;=10,"5-10",AC754&lt;=40,"10-40")</f>
        <v>10-40</v>
      </c>
      <c r="AE754">
        <v>13</v>
      </c>
      <c r="AF754">
        <v>15</v>
      </c>
      <c r="AG754">
        <v>14</v>
      </c>
      <c r="AH754">
        <v>753</v>
      </c>
    </row>
    <row r="755" spans="1:34" x14ac:dyDescent="0.3">
      <c r="A755">
        <v>39</v>
      </c>
      <c r="B755" t="str" cm="1">
        <f t="array" ref="B755">_xlfn.IFS(A755&lt;=25,"18-25",A755&lt;=35,"26-35",A755&lt;=45,"36-45",A755&lt;=55,"46-55",A755&gt;55,"55+")</f>
        <v>36-45</v>
      </c>
      <c r="C755">
        <v>0</v>
      </c>
      <c r="D755" t="s">
        <v>47</v>
      </c>
      <c r="E755">
        <v>945</v>
      </c>
      <c r="F755" t="s">
        <v>48</v>
      </c>
      <c r="G755">
        <v>22</v>
      </c>
      <c r="H755" t="s">
        <v>61</v>
      </c>
      <c r="I755" t="s">
        <v>59</v>
      </c>
      <c r="J755" t="s">
        <v>41</v>
      </c>
      <c r="K755" t="s">
        <v>37</v>
      </c>
      <c r="L755">
        <v>82</v>
      </c>
      <c r="M755" t="s">
        <v>38</v>
      </c>
      <c r="N755" t="s">
        <v>63</v>
      </c>
      <c r="O755" t="s">
        <v>64</v>
      </c>
      <c r="P755" t="s">
        <v>44</v>
      </c>
      <c r="Q755" t="s">
        <v>42</v>
      </c>
      <c r="R755">
        <v>10880</v>
      </c>
      <c r="S755">
        <v>5083</v>
      </c>
      <c r="T755">
        <v>1</v>
      </c>
      <c r="U755" t="s">
        <v>31</v>
      </c>
      <c r="V755">
        <v>13</v>
      </c>
      <c r="W755" t="s">
        <v>43</v>
      </c>
      <c r="X755" t="s">
        <v>38</v>
      </c>
      <c r="Y755">
        <v>0</v>
      </c>
      <c r="Z755">
        <v>21</v>
      </c>
      <c r="AA755">
        <v>2</v>
      </c>
      <c r="AB755" t="s">
        <v>54</v>
      </c>
      <c r="AC755">
        <v>21</v>
      </c>
      <c r="AD755" t="str" cm="1">
        <f t="array" ref="AD755">_xlfn.IFS(AC755&lt;=5,"0-5",AC755&lt;=10,"5-10",AC755&lt;=40,"10-40")</f>
        <v>10-40</v>
      </c>
      <c r="AE755">
        <v>6</v>
      </c>
      <c r="AF755">
        <v>2</v>
      </c>
      <c r="AG755">
        <v>8</v>
      </c>
      <c r="AH755">
        <v>754</v>
      </c>
    </row>
    <row r="756" spans="1:34" x14ac:dyDescent="0.3">
      <c r="A756">
        <v>33</v>
      </c>
      <c r="B756" t="str" cm="1">
        <f t="array" ref="B756">_xlfn.IFS(A756&lt;=25,"18-25",A756&lt;=35,"26-35",A756&lt;=45,"36-45",A756&lt;=55,"46-55",A756&gt;55,"55+")</f>
        <v>26-35</v>
      </c>
      <c r="C756">
        <v>0</v>
      </c>
      <c r="D756" t="s">
        <v>66</v>
      </c>
      <c r="E756">
        <v>1038</v>
      </c>
      <c r="F756" t="s">
        <v>33</v>
      </c>
      <c r="G756">
        <v>8</v>
      </c>
      <c r="H756" t="s">
        <v>49</v>
      </c>
      <c r="I756" t="s">
        <v>35</v>
      </c>
      <c r="J756" t="s">
        <v>36</v>
      </c>
      <c r="K756" t="s">
        <v>37</v>
      </c>
      <c r="L756">
        <v>88</v>
      </c>
      <c r="M756" t="s">
        <v>36</v>
      </c>
      <c r="N756" t="s">
        <v>56</v>
      </c>
      <c r="O756" t="s">
        <v>69</v>
      </c>
      <c r="P756" t="s">
        <v>41</v>
      </c>
      <c r="Q756" t="s">
        <v>42</v>
      </c>
      <c r="R756">
        <v>2342</v>
      </c>
      <c r="S756">
        <v>21437</v>
      </c>
      <c r="T756">
        <v>0</v>
      </c>
      <c r="U756" t="s">
        <v>46</v>
      </c>
      <c r="V756">
        <v>19</v>
      </c>
      <c r="W756" t="s">
        <v>43</v>
      </c>
      <c r="X756" t="s">
        <v>41</v>
      </c>
      <c r="Y756">
        <v>0</v>
      </c>
      <c r="Z756">
        <v>3</v>
      </c>
      <c r="AA756">
        <v>2</v>
      </c>
      <c r="AB756" t="s">
        <v>60</v>
      </c>
      <c r="AC756">
        <v>2</v>
      </c>
      <c r="AD756" t="str" cm="1">
        <f t="array" ref="AD756">_xlfn.IFS(AC756&lt;=5,"0-5",AC756&lt;=10,"5-10",AC756&lt;=40,"10-40")</f>
        <v>0-5</v>
      </c>
      <c r="AE756">
        <v>2</v>
      </c>
      <c r="AF756">
        <v>2</v>
      </c>
      <c r="AG756">
        <v>2</v>
      </c>
      <c r="AH756">
        <v>755</v>
      </c>
    </row>
    <row r="757" spans="1:34" x14ac:dyDescent="0.3">
      <c r="A757">
        <v>45</v>
      </c>
      <c r="B757" t="str" cm="1">
        <f t="array" ref="B757">_xlfn.IFS(A757&lt;=25,"18-25",A757&lt;=35,"26-35",A757&lt;=45,"36-45",A757&lt;=55,"46-55",A757&gt;55,"55+")</f>
        <v>36-45</v>
      </c>
      <c r="C757">
        <v>0</v>
      </c>
      <c r="D757" t="s">
        <v>32</v>
      </c>
      <c r="E757">
        <v>1234</v>
      </c>
      <c r="F757" t="s">
        <v>33</v>
      </c>
      <c r="G757">
        <v>11</v>
      </c>
      <c r="H757" t="s">
        <v>34</v>
      </c>
      <c r="I757" t="s">
        <v>35</v>
      </c>
      <c r="J757" t="s">
        <v>41</v>
      </c>
      <c r="K757" t="s">
        <v>37</v>
      </c>
      <c r="L757">
        <v>90</v>
      </c>
      <c r="M757" t="s">
        <v>38</v>
      </c>
      <c r="N757" t="s">
        <v>67</v>
      </c>
      <c r="O757" t="s">
        <v>68</v>
      </c>
      <c r="P757" t="s">
        <v>41</v>
      </c>
      <c r="Q757" t="s">
        <v>52</v>
      </c>
      <c r="R757">
        <v>17650</v>
      </c>
      <c r="S757">
        <v>5404</v>
      </c>
      <c r="T757">
        <v>3</v>
      </c>
      <c r="U757" t="s">
        <v>46</v>
      </c>
      <c r="V757">
        <v>13</v>
      </c>
      <c r="W757" t="s">
        <v>43</v>
      </c>
      <c r="X757" t="s">
        <v>36</v>
      </c>
      <c r="Y757">
        <v>1</v>
      </c>
      <c r="Z757">
        <v>26</v>
      </c>
      <c r="AA757">
        <v>4</v>
      </c>
      <c r="AB757" t="s">
        <v>73</v>
      </c>
      <c r="AC757">
        <v>9</v>
      </c>
      <c r="AD757" t="str" cm="1">
        <f t="array" ref="AD757">_xlfn.IFS(AC757&lt;=5,"0-5",AC757&lt;=10,"5-10",AC757&lt;=40,"10-40")</f>
        <v>5-10</v>
      </c>
      <c r="AE757">
        <v>3</v>
      </c>
      <c r="AF757">
        <v>1</v>
      </c>
      <c r="AG757">
        <v>1</v>
      </c>
      <c r="AH757">
        <v>756</v>
      </c>
    </row>
    <row r="758" spans="1:34" x14ac:dyDescent="0.3">
      <c r="A758">
        <v>32</v>
      </c>
      <c r="B758" t="str" cm="1">
        <f t="array" ref="B758">_xlfn.IFS(A758&lt;=25,"18-25",A758&lt;=35,"26-35",A758&lt;=45,"36-45",A758&lt;=55,"46-55",A758&gt;55,"55+")</f>
        <v>26-35</v>
      </c>
      <c r="C758">
        <v>0</v>
      </c>
      <c r="D758" t="s">
        <v>66</v>
      </c>
      <c r="E758">
        <v>1109</v>
      </c>
      <c r="F758" t="s">
        <v>48</v>
      </c>
      <c r="G758">
        <v>29</v>
      </c>
      <c r="H758" t="s">
        <v>58</v>
      </c>
      <c r="I758" t="s">
        <v>59</v>
      </c>
      <c r="J758" t="s">
        <v>41</v>
      </c>
      <c r="K758" t="s">
        <v>37</v>
      </c>
      <c r="L758">
        <v>69</v>
      </c>
      <c r="M758" t="s">
        <v>38</v>
      </c>
      <c r="N758" t="s">
        <v>56</v>
      </c>
      <c r="O758" t="s">
        <v>57</v>
      </c>
      <c r="P758" t="s">
        <v>38</v>
      </c>
      <c r="Q758" t="s">
        <v>42</v>
      </c>
      <c r="R758">
        <v>4025</v>
      </c>
      <c r="S758">
        <v>11135</v>
      </c>
      <c r="T758">
        <v>9</v>
      </c>
      <c r="U758" t="s">
        <v>46</v>
      </c>
      <c r="V758">
        <v>12</v>
      </c>
      <c r="W758" t="s">
        <v>43</v>
      </c>
      <c r="X758" t="s">
        <v>36</v>
      </c>
      <c r="Y758">
        <v>0</v>
      </c>
      <c r="Z758">
        <v>10</v>
      </c>
      <c r="AA758">
        <v>2</v>
      </c>
      <c r="AB758" t="s">
        <v>54</v>
      </c>
      <c r="AC758">
        <v>8</v>
      </c>
      <c r="AD758" t="str" cm="1">
        <f t="array" ref="AD758">_xlfn.IFS(AC758&lt;=5,"0-5",AC758&lt;=10,"5-10",AC758&lt;=40,"10-40")</f>
        <v>5-10</v>
      </c>
      <c r="AE758">
        <v>7</v>
      </c>
      <c r="AF758">
        <v>7</v>
      </c>
      <c r="AG758">
        <v>7</v>
      </c>
      <c r="AH758">
        <v>757</v>
      </c>
    </row>
    <row r="759" spans="1:34" x14ac:dyDescent="0.3">
      <c r="A759">
        <v>34</v>
      </c>
      <c r="B759" t="str" cm="1">
        <f t="array" ref="B759">_xlfn.IFS(A759&lt;=25,"18-25",A759&lt;=35,"26-35",A759&lt;=45,"36-45",A759&lt;=55,"46-55",A759&gt;55,"55+")</f>
        <v>26-35</v>
      </c>
      <c r="C759">
        <v>0</v>
      </c>
      <c r="D759" t="s">
        <v>32</v>
      </c>
      <c r="E759">
        <v>216</v>
      </c>
      <c r="F759" t="s">
        <v>33</v>
      </c>
      <c r="G759">
        <v>1</v>
      </c>
      <c r="H759" t="s">
        <v>58</v>
      </c>
      <c r="I759" t="s">
        <v>72</v>
      </c>
      <c r="J759" t="s">
        <v>36</v>
      </c>
      <c r="K759" t="s">
        <v>50</v>
      </c>
      <c r="L759">
        <v>75</v>
      </c>
      <c r="M759" t="s">
        <v>41</v>
      </c>
      <c r="N759" t="s">
        <v>39</v>
      </c>
      <c r="O759" t="s">
        <v>40</v>
      </c>
      <c r="P759" t="s">
        <v>41</v>
      </c>
      <c r="Q759" t="s">
        <v>62</v>
      </c>
      <c r="R759">
        <v>9725</v>
      </c>
      <c r="S759">
        <v>12278</v>
      </c>
      <c r="T759">
        <v>0</v>
      </c>
      <c r="U759" t="s">
        <v>46</v>
      </c>
      <c r="V759">
        <v>11</v>
      </c>
      <c r="W759" t="s">
        <v>43</v>
      </c>
      <c r="X759" t="s">
        <v>41</v>
      </c>
      <c r="Y759">
        <v>1</v>
      </c>
      <c r="Z759">
        <v>16</v>
      </c>
      <c r="AA759">
        <v>2</v>
      </c>
      <c r="AB759" t="s">
        <v>60</v>
      </c>
      <c r="AC759">
        <v>15</v>
      </c>
      <c r="AD759" t="str" cm="1">
        <f t="array" ref="AD759">_xlfn.IFS(AC759&lt;=5,"0-5",AC759&lt;=10,"5-10",AC759&lt;=40,"10-40")</f>
        <v>10-40</v>
      </c>
      <c r="AE759">
        <v>1</v>
      </c>
      <c r="AF759">
        <v>0</v>
      </c>
      <c r="AG759">
        <v>9</v>
      </c>
      <c r="AH759">
        <v>758</v>
      </c>
    </row>
    <row r="760" spans="1:34" x14ac:dyDescent="0.3">
      <c r="A760">
        <v>59</v>
      </c>
      <c r="B760" t="str" cm="1">
        <f t="array" ref="B760">_xlfn.IFS(A760&lt;=25,"18-25",A760&lt;=35,"26-35",A760&lt;=45,"36-45",A760&lt;=55,"46-55",A760&gt;55,"55+")</f>
        <v>55+</v>
      </c>
      <c r="C760">
        <v>0</v>
      </c>
      <c r="D760" t="s">
        <v>32</v>
      </c>
      <c r="E760">
        <v>1089</v>
      </c>
      <c r="F760" t="s">
        <v>33</v>
      </c>
      <c r="G760">
        <v>1</v>
      </c>
      <c r="H760" t="s">
        <v>34</v>
      </c>
      <c r="I760" t="s">
        <v>74</v>
      </c>
      <c r="J760" t="s">
        <v>36</v>
      </c>
      <c r="K760" t="s">
        <v>50</v>
      </c>
      <c r="L760">
        <v>66</v>
      </c>
      <c r="M760" t="s">
        <v>38</v>
      </c>
      <c r="N760" t="s">
        <v>63</v>
      </c>
      <c r="O760" t="s">
        <v>68</v>
      </c>
      <c r="P760" t="s">
        <v>41</v>
      </c>
      <c r="Q760" t="s">
        <v>52</v>
      </c>
      <c r="R760">
        <v>11904</v>
      </c>
      <c r="S760">
        <v>11038</v>
      </c>
      <c r="T760">
        <v>3</v>
      </c>
      <c r="U760" t="s">
        <v>31</v>
      </c>
      <c r="V760">
        <v>14</v>
      </c>
      <c r="W760" t="s">
        <v>43</v>
      </c>
      <c r="X760" t="s">
        <v>38</v>
      </c>
      <c r="Y760">
        <v>1</v>
      </c>
      <c r="Z760">
        <v>14</v>
      </c>
      <c r="AA760">
        <v>1</v>
      </c>
      <c r="AB760" t="s">
        <v>45</v>
      </c>
      <c r="AC760">
        <v>6</v>
      </c>
      <c r="AD760" t="str" cm="1">
        <f t="array" ref="AD760">_xlfn.IFS(AC760&lt;=5,"0-5",AC760&lt;=10,"5-10",AC760&lt;=40,"10-40")</f>
        <v>5-10</v>
      </c>
      <c r="AE760">
        <v>4</v>
      </c>
      <c r="AF760">
        <v>0</v>
      </c>
      <c r="AG760">
        <v>4</v>
      </c>
      <c r="AH760">
        <v>759</v>
      </c>
    </row>
    <row r="761" spans="1:34" x14ac:dyDescent="0.3">
      <c r="A761">
        <v>45</v>
      </c>
      <c r="B761" t="str" cm="1">
        <f t="array" ref="B761">_xlfn.IFS(A761&lt;=25,"18-25",A761&lt;=35,"26-35",A761&lt;=45,"36-45",A761&lt;=55,"46-55",A761&gt;55,"55+")</f>
        <v>36-45</v>
      </c>
      <c r="C761">
        <v>0</v>
      </c>
      <c r="D761" t="s">
        <v>32</v>
      </c>
      <c r="E761">
        <v>788</v>
      </c>
      <c r="F761" t="s">
        <v>76</v>
      </c>
      <c r="G761">
        <v>24</v>
      </c>
      <c r="H761" t="s">
        <v>58</v>
      </c>
      <c r="I761" t="s">
        <v>59</v>
      </c>
      <c r="J761" t="s">
        <v>36</v>
      </c>
      <c r="K761" t="s">
        <v>50</v>
      </c>
      <c r="L761">
        <v>36</v>
      </c>
      <c r="M761" t="s">
        <v>38</v>
      </c>
      <c r="N761" t="s">
        <v>56</v>
      </c>
      <c r="O761" t="s">
        <v>76</v>
      </c>
      <c r="P761" t="s">
        <v>36</v>
      </c>
      <c r="Q761" t="s">
        <v>42</v>
      </c>
      <c r="R761">
        <v>2177</v>
      </c>
      <c r="S761">
        <v>8318</v>
      </c>
      <c r="T761">
        <v>1</v>
      </c>
      <c r="U761" t="s">
        <v>46</v>
      </c>
      <c r="V761">
        <v>16</v>
      </c>
      <c r="W761" t="s">
        <v>43</v>
      </c>
      <c r="X761" t="s">
        <v>44</v>
      </c>
      <c r="Y761">
        <v>0</v>
      </c>
      <c r="Z761">
        <v>6</v>
      </c>
      <c r="AA761">
        <v>3</v>
      </c>
      <c r="AB761" t="s">
        <v>54</v>
      </c>
      <c r="AC761">
        <v>6</v>
      </c>
      <c r="AD761" t="str" cm="1">
        <f t="array" ref="AD761">_xlfn.IFS(AC761&lt;=5,"0-5",AC761&lt;=10,"5-10",AC761&lt;=40,"10-40")</f>
        <v>5-10</v>
      </c>
      <c r="AE761">
        <v>3</v>
      </c>
      <c r="AF761">
        <v>0</v>
      </c>
      <c r="AG761">
        <v>4</v>
      </c>
      <c r="AH761">
        <v>760</v>
      </c>
    </row>
    <row r="762" spans="1:34" x14ac:dyDescent="0.3">
      <c r="A762">
        <v>53</v>
      </c>
      <c r="B762" t="str" cm="1">
        <f t="array" ref="B762">_xlfn.IFS(A762&lt;=25,"18-25",A762&lt;=35,"26-35",A762&lt;=45,"36-45",A762&lt;=55,"46-55",A762&gt;55,"55+")</f>
        <v>46-55</v>
      </c>
      <c r="C762">
        <v>0</v>
      </c>
      <c r="D762" t="s">
        <v>47</v>
      </c>
      <c r="E762">
        <v>124</v>
      </c>
      <c r="F762" t="s">
        <v>33</v>
      </c>
      <c r="G762">
        <v>2</v>
      </c>
      <c r="H762" t="s">
        <v>61</v>
      </c>
      <c r="I762" t="s">
        <v>72</v>
      </c>
      <c r="J762" t="s">
        <v>38</v>
      </c>
      <c r="K762" t="s">
        <v>37</v>
      </c>
      <c r="L762">
        <v>38</v>
      </c>
      <c r="M762" t="s">
        <v>36</v>
      </c>
      <c r="N762" t="s">
        <v>63</v>
      </c>
      <c r="O762" t="s">
        <v>40</v>
      </c>
      <c r="P762" t="s">
        <v>36</v>
      </c>
      <c r="Q762" t="s">
        <v>52</v>
      </c>
      <c r="R762">
        <v>7525</v>
      </c>
      <c r="S762">
        <v>23537</v>
      </c>
      <c r="T762">
        <v>2</v>
      </c>
      <c r="U762" t="s">
        <v>46</v>
      </c>
      <c r="V762">
        <v>12</v>
      </c>
      <c r="W762" t="s">
        <v>43</v>
      </c>
      <c r="X762" t="s">
        <v>44</v>
      </c>
      <c r="Y762">
        <v>1</v>
      </c>
      <c r="Z762">
        <v>30</v>
      </c>
      <c r="AA762">
        <v>2</v>
      </c>
      <c r="AB762" t="s">
        <v>54</v>
      </c>
      <c r="AC762">
        <v>15</v>
      </c>
      <c r="AD762" t="str" cm="1">
        <f t="array" ref="AD762">_xlfn.IFS(AC762&lt;=5,"0-5",AC762&lt;=10,"5-10",AC762&lt;=40,"10-40")</f>
        <v>10-40</v>
      </c>
      <c r="AE762">
        <v>7</v>
      </c>
      <c r="AF762">
        <v>6</v>
      </c>
      <c r="AG762">
        <v>12</v>
      </c>
      <c r="AH762">
        <v>761</v>
      </c>
    </row>
    <row r="763" spans="1:34" x14ac:dyDescent="0.3">
      <c r="A763">
        <v>36</v>
      </c>
      <c r="B763" t="str" cm="1">
        <f t="array" ref="B763">_xlfn.IFS(A763&lt;=25,"18-25",A763&lt;=35,"26-35",A763&lt;=45,"36-45",A763&lt;=55,"46-55",A763&gt;55,"55+")</f>
        <v>36-45</v>
      </c>
      <c r="C763">
        <v>1</v>
      </c>
      <c r="D763" t="s">
        <v>32</v>
      </c>
      <c r="E763">
        <v>660</v>
      </c>
      <c r="F763" t="s">
        <v>48</v>
      </c>
      <c r="G763">
        <v>15</v>
      </c>
      <c r="H763" t="s">
        <v>61</v>
      </c>
      <c r="I763" t="s">
        <v>55</v>
      </c>
      <c r="J763" t="s">
        <v>44</v>
      </c>
      <c r="K763" t="s">
        <v>50</v>
      </c>
      <c r="L763">
        <v>81</v>
      </c>
      <c r="M763" t="s">
        <v>38</v>
      </c>
      <c r="N763" t="s">
        <v>39</v>
      </c>
      <c r="O763" t="s">
        <v>57</v>
      </c>
      <c r="P763" t="s">
        <v>38</v>
      </c>
      <c r="Q763" t="s">
        <v>62</v>
      </c>
      <c r="R763">
        <v>4834</v>
      </c>
      <c r="S763">
        <v>7858</v>
      </c>
      <c r="T763">
        <v>7</v>
      </c>
      <c r="U763" t="s">
        <v>46</v>
      </c>
      <c r="V763">
        <v>14</v>
      </c>
      <c r="W763" t="s">
        <v>43</v>
      </c>
      <c r="X763" t="s">
        <v>36</v>
      </c>
      <c r="Y763">
        <v>1</v>
      </c>
      <c r="Z763">
        <v>9</v>
      </c>
      <c r="AA763">
        <v>3</v>
      </c>
      <c r="AB763" t="s">
        <v>60</v>
      </c>
      <c r="AC763">
        <v>1</v>
      </c>
      <c r="AD763" t="str" cm="1">
        <f t="array" ref="AD763">_xlfn.IFS(AC763&lt;=5,"0-5",AC763&lt;=10,"5-10",AC763&lt;=40,"10-40")</f>
        <v>0-5</v>
      </c>
      <c r="AE763">
        <v>0</v>
      </c>
      <c r="AF763">
        <v>0</v>
      </c>
      <c r="AG763">
        <v>0</v>
      </c>
      <c r="AH763">
        <v>762</v>
      </c>
    </row>
    <row r="764" spans="1:34" x14ac:dyDescent="0.3">
      <c r="A764">
        <v>26</v>
      </c>
      <c r="B764" t="str" cm="1">
        <f t="array" ref="B764">_xlfn.IFS(A764&lt;=25,"18-25",A764&lt;=35,"26-35",A764&lt;=45,"36-45",A764&lt;=55,"46-55",A764&gt;55,"55+")</f>
        <v>26-35</v>
      </c>
      <c r="C764">
        <v>1</v>
      </c>
      <c r="D764" t="s">
        <v>47</v>
      </c>
      <c r="E764">
        <v>342</v>
      </c>
      <c r="F764" t="s">
        <v>48</v>
      </c>
      <c r="G764">
        <v>2</v>
      </c>
      <c r="H764" t="s">
        <v>61</v>
      </c>
      <c r="I764" t="s">
        <v>35</v>
      </c>
      <c r="J764" t="s">
        <v>44</v>
      </c>
      <c r="K764" t="s">
        <v>50</v>
      </c>
      <c r="L764">
        <v>57</v>
      </c>
      <c r="M764" t="s">
        <v>38</v>
      </c>
      <c r="N764" t="s">
        <v>56</v>
      </c>
      <c r="O764" t="s">
        <v>51</v>
      </c>
      <c r="P764" t="s">
        <v>44</v>
      </c>
      <c r="Q764" t="s">
        <v>52</v>
      </c>
      <c r="R764">
        <v>2042</v>
      </c>
      <c r="S764">
        <v>15346</v>
      </c>
      <c r="T764">
        <v>6</v>
      </c>
      <c r="U764" t="s">
        <v>31</v>
      </c>
      <c r="V764">
        <v>14</v>
      </c>
      <c r="W764" t="s">
        <v>43</v>
      </c>
      <c r="X764" t="s">
        <v>36</v>
      </c>
      <c r="Y764">
        <v>1</v>
      </c>
      <c r="Z764">
        <v>6</v>
      </c>
      <c r="AA764">
        <v>2</v>
      </c>
      <c r="AB764" t="s">
        <v>54</v>
      </c>
      <c r="AC764">
        <v>3</v>
      </c>
      <c r="AD764" t="str" cm="1">
        <f t="array" ref="AD764">_xlfn.IFS(AC764&lt;=5,"0-5",AC764&lt;=10,"5-10",AC764&lt;=40,"10-40")</f>
        <v>0-5</v>
      </c>
      <c r="AE764">
        <v>2</v>
      </c>
      <c r="AF764">
        <v>1</v>
      </c>
      <c r="AG764">
        <v>2</v>
      </c>
      <c r="AH764">
        <v>763</v>
      </c>
    </row>
    <row r="765" spans="1:34" x14ac:dyDescent="0.3">
      <c r="A765">
        <v>34</v>
      </c>
      <c r="B765" t="str" cm="1">
        <f t="array" ref="B765">_xlfn.IFS(A765&lt;=25,"18-25",A765&lt;=35,"26-35",A765&lt;=45,"36-45",A765&lt;=55,"46-55",A765&gt;55,"55+")</f>
        <v>26-35</v>
      </c>
      <c r="C765">
        <v>0</v>
      </c>
      <c r="D765" t="s">
        <v>32</v>
      </c>
      <c r="E765">
        <v>1333</v>
      </c>
      <c r="F765" t="s">
        <v>33</v>
      </c>
      <c r="G765">
        <v>10</v>
      </c>
      <c r="H765" t="s">
        <v>58</v>
      </c>
      <c r="I765" t="s">
        <v>35</v>
      </c>
      <c r="J765" t="s">
        <v>38</v>
      </c>
      <c r="K765" t="s">
        <v>37</v>
      </c>
      <c r="L765">
        <v>87</v>
      </c>
      <c r="M765" t="s">
        <v>38</v>
      </c>
      <c r="N765" t="s">
        <v>56</v>
      </c>
      <c r="O765" t="s">
        <v>69</v>
      </c>
      <c r="P765" t="s">
        <v>38</v>
      </c>
      <c r="Q765" t="s">
        <v>52</v>
      </c>
      <c r="R765">
        <v>2220</v>
      </c>
      <c r="S765">
        <v>18410</v>
      </c>
      <c r="T765">
        <v>1</v>
      </c>
      <c r="U765" t="s">
        <v>31</v>
      </c>
      <c r="V765">
        <v>19</v>
      </c>
      <c r="W765" t="s">
        <v>43</v>
      </c>
      <c r="X765" t="s">
        <v>41</v>
      </c>
      <c r="Y765">
        <v>1</v>
      </c>
      <c r="Z765">
        <v>1</v>
      </c>
      <c r="AA765">
        <v>2</v>
      </c>
      <c r="AB765" t="s">
        <v>54</v>
      </c>
      <c r="AC765">
        <v>1</v>
      </c>
      <c r="AD765" t="str" cm="1">
        <f t="array" ref="AD765">_xlfn.IFS(AC765&lt;=5,"0-5",AC765&lt;=10,"5-10",AC765&lt;=40,"10-40")</f>
        <v>0-5</v>
      </c>
      <c r="AE765">
        <v>1</v>
      </c>
      <c r="AF765">
        <v>0</v>
      </c>
      <c r="AG765">
        <v>0</v>
      </c>
      <c r="AH765">
        <v>764</v>
      </c>
    </row>
    <row r="766" spans="1:34" x14ac:dyDescent="0.3">
      <c r="A766">
        <v>28</v>
      </c>
      <c r="B766" t="str" cm="1">
        <f t="array" ref="B766">_xlfn.IFS(A766&lt;=25,"18-25",A766&lt;=35,"26-35",A766&lt;=45,"36-45",A766&lt;=55,"46-55",A766&gt;55,"55+")</f>
        <v>26-35</v>
      </c>
      <c r="C766">
        <v>0</v>
      </c>
      <c r="D766" t="s">
        <v>32</v>
      </c>
      <c r="E766">
        <v>1144</v>
      </c>
      <c r="F766" t="s">
        <v>33</v>
      </c>
      <c r="G766">
        <v>10</v>
      </c>
      <c r="H766" t="s">
        <v>49</v>
      </c>
      <c r="I766" t="s">
        <v>59</v>
      </c>
      <c r="J766" t="s">
        <v>41</v>
      </c>
      <c r="K766" t="s">
        <v>50</v>
      </c>
      <c r="L766">
        <v>74</v>
      </c>
      <c r="M766" t="s">
        <v>38</v>
      </c>
      <c r="N766" t="s">
        <v>56</v>
      </c>
      <c r="O766" t="s">
        <v>69</v>
      </c>
      <c r="P766" t="s">
        <v>36</v>
      </c>
      <c r="Q766" t="s">
        <v>52</v>
      </c>
      <c r="R766">
        <v>1052</v>
      </c>
      <c r="S766">
        <v>23384</v>
      </c>
      <c r="T766">
        <v>1</v>
      </c>
      <c r="U766" t="s">
        <v>46</v>
      </c>
      <c r="V766">
        <v>22</v>
      </c>
      <c r="W766" t="s">
        <v>53</v>
      </c>
      <c r="X766" t="s">
        <v>36</v>
      </c>
      <c r="Y766">
        <v>0</v>
      </c>
      <c r="Z766">
        <v>1</v>
      </c>
      <c r="AA766">
        <v>5</v>
      </c>
      <c r="AB766" t="s">
        <v>54</v>
      </c>
      <c r="AC766">
        <v>1</v>
      </c>
      <c r="AD766" t="str" cm="1">
        <f t="array" ref="AD766">_xlfn.IFS(AC766&lt;=5,"0-5",AC766&lt;=10,"5-10",AC766&lt;=40,"10-40")</f>
        <v>0-5</v>
      </c>
      <c r="AE766">
        <v>0</v>
      </c>
      <c r="AF766">
        <v>0</v>
      </c>
      <c r="AG766">
        <v>0</v>
      </c>
      <c r="AH766">
        <v>765</v>
      </c>
    </row>
    <row r="767" spans="1:34" x14ac:dyDescent="0.3">
      <c r="A767">
        <v>38</v>
      </c>
      <c r="B767" t="str" cm="1">
        <f t="array" ref="B767">_xlfn.IFS(A767&lt;=25,"18-25",A767&lt;=35,"26-35",A767&lt;=45,"36-45",A767&lt;=55,"46-55",A767&gt;55,"55+")</f>
        <v>36-45</v>
      </c>
      <c r="C767">
        <v>0</v>
      </c>
      <c r="D767" t="s">
        <v>47</v>
      </c>
      <c r="E767">
        <v>1186</v>
      </c>
      <c r="F767" t="s">
        <v>48</v>
      </c>
      <c r="G767">
        <v>3</v>
      </c>
      <c r="H767" t="s">
        <v>58</v>
      </c>
      <c r="I767" t="s">
        <v>55</v>
      </c>
      <c r="J767" t="s">
        <v>38</v>
      </c>
      <c r="K767" t="s">
        <v>50</v>
      </c>
      <c r="L767">
        <v>44</v>
      </c>
      <c r="M767" t="s">
        <v>38</v>
      </c>
      <c r="N767" t="s">
        <v>56</v>
      </c>
      <c r="O767" t="s">
        <v>51</v>
      </c>
      <c r="P767" t="s">
        <v>38</v>
      </c>
      <c r="Q767" t="s">
        <v>52</v>
      </c>
      <c r="R767">
        <v>2821</v>
      </c>
      <c r="S767">
        <v>2997</v>
      </c>
      <c r="T767">
        <v>3</v>
      </c>
      <c r="U767" t="s">
        <v>46</v>
      </c>
      <c r="V767">
        <v>16</v>
      </c>
      <c r="W767" t="s">
        <v>43</v>
      </c>
      <c r="X767" t="s">
        <v>44</v>
      </c>
      <c r="Y767">
        <v>1</v>
      </c>
      <c r="Z767">
        <v>8</v>
      </c>
      <c r="AA767">
        <v>2</v>
      </c>
      <c r="AB767" t="s">
        <v>54</v>
      </c>
      <c r="AC767">
        <v>2</v>
      </c>
      <c r="AD767" t="str" cm="1">
        <f t="array" ref="AD767">_xlfn.IFS(AC767&lt;=5,"0-5",AC767&lt;=10,"5-10",AC767&lt;=40,"10-40")</f>
        <v>0-5</v>
      </c>
      <c r="AE767">
        <v>2</v>
      </c>
      <c r="AF767">
        <v>2</v>
      </c>
      <c r="AG767">
        <v>2</v>
      </c>
      <c r="AH767">
        <v>766</v>
      </c>
    </row>
    <row r="768" spans="1:34" x14ac:dyDescent="0.3">
      <c r="A768">
        <v>50</v>
      </c>
      <c r="B768" t="str" cm="1">
        <f t="array" ref="B768">_xlfn.IFS(A768&lt;=25,"18-25",A768&lt;=35,"26-35",A768&lt;=45,"36-45",A768&lt;=55,"46-55",A768&gt;55,"55+")</f>
        <v>46-55</v>
      </c>
      <c r="C768">
        <v>0</v>
      </c>
      <c r="D768" t="s">
        <v>32</v>
      </c>
      <c r="E768">
        <v>1464</v>
      </c>
      <c r="F768" t="s">
        <v>48</v>
      </c>
      <c r="G768">
        <v>2</v>
      </c>
      <c r="H768" t="s">
        <v>58</v>
      </c>
      <c r="I768" t="s">
        <v>59</v>
      </c>
      <c r="J768" t="s">
        <v>36</v>
      </c>
      <c r="K768" t="s">
        <v>50</v>
      </c>
      <c r="L768">
        <v>62</v>
      </c>
      <c r="M768" t="s">
        <v>38</v>
      </c>
      <c r="N768" t="s">
        <v>71</v>
      </c>
      <c r="O768" t="s">
        <v>70</v>
      </c>
      <c r="P768" t="s">
        <v>38</v>
      </c>
      <c r="Q768" t="s">
        <v>52</v>
      </c>
      <c r="R768">
        <v>19237</v>
      </c>
      <c r="S768">
        <v>12853</v>
      </c>
      <c r="T768">
        <v>2</v>
      </c>
      <c r="U768" t="s">
        <v>31</v>
      </c>
      <c r="V768">
        <v>11</v>
      </c>
      <c r="W768" t="s">
        <v>43</v>
      </c>
      <c r="X768" t="s">
        <v>41</v>
      </c>
      <c r="Y768">
        <v>1</v>
      </c>
      <c r="Z768">
        <v>29</v>
      </c>
      <c r="AA768">
        <v>2</v>
      </c>
      <c r="AB768" t="s">
        <v>60</v>
      </c>
      <c r="AC768">
        <v>8</v>
      </c>
      <c r="AD768" t="str" cm="1">
        <f t="array" ref="AD768">_xlfn.IFS(AC768&lt;=5,"0-5",AC768&lt;=10,"5-10",AC768&lt;=40,"10-40")</f>
        <v>5-10</v>
      </c>
      <c r="AE768">
        <v>1</v>
      </c>
      <c r="AF768">
        <v>7</v>
      </c>
      <c r="AG768">
        <v>7</v>
      </c>
      <c r="AH768">
        <v>767</v>
      </c>
    </row>
    <row r="769" spans="1:34" x14ac:dyDescent="0.3">
      <c r="A769">
        <v>37</v>
      </c>
      <c r="B769" t="str" cm="1">
        <f t="array" ref="B769">_xlfn.IFS(A769&lt;=25,"18-25",A769&lt;=35,"26-35",A769&lt;=45,"36-45",A769&lt;=55,"46-55",A769&gt;55,"55+")</f>
        <v>36-45</v>
      </c>
      <c r="C769">
        <v>0</v>
      </c>
      <c r="D769" t="s">
        <v>32</v>
      </c>
      <c r="E769">
        <v>124</v>
      </c>
      <c r="F769" t="s">
        <v>48</v>
      </c>
      <c r="G769">
        <v>3</v>
      </c>
      <c r="H769" t="s">
        <v>61</v>
      </c>
      <c r="I769" t="s">
        <v>55</v>
      </c>
      <c r="J769" t="s">
        <v>41</v>
      </c>
      <c r="K769" t="s">
        <v>37</v>
      </c>
      <c r="L769">
        <v>35</v>
      </c>
      <c r="M769" t="s">
        <v>38</v>
      </c>
      <c r="N769" t="s">
        <v>39</v>
      </c>
      <c r="O769" t="s">
        <v>65</v>
      </c>
      <c r="P769" t="s">
        <v>36</v>
      </c>
      <c r="Q769" t="s">
        <v>42</v>
      </c>
      <c r="R769">
        <v>4107</v>
      </c>
      <c r="S769">
        <v>13848</v>
      </c>
      <c r="T769">
        <v>3</v>
      </c>
      <c r="U769" t="s">
        <v>46</v>
      </c>
      <c r="V769">
        <v>15</v>
      </c>
      <c r="W769" t="s">
        <v>43</v>
      </c>
      <c r="X769" t="s">
        <v>44</v>
      </c>
      <c r="Y769">
        <v>0</v>
      </c>
      <c r="Z769">
        <v>8</v>
      </c>
      <c r="AA769">
        <v>3</v>
      </c>
      <c r="AB769" t="s">
        <v>60</v>
      </c>
      <c r="AC769">
        <v>4</v>
      </c>
      <c r="AD769" t="str" cm="1">
        <f t="array" ref="AD769">_xlfn.IFS(AC769&lt;=5,"0-5",AC769&lt;=10,"5-10",AC769&lt;=40,"10-40")</f>
        <v>0-5</v>
      </c>
      <c r="AE769">
        <v>3</v>
      </c>
      <c r="AF769">
        <v>0</v>
      </c>
      <c r="AG769">
        <v>1</v>
      </c>
      <c r="AH769">
        <v>768</v>
      </c>
    </row>
    <row r="770" spans="1:34" x14ac:dyDescent="0.3">
      <c r="A770">
        <v>40</v>
      </c>
      <c r="B770" t="str" cm="1">
        <f t="array" ref="B770">_xlfn.IFS(A770&lt;=25,"18-25",A770&lt;=35,"26-35",A770&lt;=45,"36-45",A770&lt;=55,"46-55",A770&gt;55,"55+")</f>
        <v>36-45</v>
      </c>
      <c r="C770">
        <v>0</v>
      </c>
      <c r="D770" t="s">
        <v>32</v>
      </c>
      <c r="E770">
        <v>300</v>
      </c>
      <c r="F770" t="s">
        <v>33</v>
      </c>
      <c r="G770">
        <v>26</v>
      </c>
      <c r="H770" t="s">
        <v>61</v>
      </c>
      <c r="I770" t="s">
        <v>72</v>
      </c>
      <c r="J770" t="s">
        <v>38</v>
      </c>
      <c r="K770" t="s">
        <v>50</v>
      </c>
      <c r="L770">
        <v>74</v>
      </c>
      <c r="M770" t="s">
        <v>38</v>
      </c>
      <c r="N770" t="s">
        <v>39</v>
      </c>
      <c r="O770" t="s">
        <v>40</v>
      </c>
      <c r="P770" t="s">
        <v>44</v>
      </c>
      <c r="Q770" t="s">
        <v>52</v>
      </c>
      <c r="R770">
        <v>8396</v>
      </c>
      <c r="S770">
        <v>22217</v>
      </c>
      <c r="T770">
        <v>1</v>
      </c>
      <c r="U770" t="s">
        <v>46</v>
      </c>
      <c r="V770">
        <v>14</v>
      </c>
      <c r="W770" t="s">
        <v>43</v>
      </c>
      <c r="X770" t="s">
        <v>36</v>
      </c>
      <c r="Y770">
        <v>1</v>
      </c>
      <c r="Z770">
        <v>8</v>
      </c>
      <c r="AA770">
        <v>3</v>
      </c>
      <c r="AB770" t="s">
        <v>60</v>
      </c>
      <c r="AC770">
        <v>7</v>
      </c>
      <c r="AD770" t="str" cm="1">
        <f t="array" ref="AD770">_xlfn.IFS(AC770&lt;=5,"0-5",AC770&lt;=10,"5-10",AC770&lt;=40,"10-40")</f>
        <v>5-10</v>
      </c>
      <c r="AE770">
        <v>7</v>
      </c>
      <c r="AF770">
        <v>7</v>
      </c>
      <c r="AG770">
        <v>5</v>
      </c>
      <c r="AH770">
        <v>769</v>
      </c>
    </row>
    <row r="771" spans="1:34" x14ac:dyDescent="0.3">
      <c r="A771">
        <v>26</v>
      </c>
      <c r="B771" t="str" cm="1">
        <f t="array" ref="B771">_xlfn.IFS(A771&lt;=25,"18-25",A771&lt;=35,"26-35",A771&lt;=45,"36-45",A771&lt;=55,"46-55",A771&gt;55,"55+")</f>
        <v>26-35</v>
      </c>
      <c r="C771">
        <v>0</v>
      </c>
      <c r="D771" t="s">
        <v>47</v>
      </c>
      <c r="E771">
        <v>921</v>
      </c>
      <c r="F771" t="s">
        <v>48</v>
      </c>
      <c r="G771">
        <v>1</v>
      </c>
      <c r="H771" t="s">
        <v>49</v>
      </c>
      <c r="I771" t="s">
        <v>59</v>
      </c>
      <c r="J771" t="s">
        <v>44</v>
      </c>
      <c r="K771" t="s">
        <v>37</v>
      </c>
      <c r="L771">
        <v>66</v>
      </c>
      <c r="M771" t="s">
        <v>36</v>
      </c>
      <c r="N771" t="s">
        <v>56</v>
      </c>
      <c r="O771" t="s">
        <v>51</v>
      </c>
      <c r="P771" t="s">
        <v>38</v>
      </c>
      <c r="Q771" t="s">
        <v>62</v>
      </c>
      <c r="R771">
        <v>2007</v>
      </c>
      <c r="S771">
        <v>25265</v>
      </c>
      <c r="T771">
        <v>1</v>
      </c>
      <c r="U771" t="s">
        <v>46</v>
      </c>
      <c r="V771">
        <v>13</v>
      </c>
      <c r="W771" t="s">
        <v>43</v>
      </c>
      <c r="X771" t="s">
        <v>38</v>
      </c>
      <c r="Y771">
        <v>2</v>
      </c>
      <c r="Z771">
        <v>5</v>
      </c>
      <c r="AA771">
        <v>5</v>
      </c>
      <c r="AB771" t="s">
        <v>54</v>
      </c>
      <c r="AC771">
        <v>5</v>
      </c>
      <c r="AD771" t="str" cm="1">
        <f t="array" ref="AD771">_xlfn.IFS(AC771&lt;=5,"0-5",AC771&lt;=10,"5-10",AC771&lt;=40,"10-40")</f>
        <v>0-5</v>
      </c>
      <c r="AE771">
        <v>3</v>
      </c>
      <c r="AF771">
        <v>1</v>
      </c>
      <c r="AG771">
        <v>3</v>
      </c>
      <c r="AH771">
        <v>770</v>
      </c>
    </row>
    <row r="772" spans="1:34" x14ac:dyDescent="0.3">
      <c r="A772">
        <v>46</v>
      </c>
      <c r="B772" t="str" cm="1">
        <f t="array" ref="B772">_xlfn.IFS(A772&lt;=25,"18-25",A772&lt;=35,"26-35",A772&lt;=45,"36-45",A772&lt;=55,"46-55",A772&gt;55,"55+")</f>
        <v>46-55</v>
      </c>
      <c r="C772">
        <v>0</v>
      </c>
      <c r="D772" t="s">
        <v>32</v>
      </c>
      <c r="E772">
        <v>430</v>
      </c>
      <c r="F772" t="s">
        <v>48</v>
      </c>
      <c r="G772">
        <v>1</v>
      </c>
      <c r="H772" t="s">
        <v>58</v>
      </c>
      <c r="I772" t="s">
        <v>59</v>
      </c>
      <c r="J772" t="s">
        <v>41</v>
      </c>
      <c r="K772" t="s">
        <v>50</v>
      </c>
      <c r="L772">
        <v>40</v>
      </c>
      <c r="M772" t="s">
        <v>38</v>
      </c>
      <c r="N772" t="s">
        <v>71</v>
      </c>
      <c r="O772" t="s">
        <v>70</v>
      </c>
      <c r="P772" t="s">
        <v>41</v>
      </c>
      <c r="Q772" t="s">
        <v>62</v>
      </c>
      <c r="R772">
        <v>19627</v>
      </c>
      <c r="S772">
        <v>21445</v>
      </c>
      <c r="T772">
        <v>9</v>
      </c>
      <c r="U772" t="s">
        <v>46</v>
      </c>
      <c r="V772">
        <v>17</v>
      </c>
      <c r="W772" t="s">
        <v>43</v>
      </c>
      <c r="X772" t="s">
        <v>41</v>
      </c>
      <c r="Y772">
        <v>2</v>
      </c>
      <c r="Z772">
        <v>23</v>
      </c>
      <c r="AA772">
        <v>0</v>
      </c>
      <c r="AB772" t="s">
        <v>54</v>
      </c>
      <c r="AC772">
        <v>2</v>
      </c>
      <c r="AD772" t="str" cm="1">
        <f t="array" ref="AD772">_xlfn.IFS(AC772&lt;=5,"0-5",AC772&lt;=10,"5-10",AC772&lt;=40,"10-40")</f>
        <v>0-5</v>
      </c>
      <c r="AE772">
        <v>2</v>
      </c>
      <c r="AF772">
        <v>2</v>
      </c>
      <c r="AG772">
        <v>2</v>
      </c>
      <c r="AH772">
        <v>771</v>
      </c>
    </row>
    <row r="773" spans="1:34" x14ac:dyDescent="0.3">
      <c r="A773">
        <v>54</v>
      </c>
      <c r="B773" t="str" cm="1">
        <f t="array" ref="B773">_xlfn.IFS(A773&lt;=25,"18-25",A773&lt;=35,"26-35",A773&lt;=45,"36-45",A773&lt;=55,"46-55",A773&gt;55,"55+")</f>
        <v>46-55</v>
      </c>
      <c r="C773">
        <v>0</v>
      </c>
      <c r="D773" t="s">
        <v>32</v>
      </c>
      <c r="E773">
        <v>1082</v>
      </c>
      <c r="F773" t="s">
        <v>33</v>
      </c>
      <c r="G773">
        <v>2</v>
      </c>
      <c r="H773" t="s">
        <v>58</v>
      </c>
      <c r="I773" t="s">
        <v>35</v>
      </c>
      <c r="J773" t="s">
        <v>38</v>
      </c>
      <c r="K773" t="s">
        <v>37</v>
      </c>
      <c r="L773">
        <v>41</v>
      </c>
      <c r="M773" t="s">
        <v>36</v>
      </c>
      <c r="N773" t="s">
        <v>63</v>
      </c>
      <c r="O773" t="s">
        <v>40</v>
      </c>
      <c r="P773" t="s">
        <v>38</v>
      </c>
      <c r="Q773" t="s">
        <v>52</v>
      </c>
      <c r="R773">
        <v>10686</v>
      </c>
      <c r="S773">
        <v>8392</v>
      </c>
      <c r="T773">
        <v>6</v>
      </c>
      <c r="U773" t="s">
        <v>46</v>
      </c>
      <c r="V773">
        <v>11</v>
      </c>
      <c r="W773" t="s">
        <v>43</v>
      </c>
      <c r="X773" t="s">
        <v>36</v>
      </c>
      <c r="Y773">
        <v>1</v>
      </c>
      <c r="Z773">
        <v>13</v>
      </c>
      <c r="AA773">
        <v>4</v>
      </c>
      <c r="AB773" t="s">
        <v>54</v>
      </c>
      <c r="AC773">
        <v>9</v>
      </c>
      <c r="AD773" t="str" cm="1">
        <f t="array" ref="AD773">_xlfn.IFS(AC773&lt;=5,"0-5",AC773&lt;=10,"5-10",AC773&lt;=40,"10-40")</f>
        <v>5-10</v>
      </c>
      <c r="AE773">
        <v>4</v>
      </c>
      <c r="AF773">
        <v>7</v>
      </c>
      <c r="AG773">
        <v>0</v>
      </c>
      <c r="AH773">
        <v>772</v>
      </c>
    </row>
    <row r="774" spans="1:34" x14ac:dyDescent="0.3">
      <c r="A774">
        <v>56</v>
      </c>
      <c r="B774" t="str" cm="1">
        <f t="array" ref="B774">_xlfn.IFS(A774&lt;=25,"18-25",A774&lt;=35,"26-35",A774&lt;=45,"36-45",A774&lt;=55,"46-55",A774&gt;55,"55+")</f>
        <v>55+</v>
      </c>
      <c r="C774">
        <v>0</v>
      </c>
      <c r="D774" t="s">
        <v>47</v>
      </c>
      <c r="E774">
        <v>1240</v>
      </c>
      <c r="F774" t="s">
        <v>48</v>
      </c>
      <c r="G774">
        <v>9</v>
      </c>
      <c r="H774" t="s">
        <v>61</v>
      </c>
      <c r="I774" t="s">
        <v>59</v>
      </c>
      <c r="J774" t="s">
        <v>44</v>
      </c>
      <c r="K774" t="s">
        <v>37</v>
      </c>
      <c r="L774">
        <v>63</v>
      </c>
      <c r="M774" t="s">
        <v>38</v>
      </c>
      <c r="N774" t="s">
        <v>56</v>
      </c>
      <c r="O774" t="s">
        <v>51</v>
      </c>
      <c r="P774" t="s">
        <v>38</v>
      </c>
      <c r="Q774" t="s">
        <v>52</v>
      </c>
      <c r="R774">
        <v>2942</v>
      </c>
      <c r="S774">
        <v>12154</v>
      </c>
      <c r="T774">
        <v>2</v>
      </c>
      <c r="U774" t="s">
        <v>46</v>
      </c>
      <c r="V774">
        <v>19</v>
      </c>
      <c r="W774" t="s">
        <v>43</v>
      </c>
      <c r="X774" t="s">
        <v>36</v>
      </c>
      <c r="Y774">
        <v>1</v>
      </c>
      <c r="Z774">
        <v>18</v>
      </c>
      <c r="AA774">
        <v>4</v>
      </c>
      <c r="AB774" t="s">
        <v>54</v>
      </c>
      <c r="AC774">
        <v>5</v>
      </c>
      <c r="AD774" t="str" cm="1">
        <f t="array" ref="AD774">_xlfn.IFS(AC774&lt;=5,"0-5",AC774&lt;=10,"5-10",AC774&lt;=40,"10-40")</f>
        <v>0-5</v>
      </c>
      <c r="AE774">
        <v>4</v>
      </c>
      <c r="AF774">
        <v>0</v>
      </c>
      <c r="AG774">
        <v>3</v>
      </c>
      <c r="AH774">
        <v>773</v>
      </c>
    </row>
    <row r="775" spans="1:34" x14ac:dyDescent="0.3">
      <c r="A775">
        <v>36</v>
      </c>
      <c r="B775" t="str" cm="1">
        <f t="array" ref="B775">_xlfn.IFS(A775&lt;=25,"18-25",A775&lt;=35,"26-35",A775&lt;=45,"36-45",A775&lt;=55,"46-55",A775&gt;55,"55+")</f>
        <v>36-45</v>
      </c>
      <c r="C775">
        <v>0</v>
      </c>
      <c r="D775" t="s">
        <v>32</v>
      </c>
      <c r="E775">
        <v>796</v>
      </c>
      <c r="F775" t="s">
        <v>48</v>
      </c>
      <c r="G775">
        <v>12</v>
      </c>
      <c r="H775" t="s">
        <v>75</v>
      </c>
      <c r="I775" t="s">
        <v>59</v>
      </c>
      <c r="J775" t="s">
        <v>41</v>
      </c>
      <c r="K775" t="s">
        <v>37</v>
      </c>
      <c r="L775">
        <v>51</v>
      </c>
      <c r="M775" t="s">
        <v>36</v>
      </c>
      <c r="N775" t="s">
        <v>63</v>
      </c>
      <c r="O775" t="s">
        <v>64</v>
      </c>
      <c r="P775" t="s">
        <v>41</v>
      </c>
      <c r="Q775" t="s">
        <v>42</v>
      </c>
      <c r="R775">
        <v>8858</v>
      </c>
      <c r="S775">
        <v>15669</v>
      </c>
      <c r="T775">
        <v>0</v>
      </c>
      <c r="U775" t="s">
        <v>46</v>
      </c>
      <c r="V775">
        <v>11</v>
      </c>
      <c r="W775" t="s">
        <v>43</v>
      </c>
      <c r="X775" t="s">
        <v>36</v>
      </c>
      <c r="Y775">
        <v>0</v>
      </c>
      <c r="Z775">
        <v>15</v>
      </c>
      <c r="AA775">
        <v>2</v>
      </c>
      <c r="AB775" t="s">
        <v>60</v>
      </c>
      <c r="AC775">
        <v>14</v>
      </c>
      <c r="AD775" t="str" cm="1">
        <f t="array" ref="AD775">_xlfn.IFS(AC775&lt;=5,"0-5",AC775&lt;=10,"5-10",AC775&lt;=40,"10-40")</f>
        <v>10-40</v>
      </c>
      <c r="AE775">
        <v>8</v>
      </c>
      <c r="AF775">
        <v>7</v>
      </c>
      <c r="AG775">
        <v>8</v>
      </c>
      <c r="AH775">
        <v>774</v>
      </c>
    </row>
    <row r="776" spans="1:34" x14ac:dyDescent="0.3">
      <c r="A776">
        <v>55</v>
      </c>
      <c r="B776" t="str" cm="1">
        <f t="array" ref="B776">_xlfn.IFS(A776&lt;=25,"18-25",A776&lt;=35,"26-35",A776&lt;=45,"36-45",A776&lt;=55,"46-55",A776&gt;55,"55+")</f>
        <v>46-55</v>
      </c>
      <c r="C776">
        <v>0</v>
      </c>
      <c r="D776" t="s">
        <v>66</v>
      </c>
      <c r="E776">
        <v>444</v>
      </c>
      <c r="F776" t="s">
        <v>48</v>
      </c>
      <c r="G776">
        <v>2</v>
      </c>
      <c r="H776" t="s">
        <v>49</v>
      </c>
      <c r="I776" t="s">
        <v>59</v>
      </c>
      <c r="J776" t="s">
        <v>38</v>
      </c>
      <c r="K776" t="s">
        <v>50</v>
      </c>
      <c r="L776">
        <v>40</v>
      </c>
      <c r="M776" t="s">
        <v>36</v>
      </c>
      <c r="N776" t="s">
        <v>67</v>
      </c>
      <c r="O776" t="s">
        <v>68</v>
      </c>
      <c r="P776" t="s">
        <v>44</v>
      </c>
      <c r="Q776" t="s">
        <v>42</v>
      </c>
      <c r="R776">
        <v>16756</v>
      </c>
      <c r="S776">
        <v>17323</v>
      </c>
      <c r="T776">
        <v>7</v>
      </c>
      <c r="U776" t="s">
        <v>46</v>
      </c>
      <c r="V776">
        <v>15</v>
      </c>
      <c r="W776" t="s">
        <v>43</v>
      </c>
      <c r="X776" t="s">
        <v>36</v>
      </c>
      <c r="Y776">
        <v>0</v>
      </c>
      <c r="Z776">
        <v>31</v>
      </c>
      <c r="AA776">
        <v>3</v>
      </c>
      <c r="AB776" t="s">
        <v>73</v>
      </c>
      <c r="AC776">
        <v>9</v>
      </c>
      <c r="AD776" t="str" cm="1">
        <f t="array" ref="AD776">_xlfn.IFS(AC776&lt;=5,"0-5",AC776&lt;=10,"5-10",AC776&lt;=40,"10-40")</f>
        <v>5-10</v>
      </c>
      <c r="AE776">
        <v>7</v>
      </c>
      <c r="AF776">
        <v>6</v>
      </c>
      <c r="AG776">
        <v>2</v>
      </c>
      <c r="AH776">
        <v>775</v>
      </c>
    </row>
    <row r="777" spans="1:34" x14ac:dyDescent="0.3">
      <c r="A777">
        <v>43</v>
      </c>
      <c r="B777" t="str" cm="1">
        <f t="array" ref="B777">_xlfn.IFS(A777&lt;=25,"18-25",A777&lt;=35,"26-35",A777&lt;=45,"36-45",A777&lt;=55,"46-55",A777&gt;55,"55+")</f>
        <v>36-45</v>
      </c>
      <c r="C777">
        <v>0</v>
      </c>
      <c r="D777" t="s">
        <v>32</v>
      </c>
      <c r="E777">
        <v>415</v>
      </c>
      <c r="F777" t="s">
        <v>33</v>
      </c>
      <c r="G777">
        <v>25</v>
      </c>
      <c r="H777" t="s">
        <v>61</v>
      </c>
      <c r="I777" t="s">
        <v>59</v>
      </c>
      <c r="J777" t="s">
        <v>38</v>
      </c>
      <c r="K777" t="s">
        <v>50</v>
      </c>
      <c r="L777">
        <v>79</v>
      </c>
      <c r="M777" t="s">
        <v>36</v>
      </c>
      <c r="N777" t="s">
        <v>63</v>
      </c>
      <c r="O777" t="s">
        <v>40</v>
      </c>
      <c r="P777" t="s">
        <v>41</v>
      </c>
      <c r="Q777" t="s">
        <v>62</v>
      </c>
      <c r="R777">
        <v>10798</v>
      </c>
      <c r="S777">
        <v>5268</v>
      </c>
      <c r="T777">
        <v>5</v>
      </c>
      <c r="U777" t="s">
        <v>46</v>
      </c>
      <c r="V777">
        <v>13</v>
      </c>
      <c r="W777" t="s">
        <v>43</v>
      </c>
      <c r="X777" t="s">
        <v>38</v>
      </c>
      <c r="Y777">
        <v>1</v>
      </c>
      <c r="Z777">
        <v>18</v>
      </c>
      <c r="AA777">
        <v>5</v>
      </c>
      <c r="AB777" t="s">
        <v>54</v>
      </c>
      <c r="AC777">
        <v>1</v>
      </c>
      <c r="AD777" t="str" cm="1">
        <f t="array" ref="AD777">_xlfn.IFS(AC777&lt;=5,"0-5",AC777&lt;=10,"5-10",AC777&lt;=40,"10-40")</f>
        <v>0-5</v>
      </c>
      <c r="AE777">
        <v>0</v>
      </c>
      <c r="AF777">
        <v>0</v>
      </c>
      <c r="AG777">
        <v>0</v>
      </c>
      <c r="AH777">
        <v>776</v>
      </c>
    </row>
    <row r="778" spans="1:34" x14ac:dyDescent="0.3">
      <c r="A778">
        <v>20</v>
      </c>
      <c r="B778" t="str" cm="1">
        <f t="array" ref="B778">_xlfn.IFS(A778&lt;=25,"18-25",A778&lt;=35,"26-35",A778&lt;=45,"36-45",A778&lt;=55,"46-55",A778&gt;55,"55+")</f>
        <v>18-25</v>
      </c>
      <c r="C778">
        <v>1</v>
      </c>
      <c r="D778" t="s">
        <v>47</v>
      </c>
      <c r="E778">
        <v>769</v>
      </c>
      <c r="F778" t="s">
        <v>33</v>
      </c>
      <c r="G778">
        <v>9</v>
      </c>
      <c r="H778" t="s">
        <v>61</v>
      </c>
      <c r="I778" t="s">
        <v>72</v>
      </c>
      <c r="J778" t="s">
        <v>41</v>
      </c>
      <c r="K778" t="s">
        <v>37</v>
      </c>
      <c r="L778">
        <v>54</v>
      </c>
      <c r="M778" t="s">
        <v>38</v>
      </c>
      <c r="N778" t="s">
        <v>56</v>
      </c>
      <c r="O778" t="s">
        <v>69</v>
      </c>
      <c r="P778" t="s">
        <v>41</v>
      </c>
      <c r="Q778" t="s">
        <v>42</v>
      </c>
      <c r="R778">
        <v>2323</v>
      </c>
      <c r="S778">
        <v>17205</v>
      </c>
      <c r="T778">
        <v>1</v>
      </c>
      <c r="U778" t="s">
        <v>31</v>
      </c>
      <c r="V778">
        <v>14</v>
      </c>
      <c r="W778" t="s">
        <v>43</v>
      </c>
      <c r="X778" t="s">
        <v>36</v>
      </c>
      <c r="Y778">
        <v>0</v>
      </c>
      <c r="Z778">
        <v>2</v>
      </c>
      <c r="AA778">
        <v>3</v>
      </c>
      <c r="AB778" t="s">
        <v>54</v>
      </c>
      <c r="AC778">
        <v>2</v>
      </c>
      <c r="AD778" t="str" cm="1">
        <f t="array" ref="AD778">_xlfn.IFS(AC778&lt;=5,"0-5",AC778&lt;=10,"5-10",AC778&lt;=40,"10-40")</f>
        <v>0-5</v>
      </c>
      <c r="AE778">
        <v>2</v>
      </c>
      <c r="AF778">
        <v>0</v>
      </c>
      <c r="AG778">
        <v>2</v>
      </c>
      <c r="AH778">
        <v>777</v>
      </c>
    </row>
    <row r="779" spans="1:34" x14ac:dyDescent="0.3">
      <c r="A779">
        <v>21</v>
      </c>
      <c r="B779" t="str" cm="1">
        <f t="array" ref="B779">_xlfn.IFS(A779&lt;=25,"18-25",A779&lt;=35,"26-35",A779&lt;=45,"36-45",A779&lt;=55,"46-55",A779&gt;55,"55+")</f>
        <v>18-25</v>
      </c>
      <c r="C779">
        <v>1</v>
      </c>
      <c r="D779" t="s">
        <v>32</v>
      </c>
      <c r="E779">
        <v>1334</v>
      </c>
      <c r="F779" t="s">
        <v>48</v>
      </c>
      <c r="G779">
        <v>10</v>
      </c>
      <c r="H779" t="s">
        <v>61</v>
      </c>
      <c r="I779" t="s">
        <v>35</v>
      </c>
      <c r="J779" t="s">
        <v>38</v>
      </c>
      <c r="K779" t="s">
        <v>37</v>
      </c>
      <c r="L779">
        <v>36</v>
      </c>
      <c r="M779" t="s">
        <v>36</v>
      </c>
      <c r="N779" t="s">
        <v>56</v>
      </c>
      <c r="O779" t="s">
        <v>57</v>
      </c>
      <c r="P779" t="s">
        <v>44</v>
      </c>
      <c r="Q779" t="s">
        <v>42</v>
      </c>
      <c r="R779">
        <v>1416</v>
      </c>
      <c r="S779">
        <v>17258</v>
      </c>
      <c r="T779">
        <v>1</v>
      </c>
      <c r="U779" t="s">
        <v>46</v>
      </c>
      <c r="V779">
        <v>13</v>
      </c>
      <c r="W779" t="s">
        <v>43</v>
      </c>
      <c r="X779" t="s">
        <v>44</v>
      </c>
      <c r="Y779">
        <v>0</v>
      </c>
      <c r="Z779">
        <v>1</v>
      </c>
      <c r="AA779">
        <v>6</v>
      </c>
      <c r="AB779" t="s">
        <v>60</v>
      </c>
      <c r="AC779">
        <v>1</v>
      </c>
      <c r="AD779" t="str" cm="1">
        <f t="array" ref="AD779">_xlfn.IFS(AC779&lt;=5,"0-5",AC779&lt;=10,"5-10",AC779&lt;=40,"10-40")</f>
        <v>0-5</v>
      </c>
      <c r="AE779">
        <v>0</v>
      </c>
      <c r="AF779">
        <v>1</v>
      </c>
      <c r="AG779">
        <v>0</v>
      </c>
      <c r="AH779">
        <v>778</v>
      </c>
    </row>
    <row r="780" spans="1:34" x14ac:dyDescent="0.3">
      <c r="A780">
        <v>46</v>
      </c>
      <c r="B780" t="str" cm="1">
        <f t="array" ref="B780">_xlfn.IFS(A780&lt;=25,"18-25",A780&lt;=35,"26-35",A780&lt;=45,"36-45",A780&lt;=55,"46-55",A780&gt;55,"55+")</f>
        <v>46-55</v>
      </c>
      <c r="C780">
        <v>0</v>
      </c>
      <c r="D780" t="s">
        <v>32</v>
      </c>
      <c r="E780">
        <v>1003</v>
      </c>
      <c r="F780" t="s">
        <v>48</v>
      </c>
      <c r="G780">
        <v>8</v>
      </c>
      <c r="H780" t="s">
        <v>58</v>
      </c>
      <c r="I780" t="s">
        <v>35</v>
      </c>
      <c r="J780" t="s">
        <v>41</v>
      </c>
      <c r="K780" t="s">
        <v>37</v>
      </c>
      <c r="L780">
        <v>74</v>
      </c>
      <c r="M780" t="s">
        <v>36</v>
      </c>
      <c r="N780" t="s">
        <v>39</v>
      </c>
      <c r="O780" t="s">
        <v>51</v>
      </c>
      <c r="P780" t="s">
        <v>44</v>
      </c>
      <c r="Q780" t="s">
        <v>62</v>
      </c>
      <c r="R780">
        <v>4615</v>
      </c>
      <c r="S780">
        <v>21029</v>
      </c>
      <c r="T780">
        <v>8</v>
      </c>
      <c r="U780" t="s">
        <v>31</v>
      </c>
      <c r="V780">
        <v>23</v>
      </c>
      <c r="W780" t="s">
        <v>53</v>
      </c>
      <c r="X780" t="s">
        <v>44</v>
      </c>
      <c r="Y780">
        <v>3</v>
      </c>
      <c r="Z780">
        <v>19</v>
      </c>
      <c r="AA780">
        <v>2</v>
      </c>
      <c r="AB780" t="s">
        <v>54</v>
      </c>
      <c r="AC780">
        <v>16</v>
      </c>
      <c r="AD780" t="str" cm="1">
        <f t="array" ref="AD780">_xlfn.IFS(AC780&lt;=5,"0-5",AC780&lt;=10,"5-10",AC780&lt;=40,"10-40")</f>
        <v>10-40</v>
      </c>
      <c r="AE780">
        <v>13</v>
      </c>
      <c r="AF780">
        <v>1</v>
      </c>
      <c r="AG780">
        <v>7</v>
      </c>
      <c r="AH780">
        <v>779</v>
      </c>
    </row>
    <row r="781" spans="1:34" x14ac:dyDescent="0.3">
      <c r="A781">
        <v>51</v>
      </c>
      <c r="B781" t="str" cm="1">
        <f t="array" ref="B781">_xlfn.IFS(A781&lt;=25,"18-25",A781&lt;=35,"26-35",A781&lt;=45,"36-45",A781&lt;=55,"46-55",A781&gt;55,"55+")</f>
        <v>46-55</v>
      </c>
      <c r="C781">
        <v>1</v>
      </c>
      <c r="D781" t="s">
        <v>32</v>
      </c>
      <c r="E781">
        <v>1323</v>
      </c>
      <c r="F781" t="s">
        <v>48</v>
      </c>
      <c r="G781">
        <v>4</v>
      </c>
      <c r="H781" t="s">
        <v>58</v>
      </c>
      <c r="I781" t="s">
        <v>35</v>
      </c>
      <c r="J781" t="s">
        <v>44</v>
      </c>
      <c r="K781" t="s">
        <v>50</v>
      </c>
      <c r="L781">
        <v>34</v>
      </c>
      <c r="M781" t="s">
        <v>38</v>
      </c>
      <c r="N781" t="s">
        <v>56</v>
      </c>
      <c r="O781" t="s">
        <v>51</v>
      </c>
      <c r="P781" t="s">
        <v>38</v>
      </c>
      <c r="Q781" t="s">
        <v>52</v>
      </c>
      <c r="R781">
        <v>2461</v>
      </c>
      <c r="S781">
        <v>10332</v>
      </c>
      <c r="T781">
        <v>9</v>
      </c>
      <c r="U781" t="s">
        <v>31</v>
      </c>
      <c r="V781">
        <v>12</v>
      </c>
      <c r="W781" t="s">
        <v>43</v>
      </c>
      <c r="X781" t="s">
        <v>38</v>
      </c>
      <c r="Y781">
        <v>3</v>
      </c>
      <c r="Z781">
        <v>18</v>
      </c>
      <c r="AA781">
        <v>2</v>
      </c>
      <c r="AB781" t="s">
        <v>73</v>
      </c>
      <c r="AC781">
        <v>10</v>
      </c>
      <c r="AD781" t="str" cm="1">
        <f t="array" ref="AD781">_xlfn.IFS(AC781&lt;=5,"0-5",AC781&lt;=10,"5-10",AC781&lt;=40,"10-40")</f>
        <v>5-10</v>
      </c>
      <c r="AE781">
        <v>0</v>
      </c>
      <c r="AF781">
        <v>2</v>
      </c>
      <c r="AG781">
        <v>7</v>
      </c>
      <c r="AH781">
        <v>780</v>
      </c>
    </row>
    <row r="782" spans="1:34" x14ac:dyDescent="0.3">
      <c r="A782">
        <v>28</v>
      </c>
      <c r="B782" t="str" cm="1">
        <f t="array" ref="B782">_xlfn.IFS(A782&lt;=25,"18-25",A782&lt;=35,"26-35",A782&lt;=45,"36-45",A782&lt;=55,"46-55",A782&gt;55,"55+")</f>
        <v>26-35</v>
      </c>
      <c r="C782">
        <v>1</v>
      </c>
      <c r="D782" t="s">
        <v>66</v>
      </c>
      <c r="E782">
        <v>1366</v>
      </c>
      <c r="F782" t="s">
        <v>48</v>
      </c>
      <c r="G782">
        <v>24</v>
      </c>
      <c r="H782" t="s">
        <v>34</v>
      </c>
      <c r="I782" t="s">
        <v>74</v>
      </c>
      <c r="J782" t="s">
        <v>36</v>
      </c>
      <c r="K782" t="s">
        <v>50</v>
      </c>
      <c r="L782">
        <v>72</v>
      </c>
      <c r="M782" t="s">
        <v>36</v>
      </c>
      <c r="N782" t="s">
        <v>63</v>
      </c>
      <c r="O782" t="s">
        <v>65</v>
      </c>
      <c r="P782" t="s">
        <v>44</v>
      </c>
      <c r="Q782" t="s">
        <v>42</v>
      </c>
      <c r="R782">
        <v>8722</v>
      </c>
      <c r="S782">
        <v>12355</v>
      </c>
      <c r="T782">
        <v>1</v>
      </c>
      <c r="U782" t="s">
        <v>46</v>
      </c>
      <c r="V782">
        <v>12</v>
      </c>
      <c r="W782" t="s">
        <v>43</v>
      </c>
      <c r="X782" t="s">
        <v>44</v>
      </c>
      <c r="Y782">
        <v>0</v>
      </c>
      <c r="Z782">
        <v>10</v>
      </c>
      <c r="AA782">
        <v>2</v>
      </c>
      <c r="AB782" t="s">
        <v>60</v>
      </c>
      <c r="AC782">
        <v>10</v>
      </c>
      <c r="AD782" t="str" cm="1">
        <f t="array" ref="AD782">_xlfn.IFS(AC782&lt;=5,"0-5",AC782&lt;=10,"5-10",AC782&lt;=40,"10-40")</f>
        <v>5-10</v>
      </c>
      <c r="AE782">
        <v>7</v>
      </c>
      <c r="AF782">
        <v>1</v>
      </c>
      <c r="AG782">
        <v>9</v>
      </c>
      <c r="AH782">
        <v>781</v>
      </c>
    </row>
    <row r="783" spans="1:34" x14ac:dyDescent="0.3">
      <c r="A783">
        <v>26</v>
      </c>
      <c r="B783" t="str" cm="1">
        <f t="array" ref="B783">_xlfn.IFS(A783&lt;=25,"18-25",A783&lt;=35,"26-35",A783&lt;=45,"36-45",A783&lt;=55,"46-55",A783&gt;55,"55+")</f>
        <v>26-35</v>
      </c>
      <c r="C783">
        <v>0</v>
      </c>
      <c r="D783" t="s">
        <v>32</v>
      </c>
      <c r="E783">
        <v>192</v>
      </c>
      <c r="F783" t="s">
        <v>48</v>
      </c>
      <c r="G783">
        <v>1</v>
      </c>
      <c r="H783" t="s">
        <v>34</v>
      </c>
      <c r="I783" t="s">
        <v>59</v>
      </c>
      <c r="J783" t="s">
        <v>44</v>
      </c>
      <c r="K783" t="s">
        <v>50</v>
      </c>
      <c r="L783">
        <v>59</v>
      </c>
      <c r="M783" t="s">
        <v>36</v>
      </c>
      <c r="N783" t="s">
        <v>56</v>
      </c>
      <c r="O783" t="s">
        <v>57</v>
      </c>
      <c r="P783" t="s">
        <v>44</v>
      </c>
      <c r="Q783" t="s">
        <v>52</v>
      </c>
      <c r="R783">
        <v>3955</v>
      </c>
      <c r="S783">
        <v>11141</v>
      </c>
      <c r="T783">
        <v>1</v>
      </c>
      <c r="U783" t="s">
        <v>46</v>
      </c>
      <c r="V783">
        <v>16</v>
      </c>
      <c r="W783" t="s">
        <v>43</v>
      </c>
      <c r="X783" t="s">
        <v>44</v>
      </c>
      <c r="Y783">
        <v>2</v>
      </c>
      <c r="Z783">
        <v>6</v>
      </c>
      <c r="AA783">
        <v>2</v>
      </c>
      <c r="AB783" t="s">
        <v>54</v>
      </c>
      <c r="AC783">
        <v>5</v>
      </c>
      <c r="AD783" t="str" cm="1">
        <f t="array" ref="AD783">_xlfn.IFS(AC783&lt;=5,"0-5",AC783&lt;=10,"5-10",AC783&lt;=40,"10-40")</f>
        <v>0-5</v>
      </c>
      <c r="AE783">
        <v>3</v>
      </c>
      <c r="AF783">
        <v>1</v>
      </c>
      <c r="AG783">
        <v>3</v>
      </c>
      <c r="AH783">
        <v>782</v>
      </c>
    </row>
    <row r="784" spans="1:34" x14ac:dyDescent="0.3">
      <c r="A784">
        <v>30</v>
      </c>
      <c r="B784" t="str" cm="1">
        <f t="array" ref="B784">_xlfn.IFS(A784&lt;=25,"18-25",A784&lt;=35,"26-35",A784&lt;=45,"36-45",A784&lt;=55,"46-55",A784&gt;55,"55+")</f>
        <v>26-35</v>
      </c>
      <c r="C784">
        <v>0</v>
      </c>
      <c r="D784" t="s">
        <v>32</v>
      </c>
      <c r="E784">
        <v>1176</v>
      </c>
      <c r="F784" t="s">
        <v>48</v>
      </c>
      <c r="G784">
        <v>20</v>
      </c>
      <c r="H784" t="s">
        <v>61</v>
      </c>
      <c r="I784" t="s">
        <v>55</v>
      </c>
      <c r="J784" t="s">
        <v>38</v>
      </c>
      <c r="K784" t="s">
        <v>50</v>
      </c>
      <c r="L784">
        <v>85</v>
      </c>
      <c r="M784" t="s">
        <v>38</v>
      </c>
      <c r="N784" t="s">
        <v>39</v>
      </c>
      <c r="O784" t="s">
        <v>64</v>
      </c>
      <c r="P784" t="s">
        <v>44</v>
      </c>
      <c r="Q784" t="s">
        <v>52</v>
      </c>
      <c r="R784">
        <v>9957</v>
      </c>
      <c r="S784">
        <v>9096</v>
      </c>
      <c r="T784">
        <v>0</v>
      </c>
      <c r="U784" t="s">
        <v>46</v>
      </c>
      <c r="V784">
        <v>15</v>
      </c>
      <c r="W784" t="s">
        <v>43</v>
      </c>
      <c r="X784" t="s">
        <v>38</v>
      </c>
      <c r="Y784">
        <v>1</v>
      </c>
      <c r="Z784">
        <v>7</v>
      </c>
      <c r="AA784">
        <v>1</v>
      </c>
      <c r="AB784" t="s">
        <v>60</v>
      </c>
      <c r="AC784">
        <v>6</v>
      </c>
      <c r="AD784" t="str" cm="1">
        <f t="array" ref="AD784">_xlfn.IFS(AC784&lt;=5,"0-5",AC784&lt;=10,"5-10",AC784&lt;=40,"10-40")</f>
        <v>5-10</v>
      </c>
      <c r="AE784">
        <v>2</v>
      </c>
      <c r="AF784">
        <v>0</v>
      </c>
      <c r="AG784">
        <v>2</v>
      </c>
      <c r="AH784">
        <v>783</v>
      </c>
    </row>
    <row r="785" spans="1:34" x14ac:dyDescent="0.3">
      <c r="A785">
        <v>41</v>
      </c>
      <c r="B785" t="str" cm="1">
        <f t="array" ref="B785">_xlfn.IFS(A785&lt;=25,"18-25",A785&lt;=35,"26-35",A785&lt;=45,"36-45",A785&lt;=55,"46-55",A785&gt;55,"55+")</f>
        <v>36-45</v>
      </c>
      <c r="C785">
        <v>0</v>
      </c>
      <c r="D785" t="s">
        <v>32</v>
      </c>
      <c r="E785">
        <v>509</v>
      </c>
      <c r="F785" t="s">
        <v>48</v>
      </c>
      <c r="G785">
        <v>7</v>
      </c>
      <c r="H785" t="s">
        <v>34</v>
      </c>
      <c r="I785" t="s">
        <v>74</v>
      </c>
      <c r="J785" t="s">
        <v>36</v>
      </c>
      <c r="K785" t="s">
        <v>37</v>
      </c>
      <c r="L785">
        <v>43</v>
      </c>
      <c r="M785" t="s">
        <v>41</v>
      </c>
      <c r="N785" t="s">
        <v>56</v>
      </c>
      <c r="O785" t="s">
        <v>51</v>
      </c>
      <c r="P785" t="s">
        <v>38</v>
      </c>
      <c r="Q785" t="s">
        <v>52</v>
      </c>
      <c r="R785">
        <v>3376</v>
      </c>
      <c r="S785">
        <v>18863</v>
      </c>
      <c r="T785">
        <v>1</v>
      </c>
      <c r="U785" t="s">
        <v>46</v>
      </c>
      <c r="V785">
        <v>13</v>
      </c>
      <c r="W785" t="s">
        <v>43</v>
      </c>
      <c r="X785" t="s">
        <v>38</v>
      </c>
      <c r="Y785">
        <v>0</v>
      </c>
      <c r="Z785">
        <v>10</v>
      </c>
      <c r="AA785">
        <v>3</v>
      </c>
      <c r="AB785" t="s">
        <v>54</v>
      </c>
      <c r="AC785">
        <v>10</v>
      </c>
      <c r="AD785" t="str" cm="1">
        <f t="array" ref="AD785">_xlfn.IFS(AC785&lt;=5,"0-5",AC785&lt;=10,"5-10",AC785&lt;=40,"10-40")</f>
        <v>5-10</v>
      </c>
      <c r="AE785">
        <v>6</v>
      </c>
      <c r="AF785">
        <v>0</v>
      </c>
      <c r="AG785">
        <v>8</v>
      </c>
      <c r="AH785">
        <v>784</v>
      </c>
    </row>
    <row r="786" spans="1:34" x14ac:dyDescent="0.3">
      <c r="A786">
        <v>38</v>
      </c>
      <c r="B786" t="str" cm="1">
        <f t="array" ref="B786">_xlfn.IFS(A786&lt;=25,"18-25",A786&lt;=35,"26-35",A786&lt;=45,"36-45",A786&lt;=55,"46-55",A786&gt;55,"55+")</f>
        <v>36-45</v>
      </c>
      <c r="C786">
        <v>0</v>
      </c>
      <c r="D786" t="s">
        <v>32</v>
      </c>
      <c r="E786">
        <v>330</v>
      </c>
      <c r="F786" t="s">
        <v>48</v>
      </c>
      <c r="G786">
        <v>17</v>
      </c>
      <c r="H786" t="s">
        <v>49</v>
      </c>
      <c r="I786" t="s">
        <v>35</v>
      </c>
      <c r="J786" t="s">
        <v>38</v>
      </c>
      <c r="K786" t="s">
        <v>37</v>
      </c>
      <c r="L786">
        <v>65</v>
      </c>
      <c r="M786" t="s">
        <v>36</v>
      </c>
      <c r="N786" t="s">
        <v>63</v>
      </c>
      <c r="O786" t="s">
        <v>65</v>
      </c>
      <c r="P786" t="s">
        <v>38</v>
      </c>
      <c r="Q786" t="s">
        <v>52</v>
      </c>
      <c r="R786">
        <v>8823</v>
      </c>
      <c r="S786">
        <v>24608</v>
      </c>
      <c r="T786">
        <v>0</v>
      </c>
      <c r="U786" t="s">
        <v>46</v>
      </c>
      <c r="V786">
        <v>18</v>
      </c>
      <c r="W786" t="s">
        <v>43</v>
      </c>
      <c r="X786" t="s">
        <v>44</v>
      </c>
      <c r="Y786">
        <v>1</v>
      </c>
      <c r="Z786">
        <v>20</v>
      </c>
      <c r="AA786">
        <v>4</v>
      </c>
      <c r="AB786" t="s">
        <v>60</v>
      </c>
      <c r="AC786">
        <v>19</v>
      </c>
      <c r="AD786" t="str" cm="1">
        <f t="array" ref="AD786">_xlfn.IFS(AC786&lt;=5,"0-5",AC786&lt;=10,"5-10",AC786&lt;=40,"10-40")</f>
        <v>10-40</v>
      </c>
      <c r="AE786">
        <v>9</v>
      </c>
      <c r="AF786">
        <v>1</v>
      </c>
      <c r="AG786">
        <v>9</v>
      </c>
      <c r="AH786">
        <v>785</v>
      </c>
    </row>
    <row r="787" spans="1:34" x14ac:dyDescent="0.3">
      <c r="A787">
        <v>40</v>
      </c>
      <c r="B787" t="str" cm="1">
        <f t="array" ref="B787">_xlfn.IFS(A787&lt;=25,"18-25",A787&lt;=35,"26-35",A787&lt;=45,"36-45",A787&lt;=55,"46-55",A787&gt;55,"55+")</f>
        <v>36-45</v>
      </c>
      <c r="C787">
        <v>0</v>
      </c>
      <c r="D787" t="s">
        <v>32</v>
      </c>
      <c r="E787">
        <v>1492</v>
      </c>
      <c r="F787" t="s">
        <v>48</v>
      </c>
      <c r="G787">
        <v>20</v>
      </c>
      <c r="H787" t="s">
        <v>58</v>
      </c>
      <c r="I787" t="s">
        <v>74</v>
      </c>
      <c r="J787" t="s">
        <v>44</v>
      </c>
      <c r="K787" t="s">
        <v>50</v>
      </c>
      <c r="L787">
        <v>61</v>
      </c>
      <c r="M787" t="s">
        <v>38</v>
      </c>
      <c r="N787" t="s">
        <v>63</v>
      </c>
      <c r="O787" t="s">
        <v>65</v>
      </c>
      <c r="P787" t="s">
        <v>41</v>
      </c>
      <c r="Q787" t="s">
        <v>52</v>
      </c>
      <c r="R787">
        <v>10322</v>
      </c>
      <c r="S787">
        <v>26542</v>
      </c>
      <c r="T787">
        <v>4</v>
      </c>
      <c r="U787" t="s">
        <v>46</v>
      </c>
      <c r="V787">
        <v>20</v>
      </c>
      <c r="W787" t="s">
        <v>53</v>
      </c>
      <c r="X787" t="s">
        <v>41</v>
      </c>
      <c r="Y787">
        <v>1</v>
      </c>
      <c r="Z787">
        <v>14</v>
      </c>
      <c r="AA787">
        <v>6</v>
      </c>
      <c r="AB787" t="s">
        <v>54</v>
      </c>
      <c r="AC787">
        <v>11</v>
      </c>
      <c r="AD787" t="str" cm="1">
        <f t="array" ref="AD787">_xlfn.IFS(AC787&lt;=5,"0-5",AC787&lt;=10,"5-10",AC787&lt;=40,"10-40")</f>
        <v>10-40</v>
      </c>
      <c r="AE787">
        <v>10</v>
      </c>
      <c r="AF787">
        <v>11</v>
      </c>
      <c r="AG787">
        <v>1</v>
      </c>
      <c r="AH787">
        <v>786</v>
      </c>
    </row>
    <row r="788" spans="1:34" x14ac:dyDescent="0.3">
      <c r="A788">
        <v>27</v>
      </c>
      <c r="B788" t="str" cm="1">
        <f t="array" ref="B788">_xlfn.IFS(A788&lt;=25,"18-25",A788&lt;=35,"26-35",A788&lt;=45,"36-45",A788&lt;=55,"46-55",A788&gt;55,"55+")</f>
        <v>26-35</v>
      </c>
      <c r="C788">
        <v>0</v>
      </c>
      <c r="D788" t="s">
        <v>66</v>
      </c>
      <c r="E788">
        <v>1277</v>
      </c>
      <c r="F788" t="s">
        <v>48</v>
      </c>
      <c r="G788">
        <v>8</v>
      </c>
      <c r="H788" t="s">
        <v>75</v>
      </c>
      <c r="I788" t="s">
        <v>35</v>
      </c>
      <c r="J788" t="s">
        <v>44</v>
      </c>
      <c r="K788" t="s">
        <v>50</v>
      </c>
      <c r="L788">
        <v>87</v>
      </c>
      <c r="M788" t="s">
        <v>44</v>
      </c>
      <c r="N788" t="s">
        <v>56</v>
      </c>
      <c r="O788" t="s">
        <v>57</v>
      </c>
      <c r="P788" t="s">
        <v>38</v>
      </c>
      <c r="Q788" t="s">
        <v>52</v>
      </c>
      <c r="R788">
        <v>4621</v>
      </c>
      <c r="S788">
        <v>5869</v>
      </c>
      <c r="T788">
        <v>1</v>
      </c>
      <c r="U788" t="s">
        <v>46</v>
      </c>
      <c r="V788">
        <v>19</v>
      </c>
      <c r="W788" t="s">
        <v>43</v>
      </c>
      <c r="X788" t="s">
        <v>41</v>
      </c>
      <c r="Y788">
        <v>3</v>
      </c>
      <c r="Z788">
        <v>3</v>
      </c>
      <c r="AA788">
        <v>4</v>
      </c>
      <c r="AB788" t="s">
        <v>54</v>
      </c>
      <c r="AC788">
        <v>3</v>
      </c>
      <c r="AD788" t="str" cm="1">
        <f t="array" ref="AD788">_xlfn.IFS(AC788&lt;=5,"0-5",AC788&lt;=10,"5-10",AC788&lt;=40,"10-40")</f>
        <v>0-5</v>
      </c>
      <c r="AE788">
        <v>2</v>
      </c>
      <c r="AF788">
        <v>1</v>
      </c>
      <c r="AG788">
        <v>2</v>
      </c>
      <c r="AH788">
        <v>787</v>
      </c>
    </row>
    <row r="789" spans="1:34" x14ac:dyDescent="0.3">
      <c r="A789">
        <v>55</v>
      </c>
      <c r="B789" t="str" cm="1">
        <f t="array" ref="B789">_xlfn.IFS(A789&lt;=25,"18-25",A789&lt;=35,"26-35",A789&lt;=45,"36-45",A789&lt;=55,"46-55",A789&gt;55,"55+")</f>
        <v>46-55</v>
      </c>
      <c r="C789">
        <v>0</v>
      </c>
      <c r="D789" t="s">
        <v>47</v>
      </c>
      <c r="E789">
        <v>1091</v>
      </c>
      <c r="F789" t="s">
        <v>48</v>
      </c>
      <c r="G789">
        <v>2</v>
      </c>
      <c r="H789" t="s">
        <v>49</v>
      </c>
      <c r="I789" t="s">
        <v>35</v>
      </c>
      <c r="J789" t="s">
        <v>41</v>
      </c>
      <c r="K789" t="s">
        <v>50</v>
      </c>
      <c r="L789">
        <v>65</v>
      </c>
      <c r="M789" t="s">
        <v>38</v>
      </c>
      <c r="N789" t="s">
        <v>63</v>
      </c>
      <c r="O789" t="s">
        <v>64</v>
      </c>
      <c r="P789" t="s">
        <v>36</v>
      </c>
      <c r="Q789" t="s">
        <v>52</v>
      </c>
      <c r="R789">
        <v>10976</v>
      </c>
      <c r="S789">
        <v>15813</v>
      </c>
      <c r="T789">
        <v>3</v>
      </c>
      <c r="U789" t="s">
        <v>46</v>
      </c>
      <c r="V789">
        <v>18</v>
      </c>
      <c r="W789" t="s">
        <v>43</v>
      </c>
      <c r="X789" t="s">
        <v>36</v>
      </c>
      <c r="Y789">
        <v>1</v>
      </c>
      <c r="Z789">
        <v>23</v>
      </c>
      <c r="AA789">
        <v>4</v>
      </c>
      <c r="AB789" t="s">
        <v>54</v>
      </c>
      <c r="AC789">
        <v>3</v>
      </c>
      <c r="AD789" t="str" cm="1">
        <f t="array" ref="AD789">_xlfn.IFS(AC789&lt;=5,"0-5",AC789&lt;=10,"5-10",AC789&lt;=40,"10-40")</f>
        <v>0-5</v>
      </c>
      <c r="AE789">
        <v>2</v>
      </c>
      <c r="AF789">
        <v>1</v>
      </c>
      <c r="AG789">
        <v>2</v>
      </c>
      <c r="AH789">
        <v>788</v>
      </c>
    </row>
    <row r="790" spans="1:34" x14ac:dyDescent="0.3">
      <c r="A790">
        <v>28</v>
      </c>
      <c r="B790" t="str" cm="1">
        <f t="array" ref="B790">_xlfn.IFS(A790&lt;=25,"18-25",A790&lt;=35,"26-35",A790&lt;=45,"36-45",A790&lt;=55,"46-55",A790&gt;55,"55+")</f>
        <v>26-35</v>
      </c>
      <c r="C790">
        <v>0</v>
      </c>
      <c r="D790" t="s">
        <v>32</v>
      </c>
      <c r="E790">
        <v>857</v>
      </c>
      <c r="F790" t="s">
        <v>48</v>
      </c>
      <c r="G790">
        <v>10</v>
      </c>
      <c r="H790" t="s">
        <v>61</v>
      </c>
      <c r="I790" t="s">
        <v>55</v>
      </c>
      <c r="J790" t="s">
        <v>38</v>
      </c>
      <c r="K790" t="s">
        <v>37</v>
      </c>
      <c r="L790">
        <v>59</v>
      </c>
      <c r="M790" t="s">
        <v>38</v>
      </c>
      <c r="N790" t="s">
        <v>39</v>
      </c>
      <c r="O790" t="s">
        <v>51</v>
      </c>
      <c r="P790" t="s">
        <v>38</v>
      </c>
      <c r="Q790" t="s">
        <v>42</v>
      </c>
      <c r="R790">
        <v>3660</v>
      </c>
      <c r="S790">
        <v>7909</v>
      </c>
      <c r="T790">
        <v>3</v>
      </c>
      <c r="U790" t="s">
        <v>46</v>
      </c>
      <c r="V790">
        <v>13</v>
      </c>
      <c r="W790" t="s">
        <v>43</v>
      </c>
      <c r="X790" t="s">
        <v>41</v>
      </c>
      <c r="Y790">
        <v>0</v>
      </c>
      <c r="Z790">
        <v>10</v>
      </c>
      <c r="AA790">
        <v>4</v>
      </c>
      <c r="AB790" t="s">
        <v>73</v>
      </c>
      <c r="AC790">
        <v>8</v>
      </c>
      <c r="AD790" t="str" cm="1">
        <f t="array" ref="AD790">_xlfn.IFS(AC790&lt;=5,"0-5",AC790&lt;=10,"5-10",AC790&lt;=40,"10-40")</f>
        <v>5-10</v>
      </c>
      <c r="AE790">
        <v>7</v>
      </c>
      <c r="AF790">
        <v>1</v>
      </c>
      <c r="AG790">
        <v>7</v>
      </c>
      <c r="AH790">
        <v>789</v>
      </c>
    </row>
    <row r="791" spans="1:34" x14ac:dyDescent="0.3">
      <c r="A791">
        <v>44</v>
      </c>
      <c r="B791" t="str" cm="1">
        <f t="array" ref="B791">_xlfn.IFS(A791&lt;=25,"18-25",A791&lt;=35,"26-35",A791&lt;=45,"36-45",A791&lt;=55,"46-55",A791&gt;55,"55+")</f>
        <v>36-45</v>
      </c>
      <c r="C791">
        <v>1</v>
      </c>
      <c r="D791" t="s">
        <v>32</v>
      </c>
      <c r="E791">
        <v>1376</v>
      </c>
      <c r="F791" t="s">
        <v>76</v>
      </c>
      <c r="G791">
        <v>1</v>
      </c>
      <c r="H791" t="s">
        <v>34</v>
      </c>
      <c r="I791" t="s">
        <v>59</v>
      </c>
      <c r="J791" t="s">
        <v>36</v>
      </c>
      <c r="K791" t="s">
        <v>50</v>
      </c>
      <c r="L791">
        <v>91</v>
      </c>
      <c r="M791" t="s">
        <v>36</v>
      </c>
      <c r="N791" t="s">
        <v>63</v>
      </c>
      <c r="O791" t="s">
        <v>76</v>
      </c>
      <c r="P791" t="s">
        <v>44</v>
      </c>
      <c r="Q791" t="s">
        <v>52</v>
      </c>
      <c r="R791">
        <v>10482</v>
      </c>
      <c r="S791">
        <v>2326</v>
      </c>
      <c r="T791">
        <v>9</v>
      </c>
      <c r="U791" t="s">
        <v>46</v>
      </c>
      <c r="V791">
        <v>14</v>
      </c>
      <c r="W791" t="s">
        <v>43</v>
      </c>
      <c r="X791" t="s">
        <v>41</v>
      </c>
      <c r="Y791">
        <v>1</v>
      </c>
      <c r="Z791">
        <v>24</v>
      </c>
      <c r="AA791">
        <v>1</v>
      </c>
      <c r="AB791" t="s">
        <v>54</v>
      </c>
      <c r="AC791">
        <v>20</v>
      </c>
      <c r="AD791" t="str" cm="1">
        <f t="array" ref="AD791">_xlfn.IFS(AC791&lt;=5,"0-5",AC791&lt;=10,"5-10",AC791&lt;=40,"10-40")</f>
        <v>10-40</v>
      </c>
      <c r="AE791">
        <v>6</v>
      </c>
      <c r="AF791">
        <v>3</v>
      </c>
      <c r="AG791">
        <v>6</v>
      </c>
      <c r="AH791">
        <v>790</v>
      </c>
    </row>
    <row r="792" spans="1:34" x14ac:dyDescent="0.3">
      <c r="A792">
        <v>33</v>
      </c>
      <c r="B792" t="str" cm="1">
        <f t="array" ref="B792">_xlfn.IFS(A792&lt;=25,"18-25",A792&lt;=35,"26-35",A792&lt;=45,"36-45",A792&lt;=55,"46-55",A792&gt;55,"55+")</f>
        <v>26-35</v>
      </c>
      <c r="C792">
        <v>0</v>
      </c>
      <c r="D792" t="s">
        <v>32</v>
      </c>
      <c r="E792">
        <v>654</v>
      </c>
      <c r="F792" t="s">
        <v>48</v>
      </c>
      <c r="G792">
        <v>5</v>
      </c>
      <c r="H792" t="s">
        <v>61</v>
      </c>
      <c r="I792" t="s">
        <v>35</v>
      </c>
      <c r="J792" t="s">
        <v>41</v>
      </c>
      <c r="K792" t="s">
        <v>50</v>
      </c>
      <c r="L792">
        <v>34</v>
      </c>
      <c r="M792" t="s">
        <v>36</v>
      </c>
      <c r="N792" t="s">
        <v>63</v>
      </c>
      <c r="O792" t="s">
        <v>65</v>
      </c>
      <c r="P792" t="s">
        <v>41</v>
      </c>
      <c r="Q792" t="s">
        <v>62</v>
      </c>
      <c r="R792">
        <v>7119</v>
      </c>
      <c r="S792">
        <v>21214</v>
      </c>
      <c r="T792">
        <v>4</v>
      </c>
      <c r="U792" t="s">
        <v>46</v>
      </c>
      <c r="V792">
        <v>15</v>
      </c>
      <c r="W792" t="s">
        <v>43</v>
      </c>
      <c r="X792" t="s">
        <v>38</v>
      </c>
      <c r="Y792">
        <v>1</v>
      </c>
      <c r="Z792">
        <v>9</v>
      </c>
      <c r="AA792">
        <v>2</v>
      </c>
      <c r="AB792" t="s">
        <v>54</v>
      </c>
      <c r="AC792">
        <v>3</v>
      </c>
      <c r="AD792" t="str" cm="1">
        <f t="array" ref="AD792">_xlfn.IFS(AC792&lt;=5,"0-5",AC792&lt;=10,"5-10",AC792&lt;=40,"10-40")</f>
        <v>0-5</v>
      </c>
      <c r="AE792">
        <v>2</v>
      </c>
      <c r="AF792">
        <v>1</v>
      </c>
      <c r="AG792">
        <v>2</v>
      </c>
      <c r="AH792">
        <v>791</v>
      </c>
    </row>
    <row r="793" spans="1:34" x14ac:dyDescent="0.3">
      <c r="A793">
        <v>35</v>
      </c>
      <c r="B793" t="str" cm="1">
        <f t="array" ref="B793">_xlfn.IFS(A793&lt;=25,"18-25",A793&lt;=35,"26-35",A793&lt;=45,"36-45",A793&lt;=55,"46-55",A793&gt;55,"55+")</f>
        <v>26-35</v>
      </c>
      <c r="C793">
        <v>1</v>
      </c>
      <c r="D793" t="s">
        <v>32</v>
      </c>
      <c r="E793">
        <v>1204</v>
      </c>
      <c r="F793" t="s">
        <v>33</v>
      </c>
      <c r="G793">
        <v>4</v>
      </c>
      <c r="H793" t="s">
        <v>61</v>
      </c>
      <c r="I793" t="s">
        <v>74</v>
      </c>
      <c r="J793" t="s">
        <v>41</v>
      </c>
      <c r="K793" t="s">
        <v>50</v>
      </c>
      <c r="L793">
        <v>86</v>
      </c>
      <c r="M793" t="s">
        <v>38</v>
      </c>
      <c r="N793" t="s">
        <v>63</v>
      </c>
      <c r="O793" t="s">
        <v>40</v>
      </c>
      <c r="P793" t="s">
        <v>44</v>
      </c>
      <c r="Q793" t="s">
        <v>42</v>
      </c>
      <c r="R793">
        <v>9582</v>
      </c>
      <c r="S793">
        <v>10333</v>
      </c>
      <c r="T793">
        <v>0</v>
      </c>
      <c r="U793" t="s">
        <v>31</v>
      </c>
      <c r="V793">
        <v>22</v>
      </c>
      <c r="W793" t="s">
        <v>53</v>
      </c>
      <c r="X793" t="s">
        <v>44</v>
      </c>
      <c r="Y793">
        <v>0</v>
      </c>
      <c r="Z793">
        <v>9</v>
      </c>
      <c r="AA793">
        <v>2</v>
      </c>
      <c r="AB793" t="s">
        <v>54</v>
      </c>
      <c r="AC793">
        <v>8</v>
      </c>
      <c r="AD793" t="str" cm="1">
        <f t="array" ref="AD793">_xlfn.IFS(AC793&lt;=5,"0-5",AC793&lt;=10,"5-10",AC793&lt;=40,"10-40")</f>
        <v>5-10</v>
      </c>
      <c r="AE793">
        <v>7</v>
      </c>
      <c r="AF793">
        <v>4</v>
      </c>
      <c r="AG793">
        <v>7</v>
      </c>
      <c r="AH793">
        <v>792</v>
      </c>
    </row>
    <row r="794" spans="1:34" x14ac:dyDescent="0.3">
      <c r="A794">
        <v>33</v>
      </c>
      <c r="B794" t="str" cm="1">
        <f t="array" ref="B794">_xlfn.IFS(A794&lt;=25,"18-25",A794&lt;=35,"26-35",A794&lt;=45,"36-45",A794&lt;=55,"46-55",A794&gt;55,"55+")</f>
        <v>26-35</v>
      </c>
      <c r="C794">
        <v>1</v>
      </c>
      <c r="D794" t="s">
        <v>47</v>
      </c>
      <c r="E794">
        <v>827</v>
      </c>
      <c r="F794" t="s">
        <v>48</v>
      </c>
      <c r="G794">
        <v>29</v>
      </c>
      <c r="H794" t="s">
        <v>58</v>
      </c>
      <c r="I794" t="s">
        <v>59</v>
      </c>
      <c r="J794" t="s">
        <v>44</v>
      </c>
      <c r="K794" t="s">
        <v>37</v>
      </c>
      <c r="L794">
        <v>54</v>
      </c>
      <c r="M794" t="s">
        <v>36</v>
      </c>
      <c r="N794" t="s">
        <v>39</v>
      </c>
      <c r="O794" t="s">
        <v>51</v>
      </c>
      <c r="P794" t="s">
        <v>38</v>
      </c>
      <c r="Q794" t="s">
        <v>42</v>
      </c>
      <c r="R794">
        <v>4508</v>
      </c>
      <c r="S794">
        <v>3129</v>
      </c>
      <c r="T794">
        <v>1</v>
      </c>
      <c r="U794" t="s">
        <v>46</v>
      </c>
      <c r="V794">
        <v>22</v>
      </c>
      <c r="W794" t="s">
        <v>53</v>
      </c>
      <c r="X794" t="s">
        <v>36</v>
      </c>
      <c r="Y794">
        <v>0</v>
      </c>
      <c r="Z794">
        <v>14</v>
      </c>
      <c r="AA794">
        <v>4</v>
      </c>
      <c r="AB794" t="s">
        <v>54</v>
      </c>
      <c r="AC794">
        <v>13</v>
      </c>
      <c r="AD794" t="str" cm="1">
        <f t="array" ref="AD794">_xlfn.IFS(AC794&lt;=5,"0-5",AC794&lt;=10,"5-10",AC794&lt;=40,"10-40")</f>
        <v>10-40</v>
      </c>
      <c r="AE794">
        <v>7</v>
      </c>
      <c r="AF794">
        <v>3</v>
      </c>
      <c r="AG794">
        <v>8</v>
      </c>
      <c r="AH794">
        <v>793</v>
      </c>
    </row>
    <row r="795" spans="1:34" x14ac:dyDescent="0.3">
      <c r="A795">
        <v>28</v>
      </c>
      <c r="B795" t="str" cm="1">
        <f t="array" ref="B795">_xlfn.IFS(A795&lt;=25,"18-25",A795&lt;=35,"26-35",A795&lt;=45,"36-45",A795&lt;=55,"46-55",A795&gt;55,"55+")</f>
        <v>26-35</v>
      </c>
      <c r="C795">
        <v>0</v>
      </c>
      <c r="D795" t="s">
        <v>32</v>
      </c>
      <c r="E795">
        <v>895</v>
      </c>
      <c r="F795" t="s">
        <v>48</v>
      </c>
      <c r="G795">
        <v>15</v>
      </c>
      <c r="H795" t="s">
        <v>34</v>
      </c>
      <c r="I795" t="s">
        <v>35</v>
      </c>
      <c r="J795" t="s">
        <v>44</v>
      </c>
      <c r="K795" t="s">
        <v>50</v>
      </c>
      <c r="L795">
        <v>50</v>
      </c>
      <c r="M795" t="s">
        <v>38</v>
      </c>
      <c r="N795" t="s">
        <v>56</v>
      </c>
      <c r="O795" t="s">
        <v>57</v>
      </c>
      <c r="P795" t="s">
        <v>38</v>
      </c>
      <c r="Q795" t="s">
        <v>62</v>
      </c>
      <c r="R795">
        <v>2207</v>
      </c>
      <c r="S795">
        <v>22482</v>
      </c>
      <c r="T795">
        <v>1</v>
      </c>
      <c r="U795" t="s">
        <v>46</v>
      </c>
      <c r="V795">
        <v>16</v>
      </c>
      <c r="W795" t="s">
        <v>43</v>
      </c>
      <c r="X795" t="s">
        <v>41</v>
      </c>
      <c r="Y795">
        <v>1</v>
      </c>
      <c r="Z795">
        <v>4</v>
      </c>
      <c r="AA795">
        <v>5</v>
      </c>
      <c r="AB795" t="s">
        <v>60</v>
      </c>
      <c r="AC795">
        <v>4</v>
      </c>
      <c r="AD795" t="str" cm="1">
        <f t="array" ref="AD795">_xlfn.IFS(AC795&lt;=5,"0-5",AC795&lt;=10,"5-10",AC795&lt;=40,"10-40")</f>
        <v>0-5</v>
      </c>
      <c r="AE795">
        <v>2</v>
      </c>
      <c r="AF795">
        <v>2</v>
      </c>
      <c r="AG795">
        <v>2</v>
      </c>
      <c r="AH795">
        <v>794</v>
      </c>
    </row>
    <row r="796" spans="1:34" x14ac:dyDescent="0.3">
      <c r="A796">
        <v>34</v>
      </c>
      <c r="B796" t="str" cm="1">
        <f t="array" ref="B796">_xlfn.IFS(A796&lt;=25,"18-25",A796&lt;=35,"26-35",A796&lt;=45,"36-45",A796&lt;=55,"46-55",A796&gt;55,"55+")</f>
        <v>26-35</v>
      </c>
      <c r="C796">
        <v>0</v>
      </c>
      <c r="D796" t="s">
        <v>47</v>
      </c>
      <c r="E796">
        <v>618</v>
      </c>
      <c r="F796" t="s">
        <v>48</v>
      </c>
      <c r="G796">
        <v>3</v>
      </c>
      <c r="H796" t="s">
        <v>49</v>
      </c>
      <c r="I796" t="s">
        <v>35</v>
      </c>
      <c r="J796" t="s">
        <v>44</v>
      </c>
      <c r="K796" t="s">
        <v>50</v>
      </c>
      <c r="L796">
        <v>45</v>
      </c>
      <c r="M796" t="s">
        <v>38</v>
      </c>
      <c r="N796" t="s">
        <v>39</v>
      </c>
      <c r="O796" t="s">
        <v>65</v>
      </c>
      <c r="P796" t="s">
        <v>41</v>
      </c>
      <c r="Q796" t="s">
        <v>42</v>
      </c>
      <c r="R796">
        <v>7756</v>
      </c>
      <c r="S796">
        <v>22266</v>
      </c>
      <c r="T796">
        <v>0</v>
      </c>
      <c r="U796" t="s">
        <v>46</v>
      </c>
      <c r="V796">
        <v>17</v>
      </c>
      <c r="W796" t="s">
        <v>43</v>
      </c>
      <c r="X796" t="s">
        <v>38</v>
      </c>
      <c r="Y796">
        <v>0</v>
      </c>
      <c r="Z796">
        <v>7</v>
      </c>
      <c r="AA796">
        <v>1</v>
      </c>
      <c r="AB796" t="s">
        <v>60</v>
      </c>
      <c r="AC796">
        <v>6</v>
      </c>
      <c r="AD796" t="str" cm="1">
        <f t="array" ref="AD796">_xlfn.IFS(AC796&lt;=5,"0-5",AC796&lt;=10,"5-10",AC796&lt;=40,"10-40")</f>
        <v>5-10</v>
      </c>
      <c r="AE796">
        <v>2</v>
      </c>
      <c r="AF796">
        <v>0</v>
      </c>
      <c r="AG796">
        <v>4</v>
      </c>
      <c r="AH796">
        <v>795</v>
      </c>
    </row>
    <row r="797" spans="1:34" x14ac:dyDescent="0.3">
      <c r="A797">
        <v>37</v>
      </c>
      <c r="B797" t="str" cm="1">
        <f t="array" ref="B797">_xlfn.IFS(A797&lt;=25,"18-25",A797&lt;=35,"26-35",A797&lt;=45,"36-45",A797&lt;=55,"46-55",A797&gt;55,"55+")</f>
        <v>36-45</v>
      </c>
      <c r="C797">
        <v>0</v>
      </c>
      <c r="D797" t="s">
        <v>32</v>
      </c>
      <c r="E797">
        <v>309</v>
      </c>
      <c r="F797" t="s">
        <v>33</v>
      </c>
      <c r="G797">
        <v>10</v>
      </c>
      <c r="H797" t="s">
        <v>58</v>
      </c>
      <c r="I797" t="s">
        <v>35</v>
      </c>
      <c r="J797" t="s">
        <v>41</v>
      </c>
      <c r="K797" t="s">
        <v>37</v>
      </c>
      <c r="L797">
        <v>88</v>
      </c>
      <c r="M797" t="s">
        <v>36</v>
      </c>
      <c r="N797" t="s">
        <v>39</v>
      </c>
      <c r="O797" t="s">
        <v>40</v>
      </c>
      <c r="P797" t="s">
        <v>41</v>
      </c>
      <c r="Q797" t="s">
        <v>62</v>
      </c>
      <c r="R797">
        <v>6694</v>
      </c>
      <c r="S797">
        <v>24223</v>
      </c>
      <c r="T797">
        <v>2</v>
      </c>
      <c r="U797" t="s">
        <v>31</v>
      </c>
      <c r="V797">
        <v>14</v>
      </c>
      <c r="W797" t="s">
        <v>43</v>
      </c>
      <c r="X797" t="s">
        <v>38</v>
      </c>
      <c r="Y797">
        <v>3</v>
      </c>
      <c r="Z797">
        <v>8</v>
      </c>
      <c r="AA797">
        <v>5</v>
      </c>
      <c r="AB797" t="s">
        <v>54</v>
      </c>
      <c r="AC797">
        <v>1</v>
      </c>
      <c r="AD797" t="str" cm="1">
        <f t="array" ref="AD797">_xlfn.IFS(AC797&lt;=5,"0-5",AC797&lt;=10,"5-10",AC797&lt;=40,"10-40")</f>
        <v>0-5</v>
      </c>
      <c r="AE797">
        <v>0</v>
      </c>
      <c r="AF797">
        <v>0</v>
      </c>
      <c r="AG797">
        <v>0</v>
      </c>
      <c r="AH797">
        <v>796</v>
      </c>
    </row>
    <row r="798" spans="1:34" x14ac:dyDescent="0.3">
      <c r="A798">
        <v>25</v>
      </c>
      <c r="B798" t="str" cm="1">
        <f t="array" ref="B798">_xlfn.IFS(A798&lt;=25,"18-25",A798&lt;=35,"26-35",A798&lt;=45,"36-45",A798&lt;=55,"46-55",A798&gt;55,"55+")</f>
        <v>18-25</v>
      </c>
      <c r="C798">
        <v>1</v>
      </c>
      <c r="D798" t="s">
        <v>32</v>
      </c>
      <c r="E798">
        <v>1219</v>
      </c>
      <c r="F798" t="s">
        <v>48</v>
      </c>
      <c r="G798">
        <v>4</v>
      </c>
      <c r="H798" t="s">
        <v>49</v>
      </c>
      <c r="I798" t="s">
        <v>74</v>
      </c>
      <c r="J798" t="s">
        <v>41</v>
      </c>
      <c r="K798" t="s">
        <v>50</v>
      </c>
      <c r="L798">
        <v>32</v>
      </c>
      <c r="M798" t="s">
        <v>38</v>
      </c>
      <c r="N798" t="s">
        <v>56</v>
      </c>
      <c r="O798" t="s">
        <v>57</v>
      </c>
      <c r="P798" t="s">
        <v>41</v>
      </c>
      <c r="Q798" t="s">
        <v>52</v>
      </c>
      <c r="R798">
        <v>3691</v>
      </c>
      <c r="S798">
        <v>4605</v>
      </c>
      <c r="T798">
        <v>1</v>
      </c>
      <c r="U798" t="s">
        <v>31</v>
      </c>
      <c r="V798">
        <v>15</v>
      </c>
      <c r="W798" t="s">
        <v>43</v>
      </c>
      <c r="X798" t="s">
        <v>36</v>
      </c>
      <c r="Y798">
        <v>1</v>
      </c>
      <c r="Z798">
        <v>7</v>
      </c>
      <c r="AA798">
        <v>3</v>
      </c>
      <c r="AB798" t="s">
        <v>73</v>
      </c>
      <c r="AC798">
        <v>7</v>
      </c>
      <c r="AD798" t="str" cm="1">
        <f t="array" ref="AD798">_xlfn.IFS(AC798&lt;=5,"0-5",AC798&lt;=10,"5-10",AC798&lt;=40,"10-40")</f>
        <v>5-10</v>
      </c>
      <c r="AE798">
        <v>7</v>
      </c>
      <c r="AF798">
        <v>5</v>
      </c>
      <c r="AG798">
        <v>6</v>
      </c>
      <c r="AH798">
        <v>797</v>
      </c>
    </row>
    <row r="799" spans="1:34" x14ac:dyDescent="0.3">
      <c r="A799">
        <v>26</v>
      </c>
      <c r="B799" t="str" cm="1">
        <f t="array" ref="B799">_xlfn.IFS(A799&lt;=25,"18-25",A799&lt;=35,"26-35",A799&lt;=45,"36-45",A799&lt;=55,"46-55",A799&gt;55,"55+")</f>
        <v>26-35</v>
      </c>
      <c r="C799">
        <v>1</v>
      </c>
      <c r="D799" t="s">
        <v>32</v>
      </c>
      <c r="E799">
        <v>1330</v>
      </c>
      <c r="F799" t="s">
        <v>48</v>
      </c>
      <c r="G799">
        <v>21</v>
      </c>
      <c r="H799" t="s">
        <v>61</v>
      </c>
      <c r="I799" t="s">
        <v>59</v>
      </c>
      <c r="J799" t="s">
        <v>44</v>
      </c>
      <c r="K799" t="s">
        <v>50</v>
      </c>
      <c r="L799">
        <v>37</v>
      </c>
      <c r="M799" t="s">
        <v>38</v>
      </c>
      <c r="N799" t="s">
        <v>56</v>
      </c>
      <c r="O799" t="s">
        <v>57</v>
      </c>
      <c r="P799" t="s">
        <v>38</v>
      </c>
      <c r="Q799" t="s">
        <v>62</v>
      </c>
      <c r="R799">
        <v>2377</v>
      </c>
      <c r="S799">
        <v>19373</v>
      </c>
      <c r="T799">
        <v>1</v>
      </c>
      <c r="U799" t="s">
        <v>46</v>
      </c>
      <c r="V799">
        <v>20</v>
      </c>
      <c r="W799" t="s">
        <v>53</v>
      </c>
      <c r="X799" t="s">
        <v>38</v>
      </c>
      <c r="Y799">
        <v>1</v>
      </c>
      <c r="Z799">
        <v>1</v>
      </c>
      <c r="AA799">
        <v>0</v>
      </c>
      <c r="AB799" t="s">
        <v>60</v>
      </c>
      <c r="AC799">
        <v>1</v>
      </c>
      <c r="AD799" t="str" cm="1">
        <f t="array" ref="AD799">_xlfn.IFS(AC799&lt;=5,"0-5",AC799&lt;=10,"5-10",AC799&lt;=40,"10-40")</f>
        <v>0-5</v>
      </c>
      <c r="AE799">
        <v>1</v>
      </c>
      <c r="AF799">
        <v>0</v>
      </c>
      <c r="AG799">
        <v>0</v>
      </c>
      <c r="AH799">
        <v>798</v>
      </c>
    </row>
    <row r="800" spans="1:34" x14ac:dyDescent="0.3">
      <c r="A800">
        <v>33</v>
      </c>
      <c r="B800" t="str" cm="1">
        <f t="array" ref="B800">_xlfn.IFS(A800&lt;=25,"18-25",A800&lt;=35,"26-35",A800&lt;=45,"36-45",A800&lt;=55,"46-55",A800&gt;55,"55+")</f>
        <v>26-35</v>
      </c>
      <c r="C800">
        <v>1</v>
      </c>
      <c r="D800" t="s">
        <v>32</v>
      </c>
      <c r="E800">
        <v>1017</v>
      </c>
      <c r="F800" t="s">
        <v>48</v>
      </c>
      <c r="G800">
        <v>25</v>
      </c>
      <c r="H800" t="s">
        <v>61</v>
      </c>
      <c r="I800" t="s">
        <v>59</v>
      </c>
      <c r="J800" t="s">
        <v>44</v>
      </c>
      <c r="K800" t="s">
        <v>50</v>
      </c>
      <c r="L800">
        <v>55</v>
      </c>
      <c r="M800" t="s">
        <v>36</v>
      </c>
      <c r="N800" t="s">
        <v>56</v>
      </c>
      <c r="O800" t="s">
        <v>51</v>
      </c>
      <c r="P800" t="s">
        <v>36</v>
      </c>
      <c r="Q800" t="s">
        <v>42</v>
      </c>
      <c r="R800">
        <v>2313</v>
      </c>
      <c r="S800">
        <v>2993</v>
      </c>
      <c r="T800">
        <v>4</v>
      </c>
      <c r="U800" t="s">
        <v>31</v>
      </c>
      <c r="V800">
        <v>20</v>
      </c>
      <c r="W800" t="s">
        <v>53</v>
      </c>
      <c r="X800" t="s">
        <v>36</v>
      </c>
      <c r="Y800">
        <v>0</v>
      </c>
      <c r="Z800">
        <v>5</v>
      </c>
      <c r="AA800">
        <v>0</v>
      </c>
      <c r="AB800" t="s">
        <v>54</v>
      </c>
      <c r="AC800">
        <v>2</v>
      </c>
      <c r="AD800" t="str" cm="1">
        <f t="array" ref="AD800">_xlfn.IFS(AC800&lt;=5,"0-5",AC800&lt;=10,"5-10",AC800&lt;=40,"10-40")</f>
        <v>0-5</v>
      </c>
      <c r="AE800">
        <v>2</v>
      </c>
      <c r="AF800">
        <v>2</v>
      </c>
      <c r="AG800">
        <v>2</v>
      </c>
      <c r="AH800">
        <v>799</v>
      </c>
    </row>
    <row r="801" spans="1:34" x14ac:dyDescent="0.3">
      <c r="A801">
        <v>42</v>
      </c>
      <c r="B801" t="str" cm="1">
        <f t="array" ref="B801">_xlfn.IFS(A801&lt;=25,"18-25",A801&lt;=35,"26-35",A801&lt;=45,"36-45",A801&lt;=55,"46-55",A801&gt;55,"55+")</f>
        <v>36-45</v>
      </c>
      <c r="C801">
        <v>0</v>
      </c>
      <c r="D801" t="s">
        <v>32</v>
      </c>
      <c r="E801">
        <v>469</v>
      </c>
      <c r="F801" t="s">
        <v>48</v>
      </c>
      <c r="G801">
        <v>2</v>
      </c>
      <c r="H801" t="s">
        <v>34</v>
      </c>
      <c r="I801" t="s">
        <v>59</v>
      </c>
      <c r="J801" t="s">
        <v>41</v>
      </c>
      <c r="K801" t="s">
        <v>50</v>
      </c>
      <c r="L801">
        <v>35</v>
      </c>
      <c r="M801" t="s">
        <v>38</v>
      </c>
      <c r="N801" t="s">
        <v>67</v>
      </c>
      <c r="O801" t="s">
        <v>68</v>
      </c>
      <c r="P801" t="s">
        <v>44</v>
      </c>
      <c r="Q801" t="s">
        <v>52</v>
      </c>
      <c r="R801">
        <v>17665</v>
      </c>
      <c r="S801">
        <v>14399</v>
      </c>
      <c r="T801">
        <v>0</v>
      </c>
      <c r="U801" t="s">
        <v>46</v>
      </c>
      <c r="V801">
        <v>17</v>
      </c>
      <c r="W801" t="s">
        <v>43</v>
      </c>
      <c r="X801" t="s">
        <v>41</v>
      </c>
      <c r="Y801">
        <v>1</v>
      </c>
      <c r="Z801">
        <v>23</v>
      </c>
      <c r="AA801">
        <v>3</v>
      </c>
      <c r="AB801" t="s">
        <v>54</v>
      </c>
      <c r="AC801">
        <v>22</v>
      </c>
      <c r="AD801" t="str" cm="1">
        <f t="array" ref="AD801">_xlfn.IFS(AC801&lt;=5,"0-5",AC801&lt;=10,"5-10",AC801&lt;=40,"10-40")</f>
        <v>10-40</v>
      </c>
      <c r="AE801">
        <v>6</v>
      </c>
      <c r="AF801">
        <v>13</v>
      </c>
      <c r="AG801">
        <v>7</v>
      </c>
      <c r="AH801">
        <v>800</v>
      </c>
    </row>
    <row r="802" spans="1:34" x14ac:dyDescent="0.3">
      <c r="A802">
        <v>28</v>
      </c>
      <c r="B802" t="str" cm="1">
        <f t="array" ref="B802">_xlfn.IFS(A802&lt;=25,"18-25",A802&lt;=35,"26-35",A802&lt;=45,"36-45",A802&lt;=55,"46-55",A802&gt;55,"55+")</f>
        <v>26-35</v>
      </c>
      <c r="C802">
        <v>1</v>
      </c>
      <c r="D802" t="s">
        <v>47</v>
      </c>
      <c r="E802">
        <v>1009</v>
      </c>
      <c r="F802" t="s">
        <v>48</v>
      </c>
      <c r="G802">
        <v>1</v>
      </c>
      <c r="H802" t="s">
        <v>61</v>
      </c>
      <c r="I802" t="s">
        <v>59</v>
      </c>
      <c r="J802" t="s">
        <v>44</v>
      </c>
      <c r="K802" t="s">
        <v>50</v>
      </c>
      <c r="L802">
        <v>45</v>
      </c>
      <c r="M802" t="s">
        <v>36</v>
      </c>
      <c r="N802" t="s">
        <v>56</v>
      </c>
      <c r="O802" t="s">
        <v>57</v>
      </c>
      <c r="P802" t="s">
        <v>36</v>
      </c>
      <c r="Q802" t="s">
        <v>62</v>
      </c>
      <c r="R802">
        <v>2596</v>
      </c>
      <c r="S802">
        <v>7160</v>
      </c>
      <c r="T802">
        <v>1</v>
      </c>
      <c r="U802" t="s">
        <v>46</v>
      </c>
      <c r="V802">
        <v>15</v>
      </c>
      <c r="W802" t="s">
        <v>43</v>
      </c>
      <c r="X802" t="s">
        <v>44</v>
      </c>
      <c r="Y802">
        <v>2</v>
      </c>
      <c r="Z802">
        <v>1</v>
      </c>
      <c r="AA802">
        <v>2</v>
      </c>
      <c r="AB802" t="s">
        <v>54</v>
      </c>
      <c r="AC802">
        <v>1</v>
      </c>
      <c r="AD802" t="str" cm="1">
        <f t="array" ref="AD802">_xlfn.IFS(AC802&lt;=5,"0-5",AC802&lt;=10,"5-10",AC802&lt;=40,"10-40")</f>
        <v>0-5</v>
      </c>
      <c r="AE802">
        <v>0</v>
      </c>
      <c r="AF802">
        <v>0</v>
      </c>
      <c r="AG802">
        <v>0</v>
      </c>
      <c r="AH802">
        <v>801</v>
      </c>
    </row>
    <row r="803" spans="1:34" x14ac:dyDescent="0.3">
      <c r="A803">
        <v>50</v>
      </c>
      <c r="B803" t="str" cm="1">
        <f t="array" ref="B803">_xlfn.IFS(A803&lt;=25,"18-25",A803&lt;=35,"26-35",A803&lt;=45,"36-45",A803&lt;=55,"46-55",A803&gt;55,"55+")</f>
        <v>46-55</v>
      </c>
      <c r="C803">
        <v>1</v>
      </c>
      <c r="D803" t="s">
        <v>47</v>
      </c>
      <c r="E803">
        <v>959</v>
      </c>
      <c r="F803" t="s">
        <v>33</v>
      </c>
      <c r="G803">
        <v>1</v>
      </c>
      <c r="H803" t="s">
        <v>58</v>
      </c>
      <c r="I803" t="s">
        <v>55</v>
      </c>
      <c r="J803" t="s">
        <v>41</v>
      </c>
      <c r="K803" t="s">
        <v>50</v>
      </c>
      <c r="L803">
        <v>81</v>
      </c>
      <c r="M803" t="s">
        <v>38</v>
      </c>
      <c r="N803" t="s">
        <v>39</v>
      </c>
      <c r="O803" t="s">
        <v>40</v>
      </c>
      <c r="P803" t="s">
        <v>38</v>
      </c>
      <c r="Q803" t="s">
        <v>42</v>
      </c>
      <c r="R803">
        <v>4728</v>
      </c>
      <c r="S803">
        <v>17251</v>
      </c>
      <c r="T803">
        <v>3</v>
      </c>
      <c r="U803" t="s">
        <v>31</v>
      </c>
      <c r="V803">
        <v>14</v>
      </c>
      <c r="W803" t="s">
        <v>43</v>
      </c>
      <c r="X803" t="s">
        <v>41</v>
      </c>
      <c r="Y803">
        <v>0</v>
      </c>
      <c r="Z803">
        <v>5</v>
      </c>
      <c r="AA803">
        <v>4</v>
      </c>
      <c r="AB803" t="s">
        <v>54</v>
      </c>
      <c r="AC803">
        <v>0</v>
      </c>
      <c r="AD803" t="str" cm="1">
        <f t="array" ref="AD803">_xlfn.IFS(AC803&lt;=5,"0-5",AC803&lt;=10,"5-10",AC803&lt;=40,"10-40")</f>
        <v>0-5</v>
      </c>
      <c r="AE803">
        <v>0</v>
      </c>
      <c r="AF803">
        <v>0</v>
      </c>
      <c r="AG803">
        <v>0</v>
      </c>
      <c r="AH803">
        <v>802</v>
      </c>
    </row>
    <row r="804" spans="1:34" x14ac:dyDescent="0.3">
      <c r="A804">
        <v>33</v>
      </c>
      <c r="B804" t="str" cm="1">
        <f t="array" ref="B804">_xlfn.IFS(A804&lt;=25,"18-25",A804&lt;=35,"26-35",A804&lt;=45,"36-45",A804&lt;=55,"46-55",A804&gt;55,"55+")</f>
        <v>26-35</v>
      </c>
      <c r="C804">
        <v>0</v>
      </c>
      <c r="D804" t="s">
        <v>47</v>
      </c>
      <c r="E804">
        <v>970</v>
      </c>
      <c r="F804" t="s">
        <v>33</v>
      </c>
      <c r="G804">
        <v>7</v>
      </c>
      <c r="H804" t="s">
        <v>61</v>
      </c>
      <c r="I804" t="s">
        <v>35</v>
      </c>
      <c r="J804" t="s">
        <v>41</v>
      </c>
      <c r="K804" t="s">
        <v>37</v>
      </c>
      <c r="L804">
        <v>30</v>
      </c>
      <c r="M804" t="s">
        <v>38</v>
      </c>
      <c r="N804" t="s">
        <v>39</v>
      </c>
      <c r="O804" t="s">
        <v>40</v>
      </c>
      <c r="P804" t="s">
        <v>36</v>
      </c>
      <c r="Q804" t="s">
        <v>52</v>
      </c>
      <c r="R804">
        <v>4302</v>
      </c>
      <c r="S804">
        <v>13401</v>
      </c>
      <c r="T804">
        <v>0</v>
      </c>
      <c r="U804" t="s">
        <v>46</v>
      </c>
      <c r="V804">
        <v>17</v>
      </c>
      <c r="W804" t="s">
        <v>43</v>
      </c>
      <c r="X804" t="s">
        <v>38</v>
      </c>
      <c r="Y804">
        <v>1</v>
      </c>
      <c r="Z804">
        <v>4</v>
      </c>
      <c r="AA804">
        <v>3</v>
      </c>
      <c r="AB804" t="s">
        <v>54</v>
      </c>
      <c r="AC804">
        <v>3</v>
      </c>
      <c r="AD804" t="str" cm="1">
        <f t="array" ref="AD804">_xlfn.IFS(AC804&lt;=5,"0-5",AC804&lt;=10,"5-10",AC804&lt;=40,"10-40")</f>
        <v>0-5</v>
      </c>
      <c r="AE804">
        <v>2</v>
      </c>
      <c r="AF804">
        <v>0</v>
      </c>
      <c r="AG804">
        <v>2</v>
      </c>
      <c r="AH804">
        <v>803</v>
      </c>
    </row>
    <row r="805" spans="1:34" x14ac:dyDescent="0.3">
      <c r="A805">
        <v>34</v>
      </c>
      <c r="B805" t="str" cm="1">
        <f t="array" ref="B805">_xlfn.IFS(A805&lt;=25,"18-25",A805&lt;=35,"26-35",A805&lt;=45,"36-45",A805&lt;=55,"46-55",A805&gt;55,"55+")</f>
        <v>26-35</v>
      </c>
      <c r="C805">
        <v>0</v>
      </c>
      <c r="D805" t="s">
        <v>66</v>
      </c>
      <c r="E805">
        <v>697</v>
      </c>
      <c r="F805" t="s">
        <v>48</v>
      </c>
      <c r="G805">
        <v>3</v>
      </c>
      <c r="H805" t="s">
        <v>58</v>
      </c>
      <c r="I805" t="s">
        <v>35</v>
      </c>
      <c r="J805" t="s">
        <v>38</v>
      </c>
      <c r="K805" t="s">
        <v>50</v>
      </c>
      <c r="L805">
        <v>40</v>
      </c>
      <c r="M805" t="s">
        <v>36</v>
      </c>
      <c r="N805" t="s">
        <v>56</v>
      </c>
      <c r="O805" t="s">
        <v>51</v>
      </c>
      <c r="P805" t="s">
        <v>41</v>
      </c>
      <c r="Q805" t="s">
        <v>52</v>
      </c>
      <c r="R805">
        <v>2979</v>
      </c>
      <c r="S805">
        <v>22478</v>
      </c>
      <c r="T805">
        <v>3</v>
      </c>
      <c r="U805" t="s">
        <v>46</v>
      </c>
      <c r="V805">
        <v>17</v>
      </c>
      <c r="W805" t="s">
        <v>43</v>
      </c>
      <c r="X805" t="s">
        <v>41</v>
      </c>
      <c r="Y805">
        <v>3</v>
      </c>
      <c r="Z805">
        <v>6</v>
      </c>
      <c r="AA805">
        <v>2</v>
      </c>
      <c r="AB805" t="s">
        <v>54</v>
      </c>
      <c r="AC805">
        <v>0</v>
      </c>
      <c r="AD805" t="str" cm="1">
        <f t="array" ref="AD805">_xlfn.IFS(AC805&lt;=5,"0-5",AC805&lt;=10,"5-10",AC805&lt;=40,"10-40")</f>
        <v>0-5</v>
      </c>
      <c r="AE805">
        <v>0</v>
      </c>
      <c r="AF805">
        <v>0</v>
      </c>
      <c r="AG805">
        <v>0</v>
      </c>
      <c r="AH805">
        <v>804</v>
      </c>
    </row>
    <row r="806" spans="1:34" x14ac:dyDescent="0.3">
      <c r="A806">
        <v>48</v>
      </c>
      <c r="B806" t="str" cm="1">
        <f t="array" ref="B806">_xlfn.IFS(A806&lt;=25,"18-25",A806&lt;=35,"26-35",A806&lt;=45,"36-45",A806&lt;=55,"46-55",A806&gt;55,"55+")</f>
        <v>46-55</v>
      </c>
      <c r="C806">
        <v>0</v>
      </c>
      <c r="D806" t="s">
        <v>66</v>
      </c>
      <c r="E806">
        <v>1262</v>
      </c>
      <c r="F806" t="s">
        <v>48</v>
      </c>
      <c r="G806">
        <v>1</v>
      </c>
      <c r="H806" t="s">
        <v>58</v>
      </c>
      <c r="I806" t="s">
        <v>59</v>
      </c>
      <c r="J806" t="s">
        <v>44</v>
      </c>
      <c r="K806" t="s">
        <v>50</v>
      </c>
      <c r="L806">
        <v>35</v>
      </c>
      <c r="M806" t="s">
        <v>41</v>
      </c>
      <c r="N806" t="s">
        <v>67</v>
      </c>
      <c r="O806" t="s">
        <v>68</v>
      </c>
      <c r="P806" t="s">
        <v>41</v>
      </c>
      <c r="Q806" t="s">
        <v>42</v>
      </c>
      <c r="R806">
        <v>16885</v>
      </c>
      <c r="S806">
        <v>16154</v>
      </c>
      <c r="T806">
        <v>2</v>
      </c>
      <c r="U806" t="s">
        <v>46</v>
      </c>
      <c r="V806">
        <v>22</v>
      </c>
      <c r="W806" t="s">
        <v>53</v>
      </c>
      <c r="X806" t="s">
        <v>38</v>
      </c>
      <c r="Y806">
        <v>0</v>
      </c>
      <c r="Z806">
        <v>27</v>
      </c>
      <c r="AA806">
        <v>3</v>
      </c>
      <c r="AB806" t="s">
        <v>60</v>
      </c>
      <c r="AC806">
        <v>5</v>
      </c>
      <c r="AD806" t="str" cm="1">
        <f t="array" ref="AD806">_xlfn.IFS(AC806&lt;=5,"0-5",AC806&lt;=10,"5-10",AC806&lt;=40,"10-40")</f>
        <v>0-5</v>
      </c>
      <c r="AE806">
        <v>4</v>
      </c>
      <c r="AF806">
        <v>2</v>
      </c>
      <c r="AG806">
        <v>1</v>
      </c>
      <c r="AH806">
        <v>805</v>
      </c>
    </row>
    <row r="807" spans="1:34" x14ac:dyDescent="0.3">
      <c r="A807">
        <v>45</v>
      </c>
      <c r="B807" t="str" cm="1">
        <f t="array" ref="B807">_xlfn.IFS(A807&lt;=25,"18-25",A807&lt;=35,"26-35",A807&lt;=45,"36-45",A807&lt;=55,"46-55",A807&gt;55,"55+")</f>
        <v>36-45</v>
      </c>
      <c r="C807">
        <v>0</v>
      </c>
      <c r="D807" t="s">
        <v>66</v>
      </c>
      <c r="E807">
        <v>1050</v>
      </c>
      <c r="F807" t="s">
        <v>33</v>
      </c>
      <c r="G807">
        <v>9</v>
      </c>
      <c r="H807" t="s">
        <v>58</v>
      </c>
      <c r="I807" t="s">
        <v>35</v>
      </c>
      <c r="J807" t="s">
        <v>36</v>
      </c>
      <c r="K807" t="s">
        <v>37</v>
      </c>
      <c r="L807">
        <v>65</v>
      </c>
      <c r="M807" t="s">
        <v>36</v>
      </c>
      <c r="N807" t="s">
        <v>39</v>
      </c>
      <c r="O807" t="s">
        <v>40</v>
      </c>
      <c r="P807" t="s">
        <v>38</v>
      </c>
      <c r="Q807" t="s">
        <v>52</v>
      </c>
      <c r="R807">
        <v>5593</v>
      </c>
      <c r="S807">
        <v>17970</v>
      </c>
      <c r="T807">
        <v>1</v>
      </c>
      <c r="U807" t="s">
        <v>46</v>
      </c>
      <c r="V807">
        <v>13</v>
      </c>
      <c r="W807" t="s">
        <v>43</v>
      </c>
      <c r="X807" t="s">
        <v>41</v>
      </c>
      <c r="Y807">
        <v>1</v>
      </c>
      <c r="Z807">
        <v>15</v>
      </c>
      <c r="AA807">
        <v>2</v>
      </c>
      <c r="AB807" t="s">
        <v>54</v>
      </c>
      <c r="AC807">
        <v>15</v>
      </c>
      <c r="AD807" t="str" cm="1">
        <f t="array" ref="AD807">_xlfn.IFS(AC807&lt;=5,"0-5",AC807&lt;=10,"5-10",AC807&lt;=40,"10-40")</f>
        <v>10-40</v>
      </c>
      <c r="AE807">
        <v>10</v>
      </c>
      <c r="AF807">
        <v>4</v>
      </c>
      <c r="AG807">
        <v>12</v>
      </c>
      <c r="AH807">
        <v>806</v>
      </c>
    </row>
    <row r="808" spans="1:34" x14ac:dyDescent="0.3">
      <c r="A808">
        <v>52</v>
      </c>
      <c r="B808" t="str" cm="1">
        <f t="array" ref="B808">_xlfn.IFS(A808&lt;=25,"18-25",A808&lt;=35,"26-35",A808&lt;=45,"36-45",A808&lt;=55,"46-55",A808&gt;55,"55+")</f>
        <v>46-55</v>
      </c>
      <c r="C808">
        <v>0</v>
      </c>
      <c r="D808" t="s">
        <v>32</v>
      </c>
      <c r="E808">
        <v>994</v>
      </c>
      <c r="F808" t="s">
        <v>48</v>
      </c>
      <c r="G808">
        <v>7</v>
      </c>
      <c r="H808" t="s">
        <v>58</v>
      </c>
      <c r="I808" t="s">
        <v>35</v>
      </c>
      <c r="J808" t="s">
        <v>36</v>
      </c>
      <c r="K808" t="s">
        <v>50</v>
      </c>
      <c r="L808">
        <v>87</v>
      </c>
      <c r="M808" t="s">
        <v>38</v>
      </c>
      <c r="N808" t="s">
        <v>63</v>
      </c>
      <c r="O808" t="s">
        <v>65</v>
      </c>
      <c r="P808" t="s">
        <v>36</v>
      </c>
      <c r="Q808" t="s">
        <v>42</v>
      </c>
      <c r="R808">
        <v>10445</v>
      </c>
      <c r="S808">
        <v>15322</v>
      </c>
      <c r="T808">
        <v>7</v>
      </c>
      <c r="U808" t="s">
        <v>46</v>
      </c>
      <c r="V808">
        <v>19</v>
      </c>
      <c r="W808" t="s">
        <v>43</v>
      </c>
      <c r="X808" t="s">
        <v>41</v>
      </c>
      <c r="Y808">
        <v>0</v>
      </c>
      <c r="Z808">
        <v>18</v>
      </c>
      <c r="AA808">
        <v>4</v>
      </c>
      <c r="AB808" t="s">
        <v>54</v>
      </c>
      <c r="AC808">
        <v>8</v>
      </c>
      <c r="AD808" t="str" cm="1">
        <f t="array" ref="AD808">_xlfn.IFS(AC808&lt;=5,"0-5",AC808&lt;=10,"5-10",AC808&lt;=40,"10-40")</f>
        <v>5-10</v>
      </c>
      <c r="AE808">
        <v>6</v>
      </c>
      <c r="AF808">
        <v>4</v>
      </c>
      <c r="AG808">
        <v>0</v>
      </c>
      <c r="AH808">
        <v>807</v>
      </c>
    </row>
    <row r="809" spans="1:34" x14ac:dyDescent="0.3">
      <c r="A809">
        <v>38</v>
      </c>
      <c r="B809" t="str" cm="1">
        <f t="array" ref="B809">_xlfn.IFS(A809&lt;=25,"18-25",A809&lt;=35,"26-35",A809&lt;=45,"36-45",A809&lt;=55,"46-55",A809&gt;55,"55+")</f>
        <v>36-45</v>
      </c>
      <c r="C809">
        <v>0</v>
      </c>
      <c r="D809" t="s">
        <v>32</v>
      </c>
      <c r="E809">
        <v>770</v>
      </c>
      <c r="F809" t="s">
        <v>33</v>
      </c>
      <c r="G809">
        <v>10</v>
      </c>
      <c r="H809" t="s">
        <v>58</v>
      </c>
      <c r="I809" t="s">
        <v>72</v>
      </c>
      <c r="J809" t="s">
        <v>38</v>
      </c>
      <c r="K809" t="s">
        <v>50</v>
      </c>
      <c r="L809">
        <v>73</v>
      </c>
      <c r="M809" t="s">
        <v>36</v>
      </c>
      <c r="N809" t="s">
        <v>63</v>
      </c>
      <c r="O809" t="s">
        <v>40</v>
      </c>
      <c r="P809" t="s">
        <v>38</v>
      </c>
      <c r="Q809" t="s">
        <v>62</v>
      </c>
      <c r="R809">
        <v>8740</v>
      </c>
      <c r="S809">
        <v>5569</v>
      </c>
      <c r="T809">
        <v>0</v>
      </c>
      <c r="U809" t="s">
        <v>31</v>
      </c>
      <c r="V809">
        <v>14</v>
      </c>
      <c r="W809" t="s">
        <v>43</v>
      </c>
      <c r="X809" t="s">
        <v>36</v>
      </c>
      <c r="Y809">
        <v>2</v>
      </c>
      <c r="Z809">
        <v>9</v>
      </c>
      <c r="AA809">
        <v>2</v>
      </c>
      <c r="AB809" t="s">
        <v>54</v>
      </c>
      <c r="AC809">
        <v>8</v>
      </c>
      <c r="AD809" t="str" cm="1">
        <f t="array" ref="AD809">_xlfn.IFS(AC809&lt;=5,"0-5",AC809&lt;=10,"5-10",AC809&lt;=40,"10-40")</f>
        <v>5-10</v>
      </c>
      <c r="AE809">
        <v>7</v>
      </c>
      <c r="AF809">
        <v>2</v>
      </c>
      <c r="AG809">
        <v>7</v>
      </c>
      <c r="AH809">
        <v>808</v>
      </c>
    </row>
    <row r="810" spans="1:34" x14ac:dyDescent="0.3">
      <c r="A810">
        <v>29</v>
      </c>
      <c r="B810" t="str" cm="1">
        <f t="array" ref="B810">_xlfn.IFS(A810&lt;=25,"18-25",A810&lt;=35,"26-35",A810&lt;=45,"36-45",A810&lt;=55,"46-55",A810&gt;55,"55+")</f>
        <v>26-35</v>
      </c>
      <c r="C810">
        <v>0</v>
      </c>
      <c r="D810" t="s">
        <v>32</v>
      </c>
      <c r="E810">
        <v>1107</v>
      </c>
      <c r="F810" t="s">
        <v>48</v>
      </c>
      <c r="G810">
        <v>28</v>
      </c>
      <c r="H810" t="s">
        <v>58</v>
      </c>
      <c r="I810" t="s">
        <v>35</v>
      </c>
      <c r="J810" t="s">
        <v>38</v>
      </c>
      <c r="K810" t="s">
        <v>37</v>
      </c>
      <c r="L810">
        <v>93</v>
      </c>
      <c r="M810" t="s">
        <v>38</v>
      </c>
      <c r="N810" t="s">
        <v>56</v>
      </c>
      <c r="O810" t="s">
        <v>51</v>
      </c>
      <c r="P810" t="s">
        <v>41</v>
      </c>
      <c r="Q810" t="s">
        <v>62</v>
      </c>
      <c r="R810">
        <v>2514</v>
      </c>
      <c r="S810">
        <v>26968</v>
      </c>
      <c r="T810">
        <v>4</v>
      </c>
      <c r="U810" t="s">
        <v>46</v>
      </c>
      <c r="V810">
        <v>22</v>
      </c>
      <c r="W810" t="s">
        <v>53</v>
      </c>
      <c r="X810" t="s">
        <v>44</v>
      </c>
      <c r="Y810">
        <v>1</v>
      </c>
      <c r="Z810">
        <v>11</v>
      </c>
      <c r="AA810">
        <v>1</v>
      </c>
      <c r="AB810" t="s">
        <v>54</v>
      </c>
      <c r="AC810">
        <v>7</v>
      </c>
      <c r="AD810" t="str" cm="1">
        <f t="array" ref="AD810">_xlfn.IFS(AC810&lt;=5,"0-5",AC810&lt;=10,"5-10",AC810&lt;=40,"10-40")</f>
        <v>5-10</v>
      </c>
      <c r="AE810">
        <v>5</v>
      </c>
      <c r="AF810">
        <v>1</v>
      </c>
      <c r="AG810">
        <v>7</v>
      </c>
      <c r="AH810">
        <v>809</v>
      </c>
    </row>
    <row r="811" spans="1:34" x14ac:dyDescent="0.3">
      <c r="A811">
        <v>28</v>
      </c>
      <c r="B811" t="str" cm="1">
        <f t="array" ref="B811">_xlfn.IFS(A811&lt;=25,"18-25",A811&lt;=35,"26-35",A811&lt;=45,"36-45",A811&lt;=55,"46-55",A811&gt;55,"55+")</f>
        <v>26-35</v>
      </c>
      <c r="C811">
        <v>0</v>
      </c>
      <c r="D811" t="s">
        <v>32</v>
      </c>
      <c r="E811">
        <v>950</v>
      </c>
      <c r="F811" t="s">
        <v>48</v>
      </c>
      <c r="G811">
        <v>3</v>
      </c>
      <c r="H811" t="s">
        <v>61</v>
      </c>
      <c r="I811" t="s">
        <v>59</v>
      </c>
      <c r="J811" t="s">
        <v>41</v>
      </c>
      <c r="K811" t="s">
        <v>37</v>
      </c>
      <c r="L811">
        <v>93</v>
      </c>
      <c r="M811" t="s">
        <v>38</v>
      </c>
      <c r="N811" t="s">
        <v>63</v>
      </c>
      <c r="O811" t="s">
        <v>64</v>
      </c>
      <c r="P811" t="s">
        <v>36</v>
      </c>
      <c r="Q811" t="s">
        <v>62</v>
      </c>
      <c r="R811">
        <v>7655</v>
      </c>
      <c r="S811">
        <v>8039</v>
      </c>
      <c r="T811">
        <v>0</v>
      </c>
      <c r="U811" t="s">
        <v>46</v>
      </c>
      <c r="V811">
        <v>17</v>
      </c>
      <c r="W811" t="s">
        <v>43</v>
      </c>
      <c r="X811" t="s">
        <v>36</v>
      </c>
      <c r="Y811">
        <v>3</v>
      </c>
      <c r="Z811">
        <v>10</v>
      </c>
      <c r="AA811">
        <v>3</v>
      </c>
      <c r="AB811" t="s">
        <v>60</v>
      </c>
      <c r="AC811">
        <v>9</v>
      </c>
      <c r="AD811" t="str" cm="1">
        <f t="array" ref="AD811">_xlfn.IFS(AC811&lt;=5,"0-5",AC811&lt;=10,"5-10",AC811&lt;=40,"10-40")</f>
        <v>5-10</v>
      </c>
      <c r="AE811">
        <v>7</v>
      </c>
      <c r="AF811">
        <v>1</v>
      </c>
      <c r="AG811">
        <v>7</v>
      </c>
      <c r="AH811">
        <v>810</v>
      </c>
    </row>
    <row r="812" spans="1:34" x14ac:dyDescent="0.3">
      <c r="A812">
        <v>46</v>
      </c>
      <c r="B812" t="str" cm="1">
        <f t="array" ref="B812">_xlfn.IFS(A812&lt;=25,"18-25",A812&lt;=35,"26-35",A812&lt;=45,"36-45",A812&lt;=55,"46-55",A812&gt;55,"55+")</f>
        <v>46-55</v>
      </c>
      <c r="C812">
        <v>0</v>
      </c>
      <c r="D812" t="s">
        <v>32</v>
      </c>
      <c r="E812">
        <v>406</v>
      </c>
      <c r="F812" t="s">
        <v>33</v>
      </c>
      <c r="G812">
        <v>3</v>
      </c>
      <c r="H812" t="s">
        <v>49</v>
      </c>
      <c r="I812" t="s">
        <v>72</v>
      </c>
      <c r="J812" t="s">
        <v>44</v>
      </c>
      <c r="K812" t="s">
        <v>50</v>
      </c>
      <c r="L812">
        <v>52</v>
      </c>
      <c r="M812" t="s">
        <v>38</v>
      </c>
      <c r="N812" t="s">
        <v>67</v>
      </c>
      <c r="O812" t="s">
        <v>68</v>
      </c>
      <c r="P812" t="s">
        <v>38</v>
      </c>
      <c r="Q812" t="s">
        <v>52</v>
      </c>
      <c r="R812">
        <v>17465</v>
      </c>
      <c r="S812">
        <v>15596</v>
      </c>
      <c r="T812">
        <v>3</v>
      </c>
      <c r="U812" t="s">
        <v>46</v>
      </c>
      <c r="V812">
        <v>12</v>
      </c>
      <c r="W812" t="s">
        <v>43</v>
      </c>
      <c r="X812" t="s">
        <v>41</v>
      </c>
      <c r="Y812">
        <v>1</v>
      </c>
      <c r="Z812">
        <v>23</v>
      </c>
      <c r="AA812">
        <v>3</v>
      </c>
      <c r="AB812" t="s">
        <v>54</v>
      </c>
      <c r="AC812">
        <v>12</v>
      </c>
      <c r="AD812" t="str" cm="1">
        <f t="array" ref="AD812">_xlfn.IFS(AC812&lt;=5,"0-5",AC812&lt;=10,"5-10",AC812&lt;=40,"10-40")</f>
        <v>10-40</v>
      </c>
      <c r="AE812">
        <v>9</v>
      </c>
      <c r="AF812">
        <v>4</v>
      </c>
      <c r="AG812">
        <v>9</v>
      </c>
      <c r="AH812">
        <v>811</v>
      </c>
    </row>
    <row r="813" spans="1:34" x14ac:dyDescent="0.3">
      <c r="A813">
        <v>38</v>
      </c>
      <c r="B813" t="str" cm="1">
        <f t="array" ref="B813">_xlfn.IFS(A813&lt;=25,"18-25",A813&lt;=35,"26-35",A813&lt;=45,"36-45",A813&lt;=55,"46-55",A813&gt;55,"55+")</f>
        <v>36-45</v>
      </c>
      <c r="C813">
        <v>0</v>
      </c>
      <c r="D813" t="s">
        <v>32</v>
      </c>
      <c r="E813">
        <v>130</v>
      </c>
      <c r="F813" t="s">
        <v>33</v>
      </c>
      <c r="G813">
        <v>2</v>
      </c>
      <c r="H813" t="s">
        <v>34</v>
      </c>
      <c r="I813" t="s">
        <v>72</v>
      </c>
      <c r="J813" t="s">
        <v>41</v>
      </c>
      <c r="K813" t="s">
        <v>50</v>
      </c>
      <c r="L813">
        <v>32</v>
      </c>
      <c r="M813" t="s">
        <v>38</v>
      </c>
      <c r="N813" t="s">
        <v>63</v>
      </c>
      <c r="O813" t="s">
        <v>40</v>
      </c>
      <c r="P813" t="s">
        <v>36</v>
      </c>
      <c r="Q813" t="s">
        <v>42</v>
      </c>
      <c r="R813">
        <v>7351</v>
      </c>
      <c r="S813">
        <v>20619</v>
      </c>
      <c r="T813">
        <v>7</v>
      </c>
      <c r="U813" t="s">
        <v>46</v>
      </c>
      <c r="V813">
        <v>16</v>
      </c>
      <c r="W813" t="s">
        <v>43</v>
      </c>
      <c r="X813" t="s">
        <v>38</v>
      </c>
      <c r="Y813">
        <v>0</v>
      </c>
      <c r="Z813">
        <v>10</v>
      </c>
      <c r="AA813">
        <v>2</v>
      </c>
      <c r="AB813" t="s">
        <v>54</v>
      </c>
      <c r="AC813">
        <v>1</v>
      </c>
      <c r="AD813" t="str" cm="1">
        <f t="array" ref="AD813">_xlfn.IFS(AC813&lt;=5,"0-5",AC813&lt;=10,"5-10",AC813&lt;=40,"10-40")</f>
        <v>0-5</v>
      </c>
      <c r="AE813">
        <v>0</v>
      </c>
      <c r="AF813">
        <v>0</v>
      </c>
      <c r="AG813">
        <v>0</v>
      </c>
      <c r="AH813">
        <v>812</v>
      </c>
    </row>
    <row r="814" spans="1:34" x14ac:dyDescent="0.3">
      <c r="A814">
        <v>43</v>
      </c>
      <c r="B814" t="str" cm="1">
        <f t="array" ref="B814">_xlfn.IFS(A814&lt;=25,"18-25",A814&lt;=35,"26-35",A814&lt;=45,"36-45",A814&lt;=55,"46-55",A814&gt;55,"55+")</f>
        <v>36-45</v>
      </c>
      <c r="C814">
        <v>0</v>
      </c>
      <c r="D814" t="s">
        <v>47</v>
      </c>
      <c r="E814">
        <v>1082</v>
      </c>
      <c r="F814" t="s">
        <v>48</v>
      </c>
      <c r="G814">
        <v>27</v>
      </c>
      <c r="H814" t="s">
        <v>61</v>
      </c>
      <c r="I814" t="s">
        <v>35</v>
      </c>
      <c r="J814" t="s">
        <v>38</v>
      </c>
      <c r="K814" t="s">
        <v>37</v>
      </c>
      <c r="L814">
        <v>83</v>
      </c>
      <c r="M814" t="s">
        <v>38</v>
      </c>
      <c r="N814" t="s">
        <v>63</v>
      </c>
      <c r="O814" t="s">
        <v>64</v>
      </c>
      <c r="P814" t="s">
        <v>44</v>
      </c>
      <c r="Q814" t="s">
        <v>52</v>
      </c>
      <c r="R814">
        <v>10820</v>
      </c>
      <c r="S814">
        <v>11535</v>
      </c>
      <c r="T814">
        <v>8</v>
      </c>
      <c r="U814" t="s">
        <v>46</v>
      </c>
      <c r="V814">
        <v>11</v>
      </c>
      <c r="W814" t="s">
        <v>43</v>
      </c>
      <c r="X814" t="s">
        <v>38</v>
      </c>
      <c r="Y814">
        <v>1</v>
      </c>
      <c r="Z814">
        <v>18</v>
      </c>
      <c r="AA814">
        <v>1</v>
      </c>
      <c r="AB814" t="s">
        <v>54</v>
      </c>
      <c r="AC814">
        <v>8</v>
      </c>
      <c r="AD814" t="str" cm="1">
        <f t="array" ref="AD814">_xlfn.IFS(AC814&lt;=5,"0-5",AC814&lt;=10,"5-10",AC814&lt;=40,"10-40")</f>
        <v>5-10</v>
      </c>
      <c r="AE814">
        <v>7</v>
      </c>
      <c r="AF814">
        <v>0</v>
      </c>
      <c r="AG814">
        <v>1</v>
      </c>
      <c r="AH814">
        <v>813</v>
      </c>
    </row>
    <row r="815" spans="1:34" x14ac:dyDescent="0.3">
      <c r="A815">
        <v>39</v>
      </c>
      <c r="B815" t="str" cm="1">
        <f t="array" ref="B815">_xlfn.IFS(A815&lt;=25,"18-25",A815&lt;=35,"26-35",A815&lt;=45,"36-45",A815&lt;=55,"46-55",A815&gt;55,"55+")</f>
        <v>36-45</v>
      </c>
      <c r="C815">
        <v>1</v>
      </c>
      <c r="D815" t="s">
        <v>47</v>
      </c>
      <c r="E815">
        <v>203</v>
      </c>
      <c r="F815" t="s">
        <v>48</v>
      </c>
      <c r="G815">
        <v>2</v>
      </c>
      <c r="H815" t="s">
        <v>61</v>
      </c>
      <c r="I815" t="s">
        <v>35</v>
      </c>
      <c r="J815" t="s">
        <v>44</v>
      </c>
      <c r="K815" t="s">
        <v>50</v>
      </c>
      <c r="L815">
        <v>84</v>
      </c>
      <c r="M815" t="s">
        <v>38</v>
      </c>
      <c r="N815" t="s">
        <v>67</v>
      </c>
      <c r="O815" t="s">
        <v>65</v>
      </c>
      <c r="P815" t="s">
        <v>41</v>
      </c>
      <c r="Q815" t="s">
        <v>62</v>
      </c>
      <c r="R815">
        <v>12169</v>
      </c>
      <c r="S815">
        <v>13547</v>
      </c>
      <c r="T815">
        <v>7</v>
      </c>
      <c r="U815" t="s">
        <v>46</v>
      </c>
      <c r="V815">
        <v>11</v>
      </c>
      <c r="W815" t="s">
        <v>43</v>
      </c>
      <c r="X815" t="s">
        <v>41</v>
      </c>
      <c r="Y815">
        <v>3</v>
      </c>
      <c r="Z815">
        <v>21</v>
      </c>
      <c r="AA815">
        <v>4</v>
      </c>
      <c r="AB815" t="s">
        <v>54</v>
      </c>
      <c r="AC815">
        <v>18</v>
      </c>
      <c r="AD815" t="str" cm="1">
        <f t="array" ref="AD815">_xlfn.IFS(AC815&lt;=5,"0-5",AC815&lt;=10,"5-10",AC815&lt;=40,"10-40")</f>
        <v>10-40</v>
      </c>
      <c r="AE815">
        <v>7</v>
      </c>
      <c r="AF815">
        <v>11</v>
      </c>
      <c r="AG815">
        <v>5</v>
      </c>
      <c r="AH815">
        <v>814</v>
      </c>
    </row>
    <row r="816" spans="1:34" x14ac:dyDescent="0.3">
      <c r="A816">
        <v>40</v>
      </c>
      <c r="B816" t="str" cm="1">
        <f t="array" ref="B816">_xlfn.IFS(A816&lt;=25,"18-25",A816&lt;=35,"26-35",A816&lt;=45,"36-45",A816&lt;=55,"46-55",A816&gt;55,"55+")</f>
        <v>36-45</v>
      </c>
      <c r="C816">
        <v>0</v>
      </c>
      <c r="D816" t="s">
        <v>32</v>
      </c>
      <c r="E816">
        <v>1308</v>
      </c>
      <c r="F816" t="s">
        <v>48</v>
      </c>
      <c r="G816">
        <v>14</v>
      </c>
      <c r="H816" t="s">
        <v>61</v>
      </c>
      <c r="I816" t="s">
        <v>59</v>
      </c>
      <c r="J816" t="s">
        <v>38</v>
      </c>
      <c r="K816" t="s">
        <v>50</v>
      </c>
      <c r="L816">
        <v>44</v>
      </c>
      <c r="M816" t="s">
        <v>36</v>
      </c>
      <c r="N816" t="s">
        <v>71</v>
      </c>
      <c r="O816" t="s">
        <v>70</v>
      </c>
      <c r="P816" t="s">
        <v>38</v>
      </c>
      <c r="Q816" t="s">
        <v>42</v>
      </c>
      <c r="R816">
        <v>19626</v>
      </c>
      <c r="S816">
        <v>17544</v>
      </c>
      <c r="T816">
        <v>1</v>
      </c>
      <c r="U816" t="s">
        <v>46</v>
      </c>
      <c r="V816">
        <v>14</v>
      </c>
      <c r="W816" t="s">
        <v>43</v>
      </c>
      <c r="X816" t="s">
        <v>44</v>
      </c>
      <c r="Y816">
        <v>0</v>
      </c>
      <c r="Z816">
        <v>21</v>
      </c>
      <c r="AA816">
        <v>2</v>
      </c>
      <c r="AB816" t="s">
        <v>73</v>
      </c>
      <c r="AC816">
        <v>20</v>
      </c>
      <c r="AD816" t="str" cm="1">
        <f t="array" ref="AD816">_xlfn.IFS(AC816&lt;=5,"0-5",AC816&lt;=10,"5-10",AC816&lt;=40,"10-40")</f>
        <v>10-40</v>
      </c>
      <c r="AE816">
        <v>7</v>
      </c>
      <c r="AF816">
        <v>4</v>
      </c>
      <c r="AG816">
        <v>9</v>
      </c>
      <c r="AH816">
        <v>815</v>
      </c>
    </row>
    <row r="817" spans="1:34" x14ac:dyDescent="0.3">
      <c r="A817">
        <v>21</v>
      </c>
      <c r="B817" t="str" cm="1">
        <f t="array" ref="B817">_xlfn.IFS(A817&lt;=25,"18-25",A817&lt;=35,"26-35",A817&lt;=45,"36-45",A817&lt;=55,"46-55",A817&gt;55,"55+")</f>
        <v>18-25</v>
      </c>
      <c r="C817">
        <v>0</v>
      </c>
      <c r="D817" t="s">
        <v>32</v>
      </c>
      <c r="E817">
        <v>984</v>
      </c>
      <c r="F817" t="s">
        <v>48</v>
      </c>
      <c r="G817">
        <v>1</v>
      </c>
      <c r="H817" t="s">
        <v>49</v>
      </c>
      <c r="I817" t="s">
        <v>74</v>
      </c>
      <c r="J817" t="s">
        <v>41</v>
      </c>
      <c r="K817" t="s">
        <v>37</v>
      </c>
      <c r="L817">
        <v>70</v>
      </c>
      <c r="M817" t="s">
        <v>36</v>
      </c>
      <c r="N817" t="s">
        <v>56</v>
      </c>
      <c r="O817" t="s">
        <v>51</v>
      </c>
      <c r="P817" t="s">
        <v>36</v>
      </c>
      <c r="Q817" t="s">
        <v>42</v>
      </c>
      <c r="R817">
        <v>2070</v>
      </c>
      <c r="S817">
        <v>25326</v>
      </c>
      <c r="T817">
        <v>1</v>
      </c>
      <c r="U817" t="s">
        <v>31</v>
      </c>
      <c r="V817">
        <v>11</v>
      </c>
      <c r="W817" t="s">
        <v>43</v>
      </c>
      <c r="X817" t="s">
        <v>38</v>
      </c>
      <c r="Y817">
        <v>0</v>
      </c>
      <c r="Z817">
        <v>2</v>
      </c>
      <c r="AA817">
        <v>6</v>
      </c>
      <c r="AB817" t="s">
        <v>73</v>
      </c>
      <c r="AC817">
        <v>2</v>
      </c>
      <c r="AD817" t="str" cm="1">
        <f t="array" ref="AD817">_xlfn.IFS(AC817&lt;=5,"0-5",AC817&lt;=10,"5-10",AC817&lt;=40,"10-40")</f>
        <v>0-5</v>
      </c>
      <c r="AE817">
        <v>2</v>
      </c>
      <c r="AF817">
        <v>2</v>
      </c>
      <c r="AG817">
        <v>2</v>
      </c>
      <c r="AH817">
        <v>816</v>
      </c>
    </row>
    <row r="818" spans="1:34" x14ac:dyDescent="0.3">
      <c r="A818">
        <v>39</v>
      </c>
      <c r="B818" t="str" cm="1">
        <f t="array" ref="B818">_xlfn.IFS(A818&lt;=25,"18-25",A818&lt;=35,"26-35",A818&lt;=45,"36-45",A818&lt;=55,"46-55",A818&gt;55,"55+")</f>
        <v>36-45</v>
      </c>
      <c r="C818">
        <v>0</v>
      </c>
      <c r="D818" t="s">
        <v>66</v>
      </c>
      <c r="E818">
        <v>439</v>
      </c>
      <c r="F818" t="s">
        <v>48</v>
      </c>
      <c r="G818">
        <v>9</v>
      </c>
      <c r="H818" t="s">
        <v>61</v>
      </c>
      <c r="I818" t="s">
        <v>35</v>
      </c>
      <c r="J818" t="s">
        <v>38</v>
      </c>
      <c r="K818" t="s">
        <v>50</v>
      </c>
      <c r="L818">
        <v>70</v>
      </c>
      <c r="M818" t="s">
        <v>38</v>
      </c>
      <c r="N818" t="s">
        <v>39</v>
      </c>
      <c r="O818" t="s">
        <v>57</v>
      </c>
      <c r="P818" t="s">
        <v>36</v>
      </c>
      <c r="Q818" t="s">
        <v>42</v>
      </c>
      <c r="R818">
        <v>6782</v>
      </c>
      <c r="S818">
        <v>8770</v>
      </c>
      <c r="T818">
        <v>9</v>
      </c>
      <c r="U818" t="s">
        <v>46</v>
      </c>
      <c r="V818">
        <v>15</v>
      </c>
      <c r="W818" t="s">
        <v>43</v>
      </c>
      <c r="X818" t="s">
        <v>38</v>
      </c>
      <c r="Y818">
        <v>0</v>
      </c>
      <c r="Z818">
        <v>9</v>
      </c>
      <c r="AA818">
        <v>2</v>
      </c>
      <c r="AB818" t="s">
        <v>60</v>
      </c>
      <c r="AC818">
        <v>5</v>
      </c>
      <c r="AD818" t="str" cm="1">
        <f t="array" ref="AD818">_xlfn.IFS(AC818&lt;=5,"0-5",AC818&lt;=10,"5-10",AC818&lt;=40,"10-40")</f>
        <v>0-5</v>
      </c>
      <c r="AE818">
        <v>4</v>
      </c>
      <c r="AF818">
        <v>0</v>
      </c>
      <c r="AG818">
        <v>3</v>
      </c>
      <c r="AH818">
        <v>817</v>
      </c>
    </row>
    <row r="819" spans="1:34" x14ac:dyDescent="0.3">
      <c r="A819">
        <v>36</v>
      </c>
      <c r="B819" t="str" cm="1">
        <f t="array" ref="B819">_xlfn.IFS(A819&lt;=25,"18-25",A819&lt;=35,"26-35",A819&lt;=45,"36-45",A819&lt;=55,"46-55",A819&gt;55,"55+")</f>
        <v>36-45</v>
      </c>
      <c r="C819">
        <v>0</v>
      </c>
      <c r="D819" t="s">
        <v>66</v>
      </c>
      <c r="E819">
        <v>217</v>
      </c>
      <c r="F819" t="s">
        <v>48</v>
      </c>
      <c r="G819">
        <v>18</v>
      </c>
      <c r="H819" t="s">
        <v>58</v>
      </c>
      <c r="I819" t="s">
        <v>35</v>
      </c>
      <c r="J819" t="s">
        <v>44</v>
      </c>
      <c r="K819" t="s">
        <v>50</v>
      </c>
      <c r="L819">
        <v>78</v>
      </c>
      <c r="M819" t="s">
        <v>38</v>
      </c>
      <c r="N819" t="s">
        <v>39</v>
      </c>
      <c r="O819" t="s">
        <v>64</v>
      </c>
      <c r="P819" t="s">
        <v>41</v>
      </c>
      <c r="Q819" t="s">
        <v>42</v>
      </c>
      <c r="R819">
        <v>7779</v>
      </c>
      <c r="S819">
        <v>23238</v>
      </c>
      <c r="T819">
        <v>2</v>
      </c>
      <c r="U819" t="s">
        <v>46</v>
      </c>
      <c r="V819">
        <v>20</v>
      </c>
      <c r="W819" t="s">
        <v>53</v>
      </c>
      <c r="X819" t="s">
        <v>44</v>
      </c>
      <c r="Y819">
        <v>0</v>
      </c>
      <c r="Z819">
        <v>18</v>
      </c>
      <c r="AA819">
        <v>0</v>
      </c>
      <c r="AB819" t="s">
        <v>54</v>
      </c>
      <c r="AC819">
        <v>11</v>
      </c>
      <c r="AD819" t="str" cm="1">
        <f t="array" ref="AD819">_xlfn.IFS(AC819&lt;=5,"0-5",AC819&lt;=10,"5-10",AC819&lt;=40,"10-40")</f>
        <v>10-40</v>
      </c>
      <c r="AE819">
        <v>9</v>
      </c>
      <c r="AF819">
        <v>0</v>
      </c>
      <c r="AG819">
        <v>9</v>
      </c>
      <c r="AH819">
        <v>818</v>
      </c>
    </row>
    <row r="820" spans="1:34" x14ac:dyDescent="0.3">
      <c r="A820">
        <v>31</v>
      </c>
      <c r="B820" t="str" cm="1">
        <f t="array" ref="B820">_xlfn.IFS(A820&lt;=25,"18-25",A820&lt;=35,"26-35",A820&lt;=45,"36-45",A820&lt;=55,"46-55",A820&gt;55,"55+")</f>
        <v>26-35</v>
      </c>
      <c r="C820">
        <v>0</v>
      </c>
      <c r="D820" t="s">
        <v>47</v>
      </c>
      <c r="E820">
        <v>793</v>
      </c>
      <c r="F820" t="s">
        <v>33</v>
      </c>
      <c r="G820">
        <v>20</v>
      </c>
      <c r="H820" t="s">
        <v>61</v>
      </c>
      <c r="I820" t="s">
        <v>35</v>
      </c>
      <c r="J820" t="s">
        <v>38</v>
      </c>
      <c r="K820" t="s">
        <v>50</v>
      </c>
      <c r="L820">
        <v>67</v>
      </c>
      <c r="M820" t="s">
        <v>41</v>
      </c>
      <c r="N820" t="s">
        <v>56</v>
      </c>
      <c r="O820" t="s">
        <v>69</v>
      </c>
      <c r="P820" t="s">
        <v>41</v>
      </c>
      <c r="Q820" t="s">
        <v>52</v>
      </c>
      <c r="R820">
        <v>2791</v>
      </c>
      <c r="S820">
        <v>21981</v>
      </c>
      <c r="T820">
        <v>0</v>
      </c>
      <c r="U820" t="s">
        <v>46</v>
      </c>
      <c r="V820">
        <v>12</v>
      </c>
      <c r="W820" t="s">
        <v>43</v>
      </c>
      <c r="X820" t="s">
        <v>44</v>
      </c>
      <c r="Y820">
        <v>1</v>
      </c>
      <c r="Z820">
        <v>3</v>
      </c>
      <c r="AA820">
        <v>4</v>
      </c>
      <c r="AB820" t="s">
        <v>54</v>
      </c>
      <c r="AC820">
        <v>2</v>
      </c>
      <c r="AD820" t="str" cm="1">
        <f t="array" ref="AD820">_xlfn.IFS(AC820&lt;=5,"0-5",AC820&lt;=10,"5-10",AC820&lt;=40,"10-40")</f>
        <v>0-5</v>
      </c>
      <c r="AE820">
        <v>2</v>
      </c>
      <c r="AF820">
        <v>2</v>
      </c>
      <c r="AG820">
        <v>2</v>
      </c>
      <c r="AH820">
        <v>819</v>
      </c>
    </row>
    <row r="821" spans="1:34" x14ac:dyDescent="0.3">
      <c r="A821">
        <v>28</v>
      </c>
      <c r="B821" t="str" cm="1">
        <f t="array" ref="B821">_xlfn.IFS(A821&lt;=25,"18-25",A821&lt;=35,"26-35",A821&lt;=45,"36-45",A821&lt;=55,"46-55",A821&gt;55,"55+")</f>
        <v>26-35</v>
      </c>
      <c r="C821">
        <v>0</v>
      </c>
      <c r="D821" t="s">
        <v>32</v>
      </c>
      <c r="E821">
        <v>1451</v>
      </c>
      <c r="F821" t="s">
        <v>48</v>
      </c>
      <c r="G821">
        <v>2</v>
      </c>
      <c r="H821" t="s">
        <v>49</v>
      </c>
      <c r="I821" t="s">
        <v>35</v>
      </c>
      <c r="J821" t="s">
        <v>44</v>
      </c>
      <c r="K821" t="s">
        <v>50</v>
      </c>
      <c r="L821">
        <v>67</v>
      </c>
      <c r="M821" t="s">
        <v>36</v>
      </c>
      <c r="N821" t="s">
        <v>56</v>
      </c>
      <c r="O821" t="s">
        <v>51</v>
      </c>
      <c r="P821" t="s">
        <v>36</v>
      </c>
      <c r="Q821" t="s">
        <v>52</v>
      </c>
      <c r="R821">
        <v>3201</v>
      </c>
      <c r="S821">
        <v>19911</v>
      </c>
      <c r="T821">
        <v>0</v>
      </c>
      <c r="U821" t="s">
        <v>46</v>
      </c>
      <c r="V821">
        <v>17</v>
      </c>
      <c r="W821" t="s">
        <v>43</v>
      </c>
      <c r="X821" t="s">
        <v>44</v>
      </c>
      <c r="Y821">
        <v>0</v>
      </c>
      <c r="Z821">
        <v>6</v>
      </c>
      <c r="AA821">
        <v>2</v>
      </c>
      <c r="AB821" t="s">
        <v>45</v>
      </c>
      <c r="AC821">
        <v>5</v>
      </c>
      <c r="AD821" t="str" cm="1">
        <f t="array" ref="AD821">_xlfn.IFS(AC821&lt;=5,"0-5",AC821&lt;=10,"5-10",AC821&lt;=40,"10-40")</f>
        <v>0-5</v>
      </c>
      <c r="AE821">
        <v>3</v>
      </c>
      <c r="AF821">
        <v>0</v>
      </c>
      <c r="AG821">
        <v>4</v>
      </c>
      <c r="AH821">
        <v>820</v>
      </c>
    </row>
    <row r="822" spans="1:34" x14ac:dyDescent="0.3">
      <c r="A822">
        <v>35</v>
      </c>
      <c r="B822" t="str" cm="1">
        <f t="array" ref="B822">_xlfn.IFS(A822&lt;=25,"18-25",A822&lt;=35,"26-35",A822&lt;=45,"36-45",A822&lt;=55,"46-55",A822&gt;55,"55+")</f>
        <v>26-35</v>
      </c>
      <c r="C822">
        <v>0</v>
      </c>
      <c r="D822" t="s">
        <v>47</v>
      </c>
      <c r="E822">
        <v>1182</v>
      </c>
      <c r="F822" t="s">
        <v>33</v>
      </c>
      <c r="G822">
        <v>11</v>
      </c>
      <c r="H822" t="s">
        <v>34</v>
      </c>
      <c r="I822" t="s">
        <v>72</v>
      </c>
      <c r="J822" t="s">
        <v>41</v>
      </c>
      <c r="K822" t="s">
        <v>50</v>
      </c>
      <c r="L822">
        <v>54</v>
      </c>
      <c r="M822" t="s">
        <v>38</v>
      </c>
      <c r="N822" t="s">
        <v>39</v>
      </c>
      <c r="O822" t="s">
        <v>40</v>
      </c>
      <c r="P822" t="s">
        <v>41</v>
      </c>
      <c r="Q822" t="s">
        <v>62</v>
      </c>
      <c r="R822">
        <v>4968</v>
      </c>
      <c r="S822">
        <v>18500</v>
      </c>
      <c r="T822">
        <v>1</v>
      </c>
      <c r="U822" t="s">
        <v>46</v>
      </c>
      <c r="V822">
        <v>11</v>
      </c>
      <c r="W822" t="s">
        <v>43</v>
      </c>
      <c r="X822" t="s">
        <v>41</v>
      </c>
      <c r="Y822">
        <v>1</v>
      </c>
      <c r="Z822">
        <v>5</v>
      </c>
      <c r="AA822">
        <v>3</v>
      </c>
      <c r="AB822" t="s">
        <v>54</v>
      </c>
      <c r="AC822">
        <v>5</v>
      </c>
      <c r="AD822" t="str" cm="1">
        <f t="array" ref="AD822">_xlfn.IFS(AC822&lt;=5,"0-5",AC822&lt;=10,"5-10",AC822&lt;=40,"10-40")</f>
        <v>0-5</v>
      </c>
      <c r="AE822">
        <v>2</v>
      </c>
      <c r="AF822">
        <v>0</v>
      </c>
      <c r="AG822">
        <v>2</v>
      </c>
      <c r="AH822">
        <v>821</v>
      </c>
    </row>
    <row r="823" spans="1:34" x14ac:dyDescent="0.3">
      <c r="A823">
        <v>49</v>
      </c>
      <c r="B823" t="str" cm="1">
        <f t="array" ref="B823">_xlfn.IFS(A823&lt;=25,"18-25",A823&lt;=35,"26-35",A823&lt;=45,"36-45",A823&lt;=55,"46-55",A823&gt;55,"55+")</f>
        <v>46-55</v>
      </c>
      <c r="C823">
        <v>0</v>
      </c>
      <c r="D823" t="s">
        <v>32</v>
      </c>
      <c r="E823">
        <v>174</v>
      </c>
      <c r="F823" t="s">
        <v>33</v>
      </c>
      <c r="G823">
        <v>8</v>
      </c>
      <c r="H823" t="s">
        <v>58</v>
      </c>
      <c r="I823" t="s">
        <v>74</v>
      </c>
      <c r="J823" t="s">
        <v>41</v>
      </c>
      <c r="K823" t="s">
        <v>50</v>
      </c>
      <c r="L823">
        <v>56</v>
      </c>
      <c r="M823" t="s">
        <v>36</v>
      </c>
      <c r="N823" t="s">
        <v>67</v>
      </c>
      <c r="O823" t="s">
        <v>40</v>
      </c>
      <c r="P823" t="s">
        <v>36</v>
      </c>
      <c r="Q823" t="s">
        <v>52</v>
      </c>
      <c r="R823">
        <v>13120</v>
      </c>
      <c r="S823">
        <v>11879</v>
      </c>
      <c r="T823">
        <v>6</v>
      </c>
      <c r="U823" t="s">
        <v>46</v>
      </c>
      <c r="V823">
        <v>17</v>
      </c>
      <c r="W823" t="s">
        <v>43</v>
      </c>
      <c r="X823" t="s">
        <v>36</v>
      </c>
      <c r="Y823">
        <v>1</v>
      </c>
      <c r="Z823">
        <v>22</v>
      </c>
      <c r="AA823">
        <v>3</v>
      </c>
      <c r="AB823" t="s">
        <v>54</v>
      </c>
      <c r="AC823">
        <v>9</v>
      </c>
      <c r="AD823" t="str" cm="1">
        <f t="array" ref="AD823">_xlfn.IFS(AC823&lt;=5,"0-5",AC823&lt;=10,"5-10",AC823&lt;=40,"10-40")</f>
        <v>5-10</v>
      </c>
      <c r="AE823">
        <v>8</v>
      </c>
      <c r="AF823">
        <v>2</v>
      </c>
      <c r="AG823">
        <v>3</v>
      </c>
      <c r="AH823">
        <v>822</v>
      </c>
    </row>
    <row r="824" spans="1:34" x14ac:dyDescent="0.3">
      <c r="A824">
        <v>34</v>
      </c>
      <c r="B824" t="str" cm="1">
        <f t="array" ref="B824">_xlfn.IFS(A824&lt;=25,"18-25",A824&lt;=35,"26-35",A824&lt;=45,"36-45",A824&lt;=55,"46-55",A824&gt;55,"55+")</f>
        <v>26-35</v>
      </c>
      <c r="C824">
        <v>0</v>
      </c>
      <c r="D824" t="s">
        <v>47</v>
      </c>
      <c r="E824">
        <v>1003</v>
      </c>
      <c r="F824" t="s">
        <v>48</v>
      </c>
      <c r="G824">
        <v>2</v>
      </c>
      <c r="H824" t="s">
        <v>34</v>
      </c>
      <c r="I824" t="s">
        <v>35</v>
      </c>
      <c r="J824" t="s">
        <v>41</v>
      </c>
      <c r="K824" t="s">
        <v>50</v>
      </c>
      <c r="L824">
        <v>95</v>
      </c>
      <c r="M824" t="s">
        <v>38</v>
      </c>
      <c r="N824" t="s">
        <v>39</v>
      </c>
      <c r="O824" t="s">
        <v>64</v>
      </c>
      <c r="P824" t="s">
        <v>38</v>
      </c>
      <c r="Q824" t="s">
        <v>42</v>
      </c>
      <c r="R824">
        <v>4033</v>
      </c>
      <c r="S824">
        <v>15834</v>
      </c>
      <c r="T824">
        <v>2</v>
      </c>
      <c r="U824" t="s">
        <v>46</v>
      </c>
      <c r="V824">
        <v>11</v>
      </c>
      <c r="W824" t="s">
        <v>43</v>
      </c>
      <c r="X824" t="s">
        <v>41</v>
      </c>
      <c r="Y824">
        <v>0</v>
      </c>
      <c r="Z824">
        <v>5</v>
      </c>
      <c r="AA824">
        <v>3</v>
      </c>
      <c r="AB824" t="s">
        <v>60</v>
      </c>
      <c r="AC824">
        <v>3</v>
      </c>
      <c r="AD824" t="str" cm="1">
        <f t="array" ref="AD824">_xlfn.IFS(AC824&lt;=5,"0-5",AC824&lt;=10,"5-10",AC824&lt;=40,"10-40")</f>
        <v>0-5</v>
      </c>
      <c r="AE824">
        <v>2</v>
      </c>
      <c r="AF824">
        <v>0</v>
      </c>
      <c r="AG824">
        <v>2</v>
      </c>
      <c r="AH824">
        <v>823</v>
      </c>
    </row>
    <row r="825" spans="1:34" x14ac:dyDescent="0.3">
      <c r="A825">
        <v>29</v>
      </c>
      <c r="B825" t="str" cm="1">
        <f t="array" ref="B825">_xlfn.IFS(A825&lt;=25,"18-25",A825&lt;=35,"26-35",A825&lt;=45,"36-45",A825&lt;=55,"46-55",A825&gt;55,"55+")</f>
        <v>26-35</v>
      </c>
      <c r="C825">
        <v>0</v>
      </c>
      <c r="D825" t="s">
        <v>47</v>
      </c>
      <c r="E825">
        <v>490</v>
      </c>
      <c r="F825" t="s">
        <v>48</v>
      </c>
      <c r="G825">
        <v>10</v>
      </c>
      <c r="H825" t="s">
        <v>61</v>
      </c>
      <c r="I825" t="s">
        <v>35</v>
      </c>
      <c r="J825" t="s">
        <v>41</v>
      </c>
      <c r="K825" t="s">
        <v>37</v>
      </c>
      <c r="L825">
        <v>61</v>
      </c>
      <c r="M825" t="s">
        <v>38</v>
      </c>
      <c r="N825" t="s">
        <v>56</v>
      </c>
      <c r="O825" t="s">
        <v>51</v>
      </c>
      <c r="P825" t="s">
        <v>36</v>
      </c>
      <c r="Q825" t="s">
        <v>62</v>
      </c>
      <c r="R825">
        <v>3291</v>
      </c>
      <c r="S825">
        <v>17940</v>
      </c>
      <c r="T825">
        <v>0</v>
      </c>
      <c r="U825" t="s">
        <v>46</v>
      </c>
      <c r="V825">
        <v>14</v>
      </c>
      <c r="W825" t="s">
        <v>43</v>
      </c>
      <c r="X825" t="s">
        <v>41</v>
      </c>
      <c r="Y825">
        <v>2</v>
      </c>
      <c r="Z825">
        <v>8</v>
      </c>
      <c r="AA825">
        <v>2</v>
      </c>
      <c r="AB825" t="s">
        <v>60</v>
      </c>
      <c r="AC825">
        <v>7</v>
      </c>
      <c r="AD825" t="str" cm="1">
        <f t="array" ref="AD825">_xlfn.IFS(AC825&lt;=5,"0-5",AC825&lt;=10,"5-10",AC825&lt;=40,"10-40")</f>
        <v>5-10</v>
      </c>
      <c r="AE825">
        <v>5</v>
      </c>
      <c r="AF825">
        <v>1</v>
      </c>
      <c r="AG825">
        <v>1</v>
      </c>
      <c r="AH825">
        <v>824</v>
      </c>
    </row>
    <row r="826" spans="1:34" x14ac:dyDescent="0.3">
      <c r="A826">
        <v>42</v>
      </c>
      <c r="B826" t="str" cm="1">
        <f t="array" ref="B826">_xlfn.IFS(A826&lt;=25,"18-25",A826&lt;=35,"26-35",A826&lt;=45,"36-45",A826&lt;=55,"46-55",A826&gt;55,"55+")</f>
        <v>36-45</v>
      </c>
      <c r="C826">
        <v>0</v>
      </c>
      <c r="D826" t="s">
        <v>32</v>
      </c>
      <c r="E826">
        <v>188</v>
      </c>
      <c r="F826" t="s">
        <v>48</v>
      </c>
      <c r="G826">
        <v>29</v>
      </c>
      <c r="H826" t="s">
        <v>61</v>
      </c>
      <c r="I826" t="s">
        <v>59</v>
      </c>
      <c r="J826" t="s">
        <v>36</v>
      </c>
      <c r="K826" t="s">
        <v>50</v>
      </c>
      <c r="L826">
        <v>56</v>
      </c>
      <c r="M826" t="s">
        <v>44</v>
      </c>
      <c r="N826" t="s">
        <v>39</v>
      </c>
      <c r="O826" t="s">
        <v>57</v>
      </c>
      <c r="P826" t="s">
        <v>41</v>
      </c>
      <c r="Q826" t="s">
        <v>42</v>
      </c>
      <c r="R826">
        <v>4272</v>
      </c>
      <c r="S826">
        <v>9558</v>
      </c>
      <c r="T826">
        <v>4</v>
      </c>
      <c r="U826" t="s">
        <v>46</v>
      </c>
      <c r="V826">
        <v>19</v>
      </c>
      <c r="W826" t="s">
        <v>43</v>
      </c>
      <c r="X826" t="s">
        <v>44</v>
      </c>
      <c r="Y826">
        <v>0</v>
      </c>
      <c r="Z826">
        <v>16</v>
      </c>
      <c r="AA826">
        <v>3</v>
      </c>
      <c r="AB826" t="s">
        <v>54</v>
      </c>
      <c r="AC826">
        <v>1</v>
      </c>
      <c r="AD826" t="str" cm="1">
        <f t="array" ref="AD826">_xlfn.IFS(AC826&lt;=5,"0-5",AC826&lt;=10,"5-10",AC826&lt;=40,"10-40")</f>
        <v>0-5</v>
      </c>
      <c r="AE826">
        <v>0</v>
      </c>
      <c r="AF826">
        <v>0</v>
      </c>
      <c r="AG826">
        <v>0</v>
      </c>
      <c r="AH826">
        <v>825</v>
      </c>
    </row>
    <row r="827" spans="1:34" x14ac:dyDescent="0.3">
      <c r="A827">
        <v>29</v>
      </c>
      <c r="B827" t="str" cm="1">
        <f t="array" ref="B827">_xlfn.IFS(A827&lt;=25,"18-25",A827&lt;=35,"26-35",A827&lt;=45,"36-45",A827&lt;=55,"46-55",A827&gt;55,"55+")</f>
        <v>26-35</v>
      </c>
      <c r="C827">
        <v>0</v>
      </c>
      <c r="D827" t="s">
        <v>32</v>
      </c>
      <c r="E827">
        <v>718</v>
      </c>
      <c r="F827" t="s">
        <v>48</v>
      </c>
      <c r="G827">
        <v>8</v>
      </c>
      <c r="H827" t="s">
        <v>49</v>
      </c>
      <c r="I827" t="s">
        <v>59</v>
      </c>
      <c r="J827" t="s">
        <v>36</v>
      </c>
      <c r="K827" t="s">
        <v>50</v>
      </c>
      <c r="L827">
        <v>79</v>
      </c>
      <c r="M827" t="s">
        <v>36</v>
      </c>
      <c r="N827" t="s">
        <v>39</v>
      </c>
      <c r="O827" t="s">
        <v>64</v>
      </c>
      <c r="P827" t="s">
        <v>41</v>
      </c>
      <c r="Q827" t="s">
        <v>52</v>
      </c>
      <c r="R827">
        <v>5056</v>
      </c>
      <c r="S827">
        <v>17689</v>
      </c>
      <c r="T827">
        <v>1</v>
      </c>
      <c r="U827" t="s">
        <v>31</v>
      </c>
      <c r="V827">
        <v>15</v>
      </c>
      <c r="W827" t="s">
        <v>43</v>
      </c>
      <c r="X827" t="s">
        <v>38</v>
      </c>
      <c r="Y827">
        <v>1</v>
      </c>
      <c r="Z827">
        <v>10</v>
      </c>
      <c r="AA827">
        <v>2</v>
      </c>
      <c r="AB827" t="s">
        <v>60</v>
      </c>
      <c r="AC827">
        <v>10</v>
      </c>
      <c r="AD827" t="str" cm="1">
        <f t="array" ref="AD827">_xlfn.IFS(AC827&lt;=5,"0-5",AC827&lt;=10,"5-10",AC827&lt;=40,"10-40")</f>
        <v>5-10</v>
      </c>
      <c r="AE827">
        <v>7</v>
      </c>
      <c r="AF827">
        <v>1</v>
      </c>
      <c r="AG827">
        <v>2</v>
      </c>
      <c r="AH827">
        <v>826</v>
      </c>
    </row>
    <row r="828" spans="1:34" x14ac:dyDescent="0.3">
      <c r="A828">
        <v>38</v>
      </c>
      <c r="B828" t="str" cm="1">
        <f t="array" ref="B828">_xlfn.IFS(A828&lt;=25,"18-25",A828&lt;=35,"26-35",A828&lt;=45,"36-45",A828&lt;=55,"46-55",A828&gt;55,"55+")</f>
        <v>36-45</v>
      </c>
      <c r="C828">
        <v>0</v>
      </c>
      <c r="D828" t="s">
        <v>32</v>
      </c>
      <c r="E828">
        <v>433</v>
      </c>
      <c r="F828" t="s">
        <v>76</v>
      </c>
      <c r="G828">
        <v>1</v>
      </c>
      <c r="H828" t="s">
        <v>61</v>
      </c>
      <c r="I828" t="s">
        <v>76</v>
      </c>
      <c r="J828" t="s">
        <v>38</v>
      </c>
      <c r="K828" t="s">
        <v>50</v>
      </c>
      <c r="L828">
        <v>37</v>
      </c>
      <c r="M828" t="s">
        <v>41</v>
      </c>
      <c r="N828" t="s">
        <v>56</v>
      </c>
      <c r="O828" t="s">
        <v>76</v>
      </c>
      <c r="P828" t="s">
        <v>38</v>
      </c>
      <c r="Q828" t="s">
        <v>52</v>
      </c>
      <c r="R828">
        <v>2844</v>
      </c>
      <c r="S828">
        <v>6004</v>
      </c>
      <c r="T828">
        <v>1</v>
      </c>
      <c r="U828" t="s">
        <v>46</v>
      </c>
      <c r="V828">
        <v>13</v>
      </c>
      <c r="W828" t="s">
        <v>43</v>
      </c>
      <c r="X828" t="s">
        <v>41</v>
      </c>
      <c r="Y828">
        <v>1</v>
      </c>
      <c r="Z828">
        <v>7</v>
      </c>
      <c r="AA828">
        <v>2</v>
      </c>
      <c r="AB828" t="s">
        <v>73</v>
      </c>
      <c r="AC828">
        <v>7</v>
      </c>
      <c r="AD828" t="str" cm="1">
        <f t="array" ref="AD828">_xlfn.IFS(AC828&lt;=5,"0-5",AC828&lt;=10,"5-10",AC828&lt;=40,"10-40")</f>
        <v>5-10</v>
      </c>
      <c r="AE828">
        <v>6</v>
      </c>
      <c r="AF828">
        <v>5</v>
      </c>
      <c r="AG828">
        <v>0</v>
      </c>
      <c r="AH828">
        <v>827</v>
      </c>
    </row>
    <row r="829" spans="1:34" x14ac:dyDescent="0.3">
      <c r="A829">
        <v>28</v>
      </c>
      <c r="B829" t="str" cm="1">
        <f t="array" ref="B829">_xlfn.IFS(A829&lt;=25,"18-25",A829&lt;=35,"26-35",A829&lt;=45,"36-45",A829&lt;=55,"46-55",A829&gt;55,"55+")</f>
        <v>26-35</v>
      </c>
      <c r="C829">
        <v>0</v>
      </c>
      <c r="D829" t="s">
        <v>47</v>
      </c>
      <c r="E829">
        <v>773</v>
      </c>
      <c r="F829" t="s">
        <v>48</v>
      </c>
      <c r="G829">
        <v>6</v>
      </c>
      <c r="H829" t="s">
        <v>61</v>
      </c>
      <c r="I829" t="s">
        <v>35</v>
      </c>
      <c r="J829" t="s">
        <v>38</v>
      </c>
      <c r="K829" t="s">
        <v>50</v>
      </c>
      <c r="L829">
        <v>39</v>
      </c>
      <c r="M829" t="s">
        <v>36</v>
      </c>
      <c r="N829" t="s">
        <v>56</v>
      </c>
      <c r="O829" t="s">
        <v>51</v>
      </c>
      <c r="P829" t="s">
        <v>38</v>
      </c>
      <c r="Q829" t="s">
        <v>62</v>
      </c>
      <c r="R829">
        <v>2703</v>
      </c>
      <c r="S829">
        <v>22088</v>
      </c>
      <c r="T829">
        <v>1</v>
      </c>
      <c r="U829" t="s">
        <v>31</v>
      </c>
      <c r="V829">
        <v>14</v>
      </c>
      <c r="W829" t="s">
        <v>43</v>
      </c>
      <c r="X829" t="s">
        <v>41</v>
      </c>
      <c r="Y829">
        <v>1</v>
      </c>
      <c r="Z829">
        <v>3</v>
      </c>
      <c r="AA829">
        <v>2</v>
      </c>
      <c r="AB829" t="s">
        <v>54</v>
      </c>
      <c r="AC829">
        <v>3</v>
      </c>
      <c r="AD829" t="str" cm="1">
        <f t="array" ref="AD829">_xlfn.IFS(AC829&lt;=5,"0-5",AC829&lt;=10,"5-10",AC829&lt;=40,"10-40")</f>
        <v>0-5</v>
      </c>
      <c r="AE829">
        <v>1</v>
      </c>
      <c r="AF829">
        <v>0</v>
      </c>
      <c r="AG829">
        <v>2</v>
      </c>
      <c r="AH829">
        <v>828</v>
      </c>
    </row>
    <row r="830" spans="1:34" x14ac:dyDescent="0.3">
      <c r="A830">
        <v>18</v>
      </c>
      <c r="B830" t="str" cm="1">
        <f t="array" ref="B830">_xlfn.IFS(A830&lt;=25,"18-25",A830&lt;=35,"26-35",A830&lt;=45,"36-45",A830&lt;=55,"46-55",A830&gt;55,"55+")</f>
        <v>18-25</v>
      </c>
      <c r="C830">
        <v>1</v>
      </c>
      <c r="D830" t="s">
        <v>66</v>
      </c>
      <c r="E830">
        <v>247</v>
      </c>
      <c r="F830" t="s">
        <v>48</v>
      </c>
      <c r="G830">
        <v>8</v>
      </c>
      <c r="H830" t="s">
        <v>49</v>
      </c>
      <c r="I830" t="s">
        <v>59</v>
      </c>
      <c r="J830" t="s">
        <v>38</v>
      </c>
      <c r="K830" t="s">
        <v>50</v>
      </c>
      <c r="L830">
        <v>80</v>
      </c>
      <c r="M830" t="s">
        <v>38</v>
      </c>
      <c r="N830" t="s">
        <v>56</v>
      </c>
      <c r="O830" t="s">
        <v>57</v>
      </c>
      <c r="P830" t="s">
        <v>38</v>
      </c>
      <c r="Q830" t="s">
        <v>42</v>
      </c>
      <c r="R830">
        <v>1904</v>
      </c>
      <c r="S830">
        <v>13556</v>
      </c>
      <c r="T830">
        <v>1</v>
      </c>
      <c r="U830" t="s">
        <v>46</v>
      </c>
      <c r="V830">
        <v>12</v>
      </c>
      <c r="W830" t="s">
        <v>43</v>
      </c>
      <c r="X830" t="s">
        <v>41</v>
      </c>
      <c r="Y830">
        <v>0</v>
      </c>
      <c r="Z830">
        <v>0</v>
      </c>
      <c r="AA830">
        <v>0</v>
      </c>
      <c r="AB830" t="s">
        <v>54</v>
      </c>
      <c r="AC830">
        <v>0</v>
      </c>
      <c r="AD830" t="str" cm="1">
        <f t="array" ref="AD830">_xlfn.IFS(AC830&lt;=5,"0-5",AC830&lt;=10,"5-10",AC830&lt;=40,"10-40")</f>
        <v>0-5</v>
      </c>
      <c r="AE830">
        <v>0</v>
      </c>
      <c r="AF830">
        <v>0</v>
      </c>
      <c r="AG830">
        <v>0</v>
      </c>
      <c r="AH830">
        <v>829</v>
      </c>
    </row>
    <row r="831" spans="1:34" x14ac:dyDescent="0.3">
      <c r="A831">
        <v>33</v>
      </c>
      <c r="B831" t="str" cm="1">
        <f t="array" ref="B831">_xlfn.IFS(A831&lt;=25,"18-25",A831&lt;=35,"26-35",A831&lt;=45,"36-45",A831&lt;=55,"46-55",A831&gt;55,"55+")</f>
        <v>26-35</v>
      </c>
      <c r="C831">
        <v>1</v>
      </c>
      <c r="D831" t="s">
        <v>32</v>
      </c>
      <c r="E831">
        <v>603</v>
      </c>
      <c r="F831" t="s">
        <v>33</v>
      </c>
      <c r="G831">
        <v>9</v>
      </c>
      <c r="H831" t="s">
        <v>58</v>
      </c>
      <c r="I831" t="s">
        <v>72</v>
      </c>
      <c r="J831" t="s">
        <v>44</v>
      </c>
      <c r="K831" t="s">
        <v>37</v>
      </c>
      <c r="L831">
        <v>77</v>
      </c>
      <c r="M831" t="s">
        <v>38</v>
      </c>
      <c r="N831" t="s">
        <v>39</v>
      </c>
      <c r="O831" t="s">
        <v>40</v>
      </c>
      <c r="P831" t="s">
        <v>44</v>
      </c>
      <c r="Q831" t="s">
        <v>42</v>
      </c>
      <c r="R831">
        <v>8224</v>
      </c>
      <c r="S831">
        <v>18385</v>
      </c>
      <c r="T831">
        <v>0</v>
      </c>
      <c r="U831" t="s">
        <v>31</v>
      </c>
      <c r="V831">
        <v>17</v>
      </c>
      <c r="W831" t="s">
        <v>43</v>
      </c>
      <c r="X831" t="s">
        <v>44</v>
      </c>
      <c r="Y831">
        <v>0</v>
      </c>
      <c r="Z831">
        <v>6</v>
      </c>
      <c r="AA831">
        <v>3</v>
      </c>
      <c r="AB831" t="s">
        <v>54</v>
      </c>
      <c r="AC831">
        <v>5</v>
      </c>
      <c r="AD831" t="str" cm="1">
        <f t="array" ref="AD831">_xlfn.IFS(AC831&lt;=5,"0-5",AC831&lt;=10,"5-10",AC831&lt;=40,"10-40")</f>
        <v>0-5</v>
      </c>
      <c r="AE831">
        <v>2</v>
      </c>
      <c r="AF831">
        <v>0</v>
      </c>
      <c r="AG831">
        <v>3</v>
      </c>
      <c r="AH831">
        <v>830</v>
      </c>
    </row>
    <row r="832" spans="1:34" x14ac:dyDescent="0.3">
      <c r="A832">
        <v>41</v>
      </c>
      <c r="B832" t="str" cm="1">
        <f t="array" ref="B832">_xlfn.IFS(A832&lt;=25,"18-25",A832&lt;=35,"26-35",A832&lt;=45,"36-45",A832&lt;=55,"46-55",A832&gt;55,"55+")</f>
        <v>36-45</v>
      </c>
      <c r="C832">
        <v>0</v>
      </c>
      <c r="D832" t="s">
        <v>32</v>
      </c>
      <c r="E832">
        <v>167</v>
      </c>
      <c r="F832" t="s">
        <v>48</v>
      </c>
      <c r="G832">
        <v>12</v>
      </c>
      <c r="H832" t="s">
        <v>58</v>
      </c>
      <c r="I832" t="s">
        <v>35</v>
      </c>
      <c r="J832" t="s">
        <v>36</v>
      </c>
      <c r="K832" t="s">
        <v>50</v>
      </c>
      <c r="L832">
        <v>46</v>
      </c>
      <c r="M832" t="s">
        <v>38</v>
      </c>
      <c r="N832" t="s">
        <v>56</v>
      </c>
      <c r="O832" t="s">
        <v>57</v>
      </c>
      <c r="P832" t="s">
        <v>41</v>
      </c>
      <c r="Q832" t="s">
        <v>52</v>
      </c>
      <c r="R832">
        <v>4766</v>
      </c>
      <c r="S832">
        <v>9051</v>
      </c>
      <c r="T832">
        <v>3</v>
      </c>
      <c r="U832" t="s">
        <v>31</v>
      </c>
      <c r="V832">
        <v>11</v>
      </c>
      <c r="W832" t="s">
        <v>43</v>
      </c>
      <c r="X832" t="s">
        <v>44</v>
      </c>
      <c r="Y832">
        <v>1</v>
      </c>
      <c r="Z832">
        <v>6</v>
      </c>
      <c r="AA832">
        <v>4</v>
      </c>
      <c r="AB832" t="s">
        <v>54</v>
      </c>
      <c r="AC832">
        <v>1</v>
      </c>
      <c r="AD832" t="str" cm="1">
        <f t="array" ref="AD832">_xlfn.IFS(AC832&lt;=5,"0-5",AC832&lt;=10,"5-10",AC832&lt;=40,"10-40")</f>
        <v>0-5</v>
      </c>
      <c r="AE832">
        <v>0</v>
      </c>
      <c r="AF832">
        <v>0</v>
      </c>
      <c r="AG832">
        <v>0</v>
      </c>
      <c r="AH832">
        <v>831</v>
      </c>
    </row>
    <row r="833" spans="1:34" x14ac:dyDescent="0.3">
      <c r="A833">
        <v>31</v>
      </c>
      <c r="B833" t="str" cm="1">
        <f t="array" ref="B833">_xlfn.IFS(A833&lt;=25,"18-25",A833&lt;=35,"26-35",A833&lt;=45,"36-45",A833&lt;=55,"46-55",A833&gt;55,"55+")</f>
        <v>26-35</v>
      </c>
      <c r="C833">
        <v>1</v>
      </c>
      <c r="D833" t="s">
        <v>47</v>
      </c>
      <c r="E833">
        <v>874</v>
      </c>
      <c r="F833" t="s">
        <v>48</v>
      </c>
      <c r="G833">
        <v>15</v>
      </c>
      <c r="H833" t="s">
        <v>61</v>
      </c>
      <c r="I833" t="s">
        <v>59</v>
      </c>
      <c r="J833" t="s">
        <v>38</v>
      </c>
      <c r="K833" t="s">
        <v>50</v>
      </c>
      <c r="L833">
        <v>72</v>
      </c>
      <c r="M833" t="s">
        <v>38</v>
      </c>
      <c r="N833" t="s">
        <v>56</v>
      </c>
      <c r="O833" t="s">
        <v>57</v>
      </c>
      <c r="P833" t="s">
        <v>38</v>
      </c>
      <c r="Q833" t="s">
        <v>52</v>
      </c>
      <c r="R833">
        <v>2610</v>
      </c>
      <c r="S833">
        <v>6233</v>
      </c>
      <c r="T833">
        <v>1</v>
      </c>
      <c r="U833" t="s">
        <v>46</v>
      </c>
      <c r="V833">
        <v>12</v>
      </c>
      <c r="W833" t="s">
        <v>43</v>
      </c>
      <c r="X833" t="s">
        <v>38</v>
      </c>
      <c r="Y833">
        <v>1</v>
      </c>
      <c r="Z833">
        <v>2</v>
      </c>
      <c r="AA833">
        <v>5</v>
      </c>
      <c r="AB833" t="s">
        <v>60</v>
      </c>
      <c r="AC833">
        <v>2</v>
      </c>
      <c r="AD833" t="str" cm="1">
        <f t="array" ref="AD833">_xlfn.IFS(AC833&lt;=5,"0-5",AC833&lt;=10,"5-10",AC833&lt;=40,"10-40")</f>
        <v>0-5</v>
      </c>
      <c r="AE833">
        <v>2</v>
      </c>
      <c r="AF833">
        <v>2</v>
      </c>
      <c r="AG833">
        <v>2</v>
      </c>
      <c r="AH833">
        <v>832</v>
      </c>
    </row>
    <row r="834" spans="1:34" x14ac:dyDescent="0.3">
      <c r="A834">
        <v>37</v>
      </c>
      <c r="B834" t="str" cm="1">
        <f t="array" ref="B834">_xlfn.IFS(A834&lt;=25,"18-25",A834&lt;=35,"26-35",A834&lt;=45,"36-45",A834&lt;=55,"46-55",A834&gt;55,"55+")</f>
        <v>36-45</v>
      </c>
      <c r="C834">
        <v>0</v>
      </c>
      <c r="D834" t="s">
        <v>32</v>
      </c>
      <c r="E834">
        <v>367</v>
      </c>
      <c r="F834" t="s">
        <v>48</v>
      </c>
      <c r="G834">
        <v>25</v>
      </c>
      <c r="H834" t="s">
        <v>34</v>
      </c>
      <c r="I834" t="s">
        <v>59</v>
      </c>
      <c r="J834" t="s">
        <v>38</v>
      </c>
      <c r="K834" t="s">
        <v>37</v>
      </c>
      <c r="L834">
        <v>52</v>
      </c>
      <c r="M834" t="s">
        <v>36</v>
      </c>
      <c r="N834" t="s">
        <v>39</v>
      </c>
      <c r="O834" t="s">
        <v>65</v>
      </c>
      <c r="P834" t="s">
        <v>41</v>
      </c>
      <c r="Q834" t="s">
        <v>62</v>
      </c>
      <c r="R834">
        <v>5731</v>
      </c>
      <c r="S834">
        <v>17171</v>
      </c>
      <c r="T834">
        <v>7</v>
      </c>
      <c r="U834" t="s">
        <v>46</v>
      </c>
      <c r="V834">
        <v>13</v>
      </c>
      <c r="W834" t="s">
        <v>43</v>
      </c>
      <c r="X834" t="s">
        <v>38</v>
      </c>
      <c r="Y834">
        <v>2</v>
      </c>
      <c r="Z834">
        <v>9</v>
      </c>
      <c r="AA834">
        <v>2</v>
      </c>
      <c r="AB834" t="s">
        <v>54</v>
      </c>
      <c r="AC834">
        <v>6</v>
      </c>
      <c r="AD834" t="str" cm="1">
        <f t="array" ref="AD834">_xlfn.IFS(AC834&lt;=5,"0-5",AC834&lt;=10,"5-10",AC834&lt;=40,"10-40")</f>
        <v>5-10</v>
      </c>
      <c r="AE834">
        <v>2</v>
      </c>
      <c r="AF834">
        <v>1</v>
      </c>
      <c r="AG834">
        <v>3</v>
      </c>
      <c r="AH834">
        <v>833</v>
      </c>
    </row>
    <row r="835" spans="1:34" x14ac:dyDescent="0.3">
      <c r="A835">
        <v>27</v>
      </c>
      <c r="B835" t="str" cm="1">
        <f t="array" ref="B835">_xlfn.IFS(A835&lt;=25,"18-25",A835&lt;=35,"26-35",A835&lt;=45,"36-45",A835&lt;=55,"46-55",A835&gt;55,"55+")</f>
        <v>26-35</v>
      </c>
      <c r="C835">
        <v>0</v>
      </c>
      <c r="D835" t="s">
        <v>32</v>
      </c>
      <c r="E835">
        <v>199</v>
      </c>
      <c r="F835" t="s">
        <v>48</v>
      </c>
      <c r="G835">
        <v>6</v>
      </c>
      <c r="H835" t="s">
        <v>61</v>
      </c>
      <c r="I835" t="s">
        <v>35</v>
      </c>
      <c r="J835" t="s">
        <v>41</v>
      </c>
      <c r="K835" t="s">
        <v>50</v>
      </c>
      <c r="L835">
        <v>55</v>
      </c>
      <c r="M835" t="s">
        <v>36</v>
      </c>
      <c r="N835" t="s">
        <v>56</v>
      </c>
      <c r="O835" t="s">
        <v>51</v>
      </c>
      <c r="P835" t="s">
        <v>38</v>
      </c>
      <c r="Q835" t="s">
        <v>52</v>
      </c>
      <c r="R835">
        <v>2539</v>
      </c>
      <c r="S835">
        <v>7950</v>
      </c>
      <c r="T835">
        <v>1</v>
      </c>
      <c r="U835" t="s">
        <v>46</v>
      </c>
      <c r="V835">
        <v>13</v>
      </c>
      <c r="W835" t="s">
        <v>43</v>
      </c>
      <c r="X835" t="s">
        <v>38</v>
      </c>
      <c r="Y835">
        <v>1</v>
      </c>
      <c r="Z835">
        <v>4</v>
      </c>
      <c r="AA835">
        <v>0</v>
      </c>
      <c r="AB835" t="s">
        <v>54</v>
      </c>
      <c r="AC835">
        <v>4</v>
      </c>
      <c r="AD835" t="str" cm="1">
        <f t="array" ref="AD835">_xlfn.IFS(AC835&lt;=5,"0-5",AC835&lt;=10,"5-10",AC835&lt;=40,"10-40")</f>
        <v>0-5</v>
      </c>
      <c r="AE835">
        <v>2</v>
      </c>
      <c r="AF835">
        <v>2</v>
      </c>
      <c r="AG835">
        <v>2</v>
      </c>
      <c r="AH835">
        <v>834</v>
      </c>
    </row>
    <row r="836" spans="1:34" x14ac:dyDescent="0.3">
      <c r="A836">
        <v>34</v>
      </c>
      <c r="B836" t="str" cm="1">
        <f t="array" ref="B836">_xlfn.IFS(A836&lt;=25,"18-25",A836&lt;=35,"26-35",A836&lt;=45,"36-45",A836&lt;=55,"46-55",A836&gt;55,"55+")</f>
        <v>26-35</v>
      </c>
      <c r="C836">
        <v>0</v>
      </c>
      <c r="D836" t="s">
        <v>32</v>
      </c>
      <c r="E836">
        <v>1400</v>
      </c>
      <c r="F836" t="s">
        <v>33</v>
      </c>
      <c r="G836">
        <v>9</v>
      </c>
      <c r="H836" t="s">
        <v>49</v>
      </c>
      <c r="I836" t="s">
        <v>35</v>
      </c>
      <c r="J836" t="s">
        <v>36</v>
      </c>
      <c r="K836" t="s">
        <v>37</v>
      </c>
      <c r="L836">
        <v>70</v>
      </c>
      <c r="M836" t="s">
        <v>38</v>
      </c>
      <c r="N836" t="s">
        <v>39</v>
      </c>
      <c r="O836" t="s">
        <v>40</v>
      </c>
      <c r="P836" t="s">
        <v>38</v>
      </c>
      <c r="Q836" t="s">
        <v>52</v>
      </c>
      <c r="R836">
        <v>5714</v>
      </c>
      <c r="S836">
        <v>5829</v>
      </c>
      <c r="T836">
        <v>1</v>
      </c>
      <c r="U836" t="s">
        <v>46</v>
      </c>
      <c r="V836">
        <v>20</v>
      </c>
      <c r="W836" t="s">
        <v>53</v>
      </c>
      <c r="X836" t="s">
        <v>44</v>
      </c>
      <c r="Y836">
        <v>0</v>
      </c>
      <c r="Z836">
        <v>6</v>
      </c>
      <c r="AA836">
        <v>3</v>
      </c>
      <c r="AB836" t="s">
        <v>60</v>
      </c>
      <c r="AC836">
        <v>6</v>
      </c>
      <c r="AD836" t="str" cm="1">
        <f t="array" ref="AD836">_xlfn.IFS(AC836&lt;=5,"0-5",AC836&lt;=10,"5-10",AC836&lt;=40,"10-40")</f>
        <v>5-10</v>
      </c>
      <c r="AE836">
        <v>5</v>
      </c>
      <c r="AF836">
        <v>1</v>
      </c>
      <c r="AG836">
        <v>3</v>
      </c>
      <c r="AH836">
        <v>835</v>
      </c>
    </row>
    <row r="837" spans="1:34" x14ac:dyDescent="0.3">
      <c r="A837">
        <v>35</v>
      </c>
      <c r="B837" t="str" cm="1">
        <f t="array" ref="B837">_xlfn.IFS(A837&lt;=25,"18-25",A837&lt;=35,"26-35",A837&lt;=45,"36-45",A837&lt;=55,"46-55",A837&gt;55,"55+")</f>
        <v>26-35</v>
      </c>
      <c r="C837">
        <v>0</v>
      </c>
      <c r="D837" t="s">
        <v>32</v>
      </c>
      <c r="E837">
        <v>528</v>
      </c>
      <c r="F837" t="s">
        <v>76</v>
      </c>
      <c r="G837">
        <v>8</v>
      </c>
      <c r="H837" t="s">
        <v>58</v>
      </c>
      <c r="I837" t="s">
        <v>74</v>
      </c>
      <c r="J837" t="s">
        <v>38</v>
      </c>
      <c r="K837" t="s">
        <v>50</v>
      </c>
      <c r="L837">
        <v>100</v>
      </c>
      <c r="M837" t="s">
        <v>38</v>
      </c>
      <c r="N837" t="s">
        <v>56</v>
      </c>
      <c r="O837" t="s">
        <v>76</v>
      </c>
      <c r="P837" t="s">
        <v>38</v>
      </c>
      <c r="Q837" t="s">
        <v>42</v>
      </c>
      <c r="R837">
        <v>4323</v>
      </c>
      <c r="S837">
        <v>7108</v>
      </c>
      <c r="T837">
        <v>1</v>
      </c>
      <c r="U837" t="s">
        <v>46</v>
      </c>
      <c r="V837">
        <v>17</v>
      </c>
      <c r="W837" t="s">
        <v>43</v>
      </c>
      <c r="X837" t="s">
        <v>36</v>
      </c>
      <c r="Y837">
        <v>0</v>
      </c>
      <c r="Z837">
        <v>6</v>
      </c>
      <c r="AA837">
        <v>2</v>
      </c>
      <c r="AB837" t="s">
        <v>45</v>
      </c>
      <c r="AC837">
        <v>5</v>
      </c>
      <c r="AD837" t="str" cm="1">
        <f t="array" ref="AD837">_xlfn.IFS(AC837&lt;=5,"0-5",AC837&lt;=10,"5-10",AC837&lt;=40,"10-40")</f>
        <v>0-5</v>
      </c>
      <c r="AE837">
        <v>4</v>
      </c>
      <c r="AF837">
        <v>1</v>
      </c>
      <c r="AG837">
        <v>4</v>
      </c>
      <c r="AH837">
        <v>836</v>
      </c>
    </row>
    <row r="838" spans="1:34" x14ac:dyDescent="0.3">
      <c r="A838">
        <v>29</v>
      </c>
      <c r="B838" t="str" cm="1">
        <f t="array" ref="B838">_xlfn.IFS(A838&lt;=25,"18-25",A838&lt;=35,"26-35",A838&lt;=45,"36-45",A838&lt;=55,"46-55",A838&gt;55,"55+")</f>
        <v>26-35</v>
      </c>
      <c r="C838">
        <v>1</v>
      </c>
      <c r="D838" t="s">
        <v>32</v>
      </c>
      <c r="E838">
        <v>408</v>
      </c>
      <c r="F838" t="s">
        <v>33</v>
      </c>
      <c r="G838">
        <v>23</v>
      </c>
      <c r="H838" t="s">
        <v>49</v>
      </c>
      <c r="I838" t="s">
        <v>35</v>
      </c>
      <c r="J838" t="s">
        <v>41</v>
      </c>
      <c r="K838" t="s">
        <v>37</v>
      </c>
      <c r="L838">
        <v>45</v>
      </c>
      <c r="M838" t="s">
        <v>36</v>
      </c>
      <c r="N838" t="s">
        <v>63</v>
      </c>
      <c r="O838" t="s">
        <v>40</v>
      </c>
      <c r="P838" t="s">
        <v>44</v>
      </c>
      <c r="Q838" t="s">
        <v>52</v>
      </c>
      <c r="R838">
        <v>7336</v>
      </c>
      <c r="S838">
        <v>11162</v>
      </c>
      <c r="T838">
        <v>1</v>
      </c>
      <c r="U838" t="s">
        <v>46</v>
      </c>
      <c r="V838">
        <v>13</v>
      </c>
      <c r="W838" t="s">
        <v>43</v>
      </c>
      <c r="X838" t="s">
        <v>44</v>
      </c>
      <c r="Y838">
        <v>1</v>
      </c>
      <c r="Z838">
        <v>11</v>
      </c>
      <c r="AA838">
        <v>3</v>
      </c>
      <c r="AB838" t="s">
        <v>45</v>
      </c>
      <c r="AC838">
        <v>11</v>
      </c>
      <c r="AD838" t="str" cm="1">
        <f t="array" ref="AD838">_xlfn.IFS(AC838&lt;=5,"0-5",AC838&lt;=10,"5-10",AC838&lt;=40,"10-40")</f>
        <v>10-40</v>
      </c>
      <c r="AE838">
        <v>8</v>
      </c>
      <c r="AF838">
        <v>3</v>
      </c>
      <c r="AG838">
        <v>10</v>
      </c>
      <c r="AH838">
        <v>837</v>
      </c>
    </row>
    <row r="839" spans="1:34" x14ac:dyDescent="0.3">
      <c r="A839">
        <v>40</v>
      </c>
      <c r="B839" t="str" cm="1">
        <f t="array" ref="B839">_xlfn.IFS(A839&lt;=25,"18-25",A839&lt;=35,"26-35",A839&lt;=45,"36-45",A839&lt;=55,"46-55",A839&gt;55,"55+")</f>
        <v>36-45</v>
      </c>
      <c r="C839">
        <v>0</v>
      </c>
      <c r="D839" t="s">
        <v>47</v>
      </c>
      <c r="E839">
        <v>593</v>
      </c>
      <c r="F839" t="s">
        <v>48</v>
      </c>
      <c r="G839">
        <v>9</v>
      </c>
      <c r="H839" t="s">
        <v>58</v>
      </c>
      <c r="I839" t="s">
        <v>59</v>
      </c>
      <c r="J839" t="s">
        <v>36</v>
      </c>
      <c r="K839" t="s">
        <v>37</v>
      </c>
      <c r="L839">
        <v>88</v>
      </c>
      <c r="M839" t="s">
        <v>38</v>
      </c>
      <c r="N839" t="s">
        <v>63</v>
      </c>
      <c r="O839" t="s">
        <v>70</v>
      </c>
      <c r="P839" t="s">
        <v>38</v>
      </c>
      <c r="Q839" t="s">
        <v>42</v>
      </c>
      <c r="R839">
        <v>13499</v>
      </c>
      <c r="S839">
        <v>13782</v>
      </c>
      <c r="T839">
        <v>9</v>
      </c>
      <c r="U839" t="s">
        <v>46</v>
      </c>
      <c r="V839">
        <v>17</v>
      </c>
      <c r="W839" t="s">
        <v>43</v>
      </c>
      <c r="X839" t="s">
        <v>38</v>
      </c>
      <c r="Y839">
        <v>0</v>
      </c>
      <c r="Z839">
        <v>20</v>
      </c>
      <c r="AA839">
        <v>3</v>
      </c>
      <c r="AB839" t="s">
        <v>60</v>
      </c>
      <c r="AC839">
        <v>18</v>
      </c>
      <c r="AD839" t="str" cm="1">
        <f t="array" ref="AD839">_xlfn.IFS(AC839&lt;=5,"0-5",AC839&lt;=10,"5-10",AC839&lt;=40,"10-40")</f>
        <v>10-40</v>
      </c>
      <c r="AE839">
        <v>7</v>
      </c>
      <c r="AF839">
        <v>2</v>
      </c>
      <c r="AG839">
        <v>13</v>
      </c>
      <c r="AH839">
        <v>838</v>
      </c>
    </row>
    <row r="840" spans="1:34" x14ac:dyDescent="0.3">
      <c r="A840">
        <v>42</v>
      </c>
      <c r="B840" t="str" cm="1">
        <f t="array" ref="B840">_xlfn.IFS(A840&lt;=25,"18-25",A840&lt;=35,"26-35",A840&lt;=45,"36-45",A840&lt;=55,"46-55",A840&gt;55,"55+")</f>
        <v>36-45</v>
      </c>
      <c r="C840">
        <v>1</v>
      </c>
      <c r="D840" t="s">
        <v>47</v>
      </c>
      <c r="E840">
        <v>481</v>
      </c>
      <c r="F840" t="s">
        <v>33</v>
      </c>
      <c r="G840">
        <v>12</v>
      </c>
      <c r="H840" t="s">
        <v>61</v>
      </c>
      <c r="I840" t="s">
        <v>35</v>
      </c>
      <c r="J840" t="s">
        <v>38</v>
      </c>
      <c r="K840" t="s">
        <v>50</v>
      </c>
      <c r="L840">
        <v>44</v>
      </c>
      <c r="M840" t="s">
        <v>38</v>
      </c>
      <c r="N840" t="s">
        <v>67</v>
      </c>
      <c r="O840" t="s">
        <v>40</v>
      </c>
      <c r="P840" t="s">
        <v>44</v>
      </c>
      <c r="Q840" t="s">
        <v>42</v>
      </c>
      <c r="R840">
        <v>13758</v>
      </c>
      <c r="S840">
        <v>2447</v>
      </c>
      <c r="T840">
        <v>0</v>
      </c>
      <c r="U840" t="s">
        <v>31</v>
      </c>
      <c r="V840">
        <v>12</v>
      </c>
      <c r="W840" t="s">
        <v>43</v>
      </c>
      <c r="X840" t="s">
        <v>36</v>
      </c>
      <c r="Y840">
        <v>0</v>
      </c>
      <c r="Z840">
        <v>22</v>
      </c>
      <c r="AA840">
        <v>2</v>
      </c>
      <c r="AB840" t="s">
        <v>60</v>
      </c>
      <c r="AC840">
        <v>21</v>
      </c>
      <c r="AD840" t="str" cm="1">
        <f t="array" ref="AD840">_xlfn.IFS(AC840&lt;=5,"0-5",AC840&lt;=10,"5-10",AC840&lt;=40,"10-40")</f>
        <v>10-40</v>
      </c>
      <c r="AE840">
        <v>9</v>
      </c>
      <c r="AF840">
        <v>13</v>
      </c>
      <c r="AG840">
        <v>14</v>
      </c>
      <c r="AH840">
        <v>839</v>
      </c>
    </row>
    <row r="841" spans="1:34" x14ac:dyDescent="0.3">
      <c r="A841">
        <v>42</v>
      </c>
      <c r="B841" t="str" cm="1">
        <f t="array" ref="B841">_xlfn.IFS(A841&lt;=25,"18-25",A841&lt;=35,"26-35",A841&lt;=45,"36-45",A841&lt;=55,"46-55",A841&gt;55,"55+")</f>
        <v>36-45</v>
      </c>
      <c r="C841">
        <v>0</v>
      </c>
      <c r="D841" t="s">
        <v>32</v>
      </c>
      <c r="E841">
        <v>647</v>
      </c>
      <c r="F841" t="s">
        <v>33</v>
      </c>
      <c r="G841">
        <v>4</v>
      </c>
      <c r="H841" t="s">
        <v>58</v>
      </c>
      <c r="I841" t="s">
        <v>72</v>
      </c>
      <c r="J841" t="s">
        <v>36</v>
      </c>
      <c r="K841" t="s">
        <v>50</v>
      </c>
      <c r="L841">
        <v>45</v>
      </c>
      <c r="M841" t="s">
        <v>38</v>
      </c>
      <c r="N841" t="s">
        <v>39</v>
      </c>
      <c r="O841" t="s">
        <v>40</v>
      </c>
      <c r="P841" t="s">
        <v>44</v>
      </c>
      <c r="Q841" t="s">
        <v>42</v>
      </c>
      <c r="R841">
        <v>5155</v>
      </c>
      <c r="S841">
        <v>2253</v>
      </c>
      <c r="T841">
        <v>7</v>
      </c>
      <c r="U841" t="s">
        <v>46</v>
      </c>
      <c r="V841">
        <v>13</v>
      </c>
      <c r="W841" t="s">
        <v>43</v>
      </c>
      <c r="X841" t="s">
        <v>41</v>
      </c>
      <c r="Y841">
        <v>0</v>
      </c>
      <c r="Z841">
        <v>9</v>
      </c>
      <c r="AA841">
        <v>3</v>
      </c>
      <c r="AB841" t="s">
        <v>73</v>
      </c>
      <c r="AC841">
        <v>6</v>
      </c>
      <c r="AD841" t="str" cm="1">
        <f t="array" ref="AD841">_xlfn.IFS(AC841&lt;=5,"0-5",AC841&lt;=10,"5-10",AC841&lt;=40,"10-40")</f>
        <v>5-10</v>
      </c>
      <c r="AE841">
        <v>4</v>
      </c>
      <c r="AF841">
        <v>1</v>
      </c>
      <c r="AG841">
        <v>5</v>
      </c>
      <c r="AH841">
        <v>840</v>
      </c>
    </row>
    <row r="842" spans="1:34" x14ac:dyDescent="0.3">
      <c r="A842">
        <v>35</v>
      </c>
      <c r="B842" t="str" cm="1">
        <f t="array" ref="B842">_xlfn.IFS(A842&lt;=25,"18-25",A842&lt;=35,"26-35",A842&lt;=45,"36-45",A842&lt;=55,"46-55",A842&gt;55,"55+")</f>
        <v>26-35</v>
      </c>
      <c r="C842">
        <v>0</v>
      </c>
      <c r="D842" t="s">
        <v>32</v>
      </c>
      <c r="E842">
        <v>982</v>
      </c>
      <c r="F842" t="s">
        <v>48</v>
      </c>
      <c r="G842">
        <v>1</v>
      </c>
      <c r="H842" t="s">
        <v>58</v>
      </c>
      <c r="I842" t="s">
        <v>59</v>
      </c>
      <c r="J842" t="s">
        <v>41</v>
      </c>
      <c r="K842" t="s">
        <v>50</v>
      </c>
      <c r="L842">
        <v>58</v>
      </c>
      <c r="M842" t="s">
        <v>36</v>
      </c>
      <c r="N842" t="s">
        <v>56</v>
      </c>
      <c r="O842" t="s">
        <v>57</v>
      </c>
      <c r="P842" t="s">
        <v>38</v>
      </c>
      <c r="Q842" t="s">
        <v>52</v>
      </c>
      <c r="R842">
        <v>2258</v>
      </c>
      <c r="S842">
        <v>16340</v>
      </c>
      <c r="T842">
        <v>6</v>
      </c>
      <c r="U842" t="s">
        <v>46</v>
      </c>
      <c r="V842">
        <v>12</v>
      </c>
      <c r="W842" t="s">
        <v>43</v>
      </c>
      <c r="X842" t="s">
        <v>36</v>
      </c>
      <c r="Y842">
        <v>1</v>
      </c>
      <c r="Z842">
        <v>10</v>
      </c>
      <c r="AA842">
        <v>2</v>
      </c>
      <c r="AB842" t="s">
        <v>54</v>
      </c>
      <c r="AC842">
        <v>8</v>
      </c>
      <c r="AD842" t="str" cm="1">
        <f t="array" ref="AD842">_xlfn.IFS(AC842&lt;=5,"0-5",AC842&lt;=10,"5-10",AC842&lt;=40,"10-40")</f>
        <v>5-10</v>
      </c>
      <c r="AE842">
        <v>0</v>
      </c>
      <c r="AF842">
        <v>1</v>
      </c>
      <c r="AG842">
        <v>7</v>
      </c>
      <c r="AH842">
        <v>841</v>
      </c>
    </row>
    <row r="843" spans="1:34" x14ac:dyDescent="0.3">
      <c r="A843">
        <v>24</v>
      </c>
      <c r="B843" t="str" cm="1">
        <f t="array" ref="B843">_xlfn.IFS(A843&lt;=25,"18-25",A843&lt;=35,"26-35",A843&lt;=45,"36-45",A843&lt;=55,"46-55",A843&gt;55,"55+")</f>
        <v>18-25</v>
      </c>
      <c r="C843">
        <v>0</v>
      </c>
      <c r="D843" t="s">
        <v>32</v>
      </c>
      <c r="E843">
        <v>477</v>
      </c>
      <c r="F843" t="s">
        <v>48</v>
      </c>
      <c r="G843">
        <v>24</v>
      </c>
      <c r="H843" t="s">
        <v>61</v>
      </c>
      <c r="I843" t="s">
        <v>59</v>
      </c>
      <c r="J843" t="s">
        <v>41</v>
      </c>
      <c r="K843" t="s">
        <v>50</v>
      </c>
      <c r="L843">
        <v>49</v>
      </c>
      <c r="M843" t="s">
        <v>38</v>
      </c>
      <c r="N843" t="s">
        <v>56</v>
      </c>
      <c r="O843" t="s">
        <v>57</v>
      </c>
      <c r="P843" t="s">
        <v>36</v>
      </c>
      <c r="Q843" t="s">
        <v>42</v>
      </c>
      <c r="R843">
        <v>3597</v>
      </c>
      <c r="S843">
        <v>6409</v>
      </c>
      <c r="T843">
        <v>8</v>
      </c>
      <c r="U843" t="s">
        <v>46</v>
      </c>
      <c r="V843">
        <v>22</v>
      </c>
      <c r="W843" t="s">
        <v>53</v>
      </c>
      <c r="X843" t="s">
        <v>41</v>
      </c>
      <c r="Y843">
        <v>0</v>
      </c>
      <c r="Z843">
        <v>6</v>
      </c>
      <c r="AA843">
        <v>2</v>
      </c>
      <c r="AB843" t="s">
        <v>54</v>
      </c>
      <c r="AC843">
        <v>4</v>
      </c>
      <c r="AD843" t="str" cm="1">
        <f t="array" ref="AD843">_xlfn.IFS(AC843&lt;=5,"0-5",AC843&lt;=10,"5-10",AC843&lt;=40,"10-40")</f>
        <v>0-5</v>
      </c>
      <c r="AE843">
        <v>3</v>
      </c>
      <c r="AF843">
        <v>1</v>
      </c>
      <c r="AG843">
        <v>2</v>
      </c>
      <c r="AH843">
        <v>842</v>
      </c>
    </row>
    <row r="844" spans="1:34" x14ac:dyDescent="0.3">
      <c r="A844">
        <v>28</v>
      </c>
      <c r="B844" t="str" cm="1">
        <f t="array" ref="B844">_xlfn.IFS(A844&lt;=25,"18-25",A844&lt;=35,"26-35",A844&lt;=45,"36-45",A844&lt;=55,"46-55",A844&gt;55,"55+")</f>
        <v>26-35</v>
      </c>
      <c r="C844">
        <v>1</v>
      </c>
      <c r="D844" t="s">
        <v>32</v>
      </c>
      <c r="E844">
        <v>1485</v>
      </c>
      <c r="F844" t="s">
        <v>48</v>
      </c>
      <c r="G844">
        <v>12</v>
      </c>
      <c r="H844" t="s">
        <v>49</v>
      </c>
      <c r="I844" t="s">
        <v>35</v>
      </c>
      <c r="J844" t="s">
        <v>38</v>
      </c>
      <c r="K844" t="s">
        <v>37</v>
      </c>
      <c r="L844">
        <v>79</v>
      </c>
      <c r="M844" t="s">
        <v>38</v>
      </c>
      <c r="N844" t="s">
        <v>56</v>
      </c>
      <c r="O844" t="s">
        <v>57</v>
      </c>
      <c r="P844" t="s">
        <v>41</v>
      </c>
      <c r="Q844" t="s">
        <v>52</v>
      </c>
      <c r="R844">
        <v>2515</v>
      </c>
      <c r="S844">
        <v>22955</v>
      </c>
      <c r="T844">
        <v>1</v>
      </c>
      <c r="U844" t="s">
        <v>31</v>
      </c>
      <c r="V844">
        <v>11</v>
      </c>
      <c r="W844" t="s">
        <v>43</v>
      </c>
      <c r="X844" t="s">
        <v>41</v>
      </c>
      <c r="Y844">
        <v>0</v>
      </c>
      <c r="Z844">
        <v>1</v>
      </c>
      <c r="AA844">
        <v>4</v>
      </c>
      <c r="AB844" t="s">
        <v>60</v>
      </c>
      <c r="AC844">
        <v>1</v>
      </c>
      <c r="AD844" t="str" cm="1">
        <f t="array" ref="AD844">_xlfn.IFS(AC844&lt;=5,"0-5",AC844&lt;=10,"5-10",AC844&lt;=40,"10-40")</f>
        <v>0-5</v>
      </c>
      <c r="AE844">
        <v>1</v>
      </c>
      <c r="AF844">
        <v>0</v>
      </c>
      <c r="AG844">
        <v>0</v>
      </c>
      <c r="AH844">
        <v>843</v>
      </c>
    </row>
    <row r="845" spans="1:34" x14ac:dyDescent="0.3">
      <c r="A845">
        <v>26</v>
      </c>
      <c r="B845" t="str" cm="1">
        <f t="array" ref="B845">_xlfn.IFS(A845&lt;=25,"18-25",A845&lt;=35,"26-35",A845&lt;=45,"36-45",A845&lt;=55,"46-55",A845&gt;55,"55+")</f>
        <v>26-35</v>
      </c>
      <c r="C845">
        <v>0</v>
      </c>
      <c r="D845" t="s">
        <v>32</v>
      </c>
      <c r="E845">
        <v>1384</v>
      </c>
      <c r="F845" t="s">
        <v>48</v>
      </c>
      <c r="G845">
        <v>3</v>
      </c>
      <c r="H845" t="s">
        <v>58</v>
      </c>
      <c r="I845" t="s">
        <v>59</v>
      </c>
      <c r="J845" t="s">
        <v>44</v>
      </c>
      <c r="K845" t="s">
        <v>50</v>
      </c>
      <c r="L845">
        <v>82</v>
      </c>
      <c r="M845" t="s">
        <v>41</v>
      </c>
      <c r="N845" t="s">
        <v>56</v>
      </c>
      <c r="O845" t="s">
        <v>57</v>
      </c>
      <c r="P845" t="s">
        <v>41</v>
      </c>
      <c r="Q845" t="s">
        <v>52</v>
      </c>
      <c r="R845">
        <v>4420</v>
      </c>
      <c r="S845">
        <v>13421</v>
      </c>
      <c r="T845">
        <v>1</v>
      </c>
      <c r="U845" t="s">
        <v>46</v>
      </c>
      <c r="V845">
        <v>22</v>
      </c>
      <c r="W845" t="s">
        <v>53</v>
      </c>
      <c r="X845" t="s">
        <v>36</v>
      </c>
      <c r="Y845">
        <v>1</v>
      </c>
      <c r="Z845">
        <v>8</v>
      </c>
      <c r="AA845">
        <v>2</v>
      </c>
      <c r="AB845" t="s">
        <v>54</v>
      </c>
      <c r="AC845">
        <v>8</v>
      </c>
      <c r="AD845" t="str" cm="1">
        <f t="array" ref="AD845">_xlfn.IFS(AC845&lt;=5,"0-5",AC845&lt;=10,"5-10",AC845&lt;=40,"10-40")</f>
        <v>5-10</v>
      </c>
      <c r="AE845">
        <v>7</v>
      </c>
      <c r="AF845">
        <v>0</v>
      </c>
      <c r="AG845">
        <v>7</v>
      </c>
      <c r="AH845">
        <v>844</v>
      </c>
    </row>
    <row r="846" spans="1:34" x14ac:dyDescent="0.3">
      <c r="A846">
        <v>30</v>
      </c>
      <c r="B846" t="str" cm="1">
        <f t="array" ref="B846">_xlfn.IFS(A846&lt;=25,"18-25",A846&lt;=35,"26-35",A846&lt;=45,"36-45",A846&lt;=55,"46-55",A846&gt;55,"55+")</f>
        <v>26-35</v>
      </c>
      <c r="C846">
        <v>0</v>
      </c>
      <c r="D846" t="s">
        <v>32</v>
      </c>
      <c r="E846">
        <v>852</v>
      </c>
      <c r="F846" t="s">
        <v>33</v>
      </c>
      <c r="G846">
        <v>10</v>
      </c>
      <c r="H846" t="s">
        <v>61</v>
      </c>
      <c r="I846" t="s">
        <v>72</v>
      </c>
      <c r="J846" t="s">
        <v>38</v>
      </c>
      <c r="K846" t="s">
        <v>50</v>
      </c>
      <c r="L846">
        <v>72</v>
      </c>
      <c r="M846" t="s">
        <v>36</v>
      </c>
      <c r="N846" t="s">
        <v>39</v>
      </c>
      <c r="O846" t="s">
        <v>40</v>
      </c>
      <c r="P846" t="s">
        <v>38</v>
      </c>
      <c r="Q846" t="s">
        <v>52</v>
      </c>
      <c r="R846">
        <v>6578</v>
      </c>
      <c r="S846">
        <v>2706</v>
      </c>
      <c r="T846">
        <v>1</v>
      </c>
      <c r="U846" t="s">
        <v>46</v>
      </c>
      <c r="V846">
        <v>18</v>
      </c>
      <c r="W846" t="s">
        <v>43</v>
      </c>
      <c r="X846" t="s">
        <v>44</v>
      </c>
      <c r="Y846">
        <v>1</v>
      </c>
      <c r="Z846">
        <v>10</v>
      </c>
      <c r="AA846">
        <v>3</v>
      </c>
      <c r="AB846" t="s">
        <v>54</v>
      </c>
      <c r="AC846">
        <v>10</v>
      </c>
      <c r="AD846" t="str" cm="1">
        <f t="array" ref="AD846">_xlfn.IFS(AC846&lt;=5,"0-5",AC846&lt;=10,"5-10",AC846&lt;=40,"10-40")</f>
        <v>5-10</v>
      </c>
      <c r="AE846">
        <v>3</v>
      </c>
      <c r="AF846">
        <v>1</v>
      </c>
      <c r="AG846">
        <v>4</v>
      </c>
      <c r="AH846">
        <v>845</v>
      </c>
    </row>
    <row r="847" spans="1:34" x14ac:dyDescent="0.3">
      <c r="A847">
        <v>40</v>
      </c>
      <c r="B847" t="str" cm="1">
        <f t="array" ref="B847">_xlfn.IFS(A847&lt;=25,"18-25",A847&lt;=35,"26-35",A847&lt;=45,"36-45",A847&lt;=55,"46-55",A847&gt;55,"55+")</f>
        <v>36-45</v>
      </c>
      <c r="C847">
        <v>0</v>
      </c>
      <c r="D847" t="s">
        <v>47</v>
      </c>
      <c r="E847">
        <v>902</v>
      </c>
      <c r="F847" t="s">
        <v>48</v>
      </c>
      <c r="G847">
        <v>26</v>
      </c>
      <c r="H847" t="s">
        <v>34</v>
      </c>
      <c r="I847" t="s">
        <v>59</v>
      </c>
      <c r="J847" t="s">
        <v>38</v>
      </c>
      <c r="K847" t="s">
        <v>37</v>
      </c>
      <c r="L847">
        <v>92</v>
      </c>
      <c r="M847" t="s">
        <v>36</v>
      </c>
      <c r="N847" t="s">
        <v>39</v>
      </c>
      <c r="O847" t="s">
        <v>51</v>
      </c>
      <c r="P847" t="s">
        <v>41</v>
      </c>
      <c r="Q847" t="s">
        <v>52</v>
      </c>
      <c r="R847">
        <v>4422</v>
      </c>
      <c r="S847">
        <v>21203</v>
      </c>
      <c r="T847">
        <v>3</v>
      </c>
      <c r="U847" t="s">
        <v>31</v>
      </c>
      <c r="V847">
        <v>13</v>
      </c>
      <c r="W847" t="s">
        <v>43</v>
      </c>
      <c r="X847" t="s">
        <v>41</v>
      </c>
      <c r="Y847">
        <v>1</v>
      </c>
      <c r="Z847">
        <v>16</v>
      </c>
      <c r="AA847">
        <v>3</v>
      </c>
      <c r="AB847" t="s">
        <v>45</v>
      </c>
      <c r="AC847">
        <v>1</v>
      </c>
      <c r="AD847" t="str" cm="1">
        <f t="array" ref="AD847">_xlfn.IFS(AC847&lt;=5,"0-5",AC847&lt;=10,"5-10",AC847&lt;=40,"10-40")</f>
        <v>0-5</v>
      </c>
      <c r="AE847">
        <v>1</v>
      </c>
      <c r="AF847">
        <v>0</v>
      </c>
      <c r="AG847">
        <v>0</v>
      </c>
      <c r="AH847">
        <v>846</v>
      </c>
    </row>
    <row r="848" spans="1:34" x14ac:dyDescent="0.3">
      <c r="A848">
        <v>35</v>
      </c>
      <c r="B848" t="str" cm="1">
        <f t="array" ref="B848">_xlfn.IFS(A848&lt;=25,"18-25",A848&lt;=35,"26-35",A848&lt;=45,"36-45",A848&lt;=55,"46-55",A848&gt;55,"55+")</f>
        <v>26-35</v>
      </c>
      <c r="C848">
        <v>0</v>
      </c>
      <c r="D848" t="s">
        <v>32</v>
      </c>
      <c r="E848">
        <v>819</v>
      </c>
      <c r="F848" t="s">
        <v>48</v>
      </c>
      <c r="G848">
        <v>2</v>
      </c>
      <c r="H848" t="s">
        <v>61</v>
      </c>
      <c r="I848" t="s">
        <v>35</v>
      </c>
      <c r="J848" t="s">
        <v>38</v>
      </c>
      <c r="K848" t="s">
        <v>50</v>
      </c>
      <c r="L848">
        <v>44</v>
      </c>
      <c r="M848" t="s">
        <v>36</v>
      </c>
      <c r="N848" t="s">
        <v>63</v>
      </c>
      <c r="O848" t="s">
        <v>64</v>
      </c>
      <c r="P848" t="s">
        <v>36</v>
      </c>
      <c r="Q848" t="s">
        <v>62</v>
      </c>
      <c r="R848">
        <v>10274</v>
      </c>
      <c r="S848">
        <v>19588</v>
      </c>
      <c r="T848">
        <v>2</v>
      </c>
      <c r="U848" t="s">
        <v>46</v>
      </c>
      <c r="V848">
        <v>18</v>
      </c>
      <c r="W848" t="s">
        <v>43</v>
      </c>
      <c r="X848" t="s">
        <v>36</v>
      </c>
      <c r="Y848">
        <v>1</v>
      </c>
      <c r="Z848">
        <v>15</v>
      </c>
      <c r="AA848">
        <v>2</v>
      </c>
      <c r="AB848" t="s">
        <v>73</v>
      </c>
      <c r="AC848">
        <v>7</v>
      </c>
      <c r="AD848" t="str" cm="1">
        <f t="array" ref="AD848">_xlfn.IFS(AC848&lt;=5,"0-5",AC848&lt;=10,"5-10",AC848&lt;=40,"10-40")</f>
        <v>5-10</v>
      </c>
      <c r="AE848">
        <v>7</v>
      </c>
      <c r="AF848">
        <v>6</v>
      </c>
      <c r="AG848">
        <v>4</v>
      </c>
      <c r="AH848">
        <v>847</v>
      </c>
    </row>
    <row r="849" spans="1:34" x14ac:dyDescent="0.3">
      <c r="A849">
        <v>34</v>
      </c>
      <c r="B849" t="str" cm="1">
        <f t="array" ref="B849">_xlfn.IFS(A849&lt;=25,"18-25",A849&lt;=35,"26-35",A849&lt;=45,"36-45",A849&lt;=55,"46-55",A849&gt;55,"55+")</f>
        <v>26-35</v>
      </c>
      <c r="C849">
        <v>0</v>
      </c>
      <c r="D849" t="s">
        <v>47</v>
      </c>
      <c r="E849">
        <v>669</v>
      </c>
      <c r="F849" t="s">
        <v>48</v>
      </c>
      <c r="G849">
        <v>1</v>
      </c>
      <c r="H849" t="s">
        <v>61</v>
      </c>
      <c r="I849" t="s">
        <v>59</v>
      </c>
      <c r="J849" t="s">
        <v>41</v>
      </c>
      <c r="K849" t="s">
        <v>50</v>
      </c>
      <c r="L849">
        <v>97</v>
      </c>
      <c r="M849" t="s">
        <v>36</v>
      </c>
      <c r="N849" t="s">
        <v>39</v>
      </c>
      <c r="O849" t="s">
        <v>65</v>
      </c>
      <c r="P849" t="s">
        <v>44</v>
      </c>
      <c r="Q849" t="s">
        <v>42</v>
      </c>
      <c r="R849">
        <v>5343</v>
      </c>
      <c r="S849">
        <v>25755</v>
      </c>
      <c r="T849">
        <v>0</v>
      </c>
      <c r="U849" t="s">
        <v>46</v>
      </c>
      <c r="V849">
        <v>20</v>
      </c>
      <c r="W849" t="s">
        <v>53</v>
      </c>
      <c r="X849" t="s">
        <v>38</v>
      </c>
      <c r="Y849">
        <v>0</v>
      </c>
      <c r="Z849">
        <v>14</v>
      </c>
      <c r="AA849">
        <v>3</v>
      </c>
      <c r="AB849" t="s">
        <v>54</v>
      </c>
      <c r="AC849">
        <v>13</v>
      </c>
      <c r="AD849" t="str" cm="1">
        <f t="array" ref="AD849">_xlfn.IFS(AC849&lt;=5,"0-5",AC849&lt;=10,"5-10",AC849&lt;=40,"10-40")</f>
        <v>10-40</v>
      </c>
      <c r="AE849">
        <v>9</v>
      </c>
      <c r="AF849">
        <v>4</v>
      </c>
      <c r="AG849">
        <v>9</v>
      </c>
      <c r="AH849">
        <v>848</v>
      </c>
    </row>
    <row r="850" spans="1:34" x14ac:dyDescent="0.3">
      <c r="A850">
        <v>35</v>
      </c>
      <c r="B850" t="str" cm="1">
        <f t="array" ref="B850">_xlfn.IFS(A850&lt;=25,"18-25",A850&lt;=35,"26-35",A850&lt;=45,"36-45",A850&lt;=55,"46-55",A850&gt;55,"55+")</f>
        <v>26-35</v>
      </c>
      <c r="C850">
        <v>0</v>
      </c>
      <c r="D850" t="s">
        <v>47</v>
      </c>
      <c r="E850">
        <v>636</v>
      </c>
      <c r="F850" t="s">
        <v>48</v>
      </c>
      <c r="G850">
        <v>4</v>
      </c>
      <c r="H850" t="s">
        <v>58</v>
      </c>
      <c r="I850" t="s">
        <v>55</v>
      </c>
      <c r="J850" t="s">
        <v>41</v>
      </c>
      <c r="K850" t="s">
        <v>50</v>
      </c>
      <c r="L850">
        <v>47</v>
      </c>
      <c r="M850" t="s">
        <v>36</v>
      </c>
      <c r="N850" t="s">
        <v>56</v>
      </c>
      <c r="O850" t="s">
        <v>57</v>
      </c>
      <c r="P850" t="s">
        <v>41</v>
      </c>
      <c r="Q850" t="s">
        <v>52</v>
      </c>
      <c r="R850">
        <v>2376</v>
      </c>
      <c r="S850">
        <v>26537</v>
      </c>
      <c r="T850">
        <v>1</v>
      </c>
      <c r="U850" t="s">
        <v>46</v>
      </c>
      <c r="V850">
        <v>13</v>
      </c>
      <c r="W850" t="s">
        <v>43</v>
      </c>
      <c r="X850" t="s">
        <v>36</v>
      </c>
      <c r="Y850">
        <v>1</v>
      </c>
      <c r="Z850">
        <v>2</v>
      </c>
      <c r="AA850">
        <v>2</v>
      </c>
      <c r="AB850" t="s">
        <v>73</v>
      </c>
      <c r="AC850">
        <v>2</v>
      </c>
      <c r="AD850" t="str" cm="1">
        <f t="array" ref="AD850">_xlfn.IFS(AC850&lt;=5,"0-5",AC850&lt;=10,"5-10",AC850&lt;=40,"10-40")</f>
        <v>0-5</v>
      </c>
      <c r="AE850">
        <v>2</v>
      </c>
      <c r="AF850">
        <v>2</v>
      </c>
      <c r="AG850">
        <v>2</v>
      </c>
      <c r="AH850">
        <v>849</v>
      </c>
    </row>
    <row r="851" spans="1:34" x14ac:dyDescent="0.3">
      <c r="A851">
        <v>43</v>
      </c>
      <c r="B851" t="str" cm="1">
        <f t="array" ref="B851">_xlfn.IFS(A851&lt;=25,"18-25",A851&lt;=35,"26-35",A851&lt;=45,"36-45",A851&lt;=55,"46-55",A851&gt;55,"55+")</f>
        <v>36-45</v>
      </c>
      <c r="C851">
        <v>1</v>
      </c>
      <c r="D851" t="s">
        <v>32</v>
      </c>
      <c r="E851">
        <v>1372</v>
      </c>
      <c r="F851" t="s">
        <v>33</v>
      </c>
      <c r="G851">
        <v>9</v>
      </c>
      <c r="H851" t="s">
        <v>61</v>
      </c>
      <c r="I851" t="s">
        <v>72</v>
      </c>
      <c r="J851" t="s">
        <v>44</v>
      </c>
      <c r="K851" t="s">
        <v>37</v>
      </c>
      <c r="L851">
        <v>85</v>
      </c>
      <c r="M851" t="s">
        <v>44</v>
      </c>
      <c r="N851" t="s">
        <v>39</v>
      </c>
      <c r="O851" t="s">
        <v>40</v>
      </c>
      <c r="P851" t="s">
        <v>38</v>
      </c>
      <c r="Q851" t="s">
        <v>42</v>
      </c>
      <c r="R851">
        <v>5346</v>
      </c>
      <c r="S851">
        <v>9489</v>
      </c>
      <c r="T851">
        <v>8</v>
      </c>
      <c r="U851" t="s">
        <v>46</v>
      </c>
      <c r="V851">
        <v>13</v>
      </c>
      <c r="W851" t="s">
        <v>43</v>
      </c>
      <c r="X851" t="s">
        <v>36</v>
      </c>
      <c r="Y851">
        <v>0</v>
      </c>
      <c r="Z851">
        <v>7</v>
      </c>
      <c r="AA851">
        <v>2</v>
      </c>
      <c r="AB851" t="s">
        <v>60</v>
      </c>
      <c r="AC851">
        <v>4</v>
      </c>
      <c r="AD851" t="str" cm="1">
        <f t="array" ref="AD851">_xlfn.IFS(AC851&lt;=5,"0-5",AC851&lt;=10,"5-10",AC851&lt;=40,"10-40")</f>
        <v>0-5</v>
      </c>
      <c r="AE851">
        <v>3</v>
      </c>
      <c r="AF851">
        <v>1</v>
      </c>
      <c r="AG851">
        <v>3</v>
      </c>
      <c r="AH851">
        <v>850</v>
      </c>
    </row>
    <row r="852" spans="1:34" x14ac:dyDescent="0.3">
      <c r="A852">
        <v>32</v>
      </c>
      <c r="B852" t="str" cm="1">
        <f t="array" ref="B852">_xlfn.IFS(A852&lt;=25,"18-25",A852&lt;=35,"26-35",A852&lt;=45,"36-45",A852&lt;=55,"46-55",A852&gt;55,"55+")</f>
        <v>26-35</v>
      </c>
      <c r="C852">
        <v>0</v>
      </c>
      <c r="D852" t="s">
        <v>66</v>
      </c>
      <c r="E852">
        <v>862</v>
      </c>
      <c r="F852" t="s">
        <v>33</v>
      </c>
      <c r="G852">
        <v>2</v>
      </c>
      <c r="H852" t="s">
        <v>49</v>
      </c>
      <c r="I852" t="s">
        <v>35</v>
      </c>
      <c r="J852" t="s">
        <v>38</v>
      </c>
      <c r="K852" t="s">
        <v>37</v>
      </c>
      <c r="L852">
        <v>76</v>
      </c>
      <c r="M852" t="s">
        <v>38</v>
      </c>
      <c r="N852" t="s">
        <v>56</v>
      </c>
      <c r="O852" t="s">
        <v>69</v>
      </c>
      <c r="P852" t="s">
        <v>44</v>
      </c>
      <c r="Q852" t="s">
        <v>62</v>
      </c>
      <c r="R852">
        <v>2827</v>
      </c>
      <c r="S852">
        <v>14947</v>
      </c>
      <c r="T852">
        <v>1</v>
      </c>
      <c r="U852" t="s">
        <v>46</v>
      </c>
      <c r="V852">
        <v>12</v>
      </c>
      <c r="W852" t="s">
        <v>43</v>
      </c>
      <c r="X852" t="s">
        <v>38</v>
      </c>
      <c r="Y852">
        <v>3</v>
      </c>
      <c r="Z852">
        <v>1</v>
      </c>
      <c r="AA852">
        <v>3</v>
      </c>
      <c r="AB852" t="s">
        <v>54</v>
      </c>
      <c r="AC852">
        <v>1</v>
      </c>
      <c r="AD852" t="str" cm="1">
        <f t="array" ref="AD852">_xlfn.IFS(AC852&lt;=5,"0-5",AC852&lt;=10,"5-10",AC852&lt;=40,"10-40")</f>
        <v>0-5</v>
      </c>
      <c r="AE852">
        <v>0</v>
      </c>
      <c r="AF852">
        <v>0</v>
      </c>
      <c r="AG852">
        <v>0</v>
      </c>
      <c r="AH852">
        <v>851</v>
      </c>
    </row>
    <row r="853" spans="1:34" x14ac:dyDescent="0.3">
      <c r="A853">
        <v>56</v>
      </c>
      <c r="B853" t="str" cm="1">
        <f t="array" ref="B853">_xlfn.IFS(A853&lt;=25,"18-25",A853&lt;=35,"26-35",A853&lt;=45,"36-45",A853&lt;=55,"46-55",A853&gt;55,"55+")</f>
        <v>55+</v>
      </c>
      <c r="C853">
        <v>0</v>
      </c>
      <c r="D853" t="s">
        <v>32</v>
      </c>
      <c r="E853">
        <v>718</v>
      </c>
      <c r="F853" t="s">
        <v>48</v>
      </c>
      <c r="G853">
        <v>4</v>
      </c>
      <c r="H853" t="s">
        <v>58</v>
      </c>
      <c r="I853" t="s">
        <v>74</v>
      </c>
      <c r="J853" t="s">
        <v>41</v>
      </c>
      <c r="K853" t="s">
        <v>37</v>
      </c>
      <c r="L853">
        <v>92</v>
      </c>
      <c r="M853" t="s">
        <v>38</v>
      </c>
      <c r="N853" t="s">
        <v>71</v>
      </c>
      <c r="O853" t="s">
        <v>68</v>
      </c>
      <c r="P853" t="s">
        <v>44</v>
      </c>
      <c r="Q853" t="s">
        <v>62</v>
      </c>
      <c r="R853">
        <v>19943</v>
      </c>
      <c r="S853">
        <v>18575</v>
      </c>
      <c r="T853">
        <v>4</v>
      </c>
      <c r="U853" t="s">
        <v>46</v>
      </c>
      <c r="V853">
        <v>13</v>
      </c>
      <c r="W853" t="s">
        <v>43</v>
      </c>
      <c r="X853" t="s">
        <v>41</v>
      </c>
      <c r="Y853">
        <v>1</v>
      </c>
      <c r="Z853">
        <v>28</v>
      </c>
      <c r="AA853">
        <v>2</v>
      </c>
      <c r="AB853" t="s">
        <v>54</v>
      </c>
      <c r="AC853">
        <v>5</v>
      </c>
      <c r="AD853" t="str" cm="1">
        <f t="array" ref="AD853">_xlfn.IFS(AC853&lt;=5,"0-5",AC853&lt;=10,"5-10",AC853&lt;=40,"10-40")</f>
        <v>0-5</v>
      </c>
      <c r="AE853">
        <v>2</v>
      </c>
      <c r="AF853">
        <v>4</v>
      </c>
      <c r="AG853">
        <v>2</v>
      </c>
      <c r="AH853">
        <v>852</v>
      </c>
    </row>
    <row r="854" spans="1:34" x14ac:dyDescent="0.3">
      <c r="A854">
        <v>29</v>
      </c>
      <c r="B854" t="str" cm="1">
        <f t="array" ref="B854">_xlfn.IFS(A854&lt;=25,"18-25",A854&lt;=35,"26-35",A854&lt;=45,"36-45",A854&lt;=55,"46-55",A854&gt;55,"55+")</f>
        <v>26-35</v>
      </c>
      <c r="C854">
        <v>0</v>
      </c>
      <c r="D854" t="s">
        <v>32</v>
      </c>
      <c r="E854">
        <v>1401</v>
      </c>
      <c r="F854" t="s">
        <v>48</v>
      </c>
      <c r="G854">
        <v>6</v>
      </c>
      <c r="H854" t="s">
        <v>49</v>
      </c>
      <c r="I854" t="s">
        <v>59</v>
      </c>
      <c r="J854" t="s">
        <v>36</v>
      </c>
      <c r="K854" t="s">
        <v>37</v>
      </c>
      <c r="L854">
        <v>54</v>
      </c>
      <c r="M854" t="s">
        <v>38</v>
      </c>
      <c r="N854" t="s">
        <v>56</v>
      </c>
      <c r="O854" t="s">
        <v>57</v>
      </c>
      <c r="P854" t="s">
        <v>41</v>
      </c>
      <c r="Q854" t="s">
        <v>52</v>
      </c>
      <c r="R854">
        <v>3131</v>
      </c>
      <c r="S854">
        <v>26342</v>
      </c>
      <c r="T854">
        <v>1</v>
      </c>
      <c r="U854" t="s">
        <v>46</v>
      </c>
      <c r="V854">
        <v>13</v>
      </c>
      <c r="W854" t="s">
        <v>43</v>
      </c>
      <c r="X854" t="s">
        <v>44</v>
      </c>
      <c r="Y854">
        <v>1</v>
      </c>
      <c r="Z854">
        <v>10</v>
      </c>
      <c r="AA854">
        <v>5</v>
      </c>
      <c r="AB854" t="s">
        <v>54</v>
      </c>
      <c r="AC854">
        <v>10</v>
      </c>
      <c r="AD854" t="str" cm="1">
        <f t="array" ref="AD854">_xlfn.IFS(AC854&lt;=5,"0-5",AC854&lt;=10,"5-10",AC854&lt;=40,"10-40")</f>
        <v>5-10</v>
      </c>
      <c r="AE854">
        <v>8</v>
      </c>
      <c r="AF854">
        <v>0</v>
      </c>
      <c r="AG854">
        <v>8</v>
      </c>
      <c r="AH854">
        <v>853</v>
      </c>
    </row>
    <row r="855" spans="1:34" x14ac:dyDescent="0.3">
      <c r="A855">
        <v>19</v>
      </c>
      <c r="B855" t="str" cm="1">
        <f t="array" ref="B855">_xlfn.IFS(A855&lt;=25,"18-25",A855&lt;=35,"26-35",A855&lt;=45,"36-45",A855&lt;=55,"46-55",A855&gt;55,"55+")</f>
        <v>18-25</v>
      </c>
      <c r="C855">
        <v>0</v>
      </c>
      <c r="D855" t="s">
        <v>32</v>
      </c>
      <c r="E855">
        <v>645</v>
      </c>
      <c r="F855" t="s">
        <v>48</v>
      </c>
      <c r="G855">
        <v>9</v>
      </c>
      <c r="H855" t="s">
        <v>34</v>
      </c>
      <c r="I855" t="s">
        <v>35</v>
      </c>
      <c r="J855" t="s">
        <v>38</v>
      </c>
      <c r="K855" t="s">
        <v>50</v>
      </c>
      <c r="L855">
        <v>54</v>
      </c>
      <c r="M855" t="s">
        <v>38</v>
      </c>
      <c r="N855" t="s">
        <v>56</v>
      </c>
      <c r="O855" t="s">
        <v>51</v>
      </c>
      <c r="P855" t="s">
        <v>44</v>
      </c>
      <c r="Q855" t="s">
        <v>42</v>
      </c>
      <c r="R855">
        <v>2552</v>
      </c>
      <c r="S855">
        <v>7172</v>
      </c>
      <c r="T855">
        <v>1</v>
      </c>
      <c r="U855" t="s">
        <v>46</v>
      </c>
      <c r="V855">
        <v>25</v>
      </c>
      <c r="W855" t="s">
        <v>53</v>
      </c>
      <c r="X855" t="s">
        <v>38</v>
      </c>
      <c r="Y855">
        <v>0</v>
      </c>
      <c r="Z855">
        <v>1</v>
      </c>
      <c r="AA855">
        <v>4</v>
      </c>
      <c r="AB855" t="s">
        <v>54</v>
      </c>
      <c r="AC855">
        <v>1</v>
      </c>
      <c r="AD855" t="str" cm="1">
        <f t="array" ref="AD855">_xlfn.IFS(AC855&lt;=5,"0-5",AC855&lt;=10,"5-10",AC855&lt;=40,"10-40")</f>
        <v>0-5</v>
      </c>
      <c r="AE855">
        <v>1</v>
      </c>
      <c r="AF855">
        <v>0</v>
      </c>
      <c r="AG855">
        <v>0</v>
      </c>
      <c r="AH855">
        <v>854</v>
      </c>
    </row>
    <row r="856" spans="1:34" x14ac:dyDescent="0.3">
      <c r="A856">
        <v>45</v>
      </c>
      <c r="B856" t="str" cm="1">
        <f t="array" ref="B856">_xlfn.IFS(A856&lt;=25,"18-25",A856&lt;=35,"26-35",A856&lt;=45,"36-45",A856&lt;=55,"46-55",A856&gt;55,"55+")</f>
        <v>36-45</v>
      </c>
      <c r="C856">
        <v>0</v>
      </c>
      <c r="D856" t="s">
        <v>32</v>
      </c>
      <c r="E856">
        <v>1457</v>
      </c>
      <c r="F856" t="s">
        <v>48</v>
      </c>
      <c r="G856">
        <v>7</v>
      </c>
      <c r="H856" t="s">
        <v>61</v>
      </c>
      <c r="I856" t="s">
        <v>59</v>
      </c>
      <c r="J856" t="s">
        <v>44</v>
      </c>
      <c r="K856" t="s">
        <v>37</v>
      </c>
      <c r="L856">
        <v>83</v>
      </c>
      <c r="M856" t="s">
        <v>38</v>
      </c>
      <c r="N856" t="s">
        <v>56</v>
      </c>
      <c r="O856" t="s">
        <v>51</v>
      </c>
      <c r="P856" t="s">
        <v>38</v>
      </c>
      <c r="Q856" t="s">
        <v>52</v>
      </c>
      <c r="R856">
        <v>4477</v>
      </c>
      <c r="S856">
        <v>20100</v>
      </c>
      <c r="T856">
        <v>4</v>
      </c>
      <c r="U856" t="s">
        <v>31</v>
      </c>
      <c r="V856">
        <v>19</v>
      </c>
      <c r="W856" t="s">
        <v>43</v>
      </c>
      <c r="X856" t="s">
        <v>38</v>
      </c>
      <c r="Y856">
        <v>1</v>
      </c>
      <c r="Z856">
        <v>7</v>
      </c>
      <c r="AA856">
        <v>2</v>
      </c>
      <c r="AB856" t="s">
        <v>60</v>
      </c>
      <c r="AC856">
        <v>3</v>
      </c>
      <c r="AD856" t="str" cm="1">
        <f t="array" ref="AD856">_xlfn.IFS(AC856&lt;=5,"0-5",AC856&lt;=10,"5-10",AC856&lt;=40,"10-40")</f>
        <v>0-5</v>
      </c>
      <c r="AE856">
        <v>2</v>
      </c>
      <c r="AF856">
        <v>0</v>
      </c>
      <c r="AG856">
        <v>2</v>
      </c>
      <c r="AH856">
        <v>855</v>
      </c>
    </row>
    <row r="857" spans="1:34" x14ac:dyDescent="0.3">
      <c r="A857">
        <v>37</v>
      </c>
      <c r="B857" t="str" cm="1">
        <f t="array" ref="B857">_xlfn.IFS(A857&lt;=25,"18-25",A857&lt;=35,"26-35",A857&lt;=45,"36-45",A857&lt;=55,"46-55",A857&gt;55,"55+")</f>
        <v>36-45</v>
      </c>
      <c r="C857">
        <v>0</v>
      </c>
      <c r="D857" t="s">
        <v>32</v>
      </c>
      <c r="E857">
        <v>977</v>
      </c>
      <c r="F857" t="s">
        <v>48</v>
      </c>
      <c r="G857">
        <v>1</v>
      </c>
      <c r="H857" t="s">
        <v>61</v>
      </c>
      <c r="I857" t="s">
        <v>35</v>
      </c>
      <c r="J857" t="s">
        <v>41</v>
      </c>
      <c r="K857" t="s">
        <v>37</v>
      </c>
      <c r="L857">
        <v>56</v>
      </c>
      <c r="M857" t="s">
        <v>36</v>
      </c>
      <c r="N857" t="s">
        <v>39</v>
      </c>
      <c r="O857" t="s">
        <v>64</v>
      </c>
      <c r="P857" t="s">
        <v>41</v>
      </c>
      <c r="Q857" t="s">
        <v>52</v>
      </c>
      <c r="R857">
        <v>6474</v>
      </c>
      <c r="S857">
        <v>9961</v>
      </c>
      <c r="T857">
        <v>1</v>
      </c>
      <c r="U857" t="s">
        <v>46</v>
      </c>
      <c r="V857">
        <v>13</v>
      </c>
      <c r="W857" t="s">
        <v>43</v>
      </c>
      <c r="X857" t="s">
        <v>36</v>
      </c>
      <c r="Y857">
        <v>1</v>
      </c>
      <c r="Z857">
        <v>14</v>
      </c>
      <c r="AA857">
        <v>2</v>
      </c>
      <c r="AB857" t="s">
        <v>60</v>
      </c>
      <c r="AC857">
        <v>14</v>
      </c>
      <c r="AD857" t="str" cm="1">
        <f t="array" ref="AD857">_xlfn.IFS(AC857&lt;=5,"0-5",AC857&lt;=10,"5-10",AC857&lt;=40,"10-40")</f>
        <v>10-40</v>
      </c>
      <c r="AE857">
        <v>8</v>
      </c>
      <c r="AF857">
        <v>3</v>
      </c>
      <c r="AG857">
        <v>11</v>
      </c>
      <c r="AH857">
        <v>856</v>
      </c>
    </row>
    <row r="858" spans="1:34" x14ac:dyDescent="0.3">
      <c r="A858">
        <v>20</v>
      </c>
      <c r="B858" t="str" cm="1">
        <f t="array" ref="B858">_xlfn.IFS(A858&lt;=25,"18-25",A858&lt;=35,"26-35",A858&lt;=45,"36-45",A858&lt;=55,"46-55",A858&gt;55,"55+")</f>
        <v>18-25</v>
      </c>
      <c r="C858">
        <v>0</v>
      </c>
      <c r="D858" t="s">
        <v>32</v>
      </c>
      <c r="E858">
        <v>805</v>
      </c>
      <c r="F858" t="s">
        <v>48</v>
      </c>
      <c r="G858">
        <v>3</v>
      </c>
      <c r="H858" t="s">
        <v>61</v>
      </c>
      <c r="I858" t="s">
        <v>35</v>
      </c>
      <c r="J858" t="s">
        <v>44</v>
      </c>
      <c r="K858" t="s">
        <v>50</v>
      </c>
      <c r="L858">
        <v>87</v>
      </c>
      <c r="M858" t="s">
        <v>36</v>
      </c>
      <c r="N858" t="s">
        <v>56</v>
      </c>
      <c r="O858" t="s">
        <v>57</v>
      </c>
      <c r="P858" t="s">
        <v>38</v>
      </c>
      <c r="Q858" t="s">
        <v>42</v>
      </c>
      <c r="R858">
        <v>3033</v>
      </c>
      <c r="S858">
        <v>12828</v>
      </c>
      <c r="T858">
        <v>1</v>
      </c>
      <c r="U858" t="s">
        <v>46</v>
      </c>
      <c r="V858">
        <v>12</v>
      </c>
      <c r="W858" t="s">
        <v>43</v>
      </c>
      <c r="X858" t="s">
        <v>44</v>
      </c>
      <c r="Y858">
        <v>0</v>
      </c>
      <c r="Z858">
        <v>2</v>
      </c>
      <c r="AA858">
        <v>2</v>
      </c>
      <c r="AB858" t="s">
        <v>60</v>
      </c>
      <c r="AC858">
        <v>2</v>
      </c>
      <c r="AD858" t="str" cm="1">
        <f t="array" ref="AD858">_xlfn.IFS(AC858&lt;=5,"0-5",AC858&lt;=10,"5-10",AC858&lt;=40,"10-40")</f>
        <v>0-5</v>
      </c>
      <c r="AE858">
        <v>2</v>
      </c>
      <c r="AF858">
        <v>1</v>
      </c>
      <c r="AG858">
        <v>2</v>
      </c>
      <c r="AH858">
        <v>857</v>
      </c>
    </row>
    <row r="859" spans="1:34" x14ac:dyDescent="0.3">
      <c r="A859">
        <v>44</v>
      </c>
      <c r="B859" t="str" cm="1">
        <f t="array" ref="B859">_xlfn.IFS(A859&lt;=25,"18-25",A859&lt;=35,"26-35",A859&lt;=45,"36-45",A859&lt;=55,"46-55",A859&gt;55,"55+")</f>
        <v>36-45</v>
      </c>
      <c r="C859">
        <v>1</v>
      </c>
      <c r="D859" t="s">
        <v>32</v>
      </c>
      <c r="E859">
        <v>1097</v>
      </c>
      <c r="F859" t="s">
        <v>48</v>
      </c>
      <c r="G859">
        <v>10</v>
      </c>
      <c r="H859" t="s">
        <v>58</v>
      </c>
      <c r="I859" t="s">
        <v>35</v>
      </c>
      <c r="J859" t="s">
        <v>38</v>
      </c>
      <c r="K859" t="s">
        <v>50</v>
      </c>
      <c r="L859">
        <v>96</v>
      </c>
      <c r="M859" t="s">
        <v>38</v>
      </c>
      <c r="N859" t="s">
        <v>56</v>
      </c>
      <c r="O859" t="s">
        <v>51</v>
      </c>
      <c r="P859" t="s">
        <v>38</v>
      </c>
      <c r="Q859" t="s">
        <v>42</v>
      </c>
      <c r="R859">
        <v>2936</v>
      </c>
      <c r="S859">
        <v>10826</v>
      </c>
      <c r="T859">
        <v>1</v>
      </c>
      <c r="U859" t="s">
        <v>31</v>
      </c>
      <c r="V859">
        <v>11</v>
      </c>
      <c r="W859" t="s">
        <v>43</v>
      </c>
      <c r="X859" t="s">
        <v>38</v>
      </c>
      <c r="Y859">
        <v>0</v>
      </c>
      <c r="Z859">
        <v>6</v>
      </c>
      <c r="AA859">
        <v>4</v>
      </c>
      <c r="AB859" t="s">
        <v>54</v>
      </c>
      <c r="AC859">
        <v>6</v>
      </c>
      <c r="AD859" t="str" cm="1">
        <f t="array" ref="AD859">_xlfn.IFS(AC859&lt;=5,"0-5",AC859&lt;=10,"5-10",AC859&lt;=40,"10-40")</f>
        <v>5-10</v>
      </c>
      <c r="AE859">
        <v>4</v>
      </c>
      <c r="AF859">
        <v>0</v>
      </c>
      <c r="AG859">
        <v>2</v>
      </c>
      <c r="AH859">
        <v>858</v>
      </c>
    </row>
    <row r="860" spans="1:34" x14ac:dyDescent="0.3">
      <c r="A860">
        <v>53</v>
      </c>
      <c r="B860" t="str" cm="1">
        <f t="array" ref="B860">_xlfn.IFS(A860&lt;=25,"18-25",A860&lt;=35,"26-35",A860&lt;=45,"36-45",A860&lt;=55,"46-55",A860&gt;55,"55+")</f>
        <v>46-55</v>
      </c>
      <c r="C860">
        <v>0</v>
      </c>
      <c r="D860" t="s">
        <v>32</v>
      </c>
      <c r="E860">
        <v>1223</v>
      </c>
      <c r="F860" t="s">
        <v>48</v>
      </c>
      <c r="G860">
        <v>7</v>
      </c>
      <c r="H860" t="s">
        <v>34</v>
      </c>
      <c r="I860" t="s">
        <v>59</v>
      </c>
      <c r="J860" t="s">
        <v>41</v>
      </c>
      <c r="K860" t="s">
        <v>37</v>
      </c>
      <c r="L860">
        <v>50</v>
      </c>
      <c r="M860" t="s">
        <v>38</v>
      </c>
      <c r="N860" t="s">
        <v>71</v>
      </c>
      <c r="O860" t="s">
        <v>68</v>
      </c>
      <c r="P860" t="s">
        <v>38</v>
      </c>
      <c r="Q860" t="s">
        <v>62</v>
      </c>
      <c r="R860">
        <v>18606</v>
      </c>
      <c r="S860">
        <v>18640</v>
      </c>
      <c r="T860">
        <v>3</v>
      </c>
      <c r="U860" t="s">
        <v>46</v>
      </c>
      <c r="V860">
        <v>18</v>
      </c>
      <c r="W860" t="s">
        <v>43</v>
      </c>
      <c r="X860" t="s">
        <v>36</v>
      </c>
      <c r="Y860">
        <v>1</v>
      </c>
      <c r="Z860">
        <v>26</v>
      </c>
      <c r="AA860">
        <v>6</v>
      </c>
      <c r="AB860" t="s">
        <v>54</v>
      </c>
      <c r="AC860">
        <v>7</v>
      </c>
      <c r="AD860" t="str" cm="1">
        <f t="array" ref="AD860">_xlfn.IFS(AC860&lt;=5,"0-5",AC860&lt;=10,"5-10",AC860&lt;=40,"10-40")</f>
        <v>5-10</v>
      </c>
      <c r="AE860">
        <v>7</v>
      </c>
      <c r="AF860">
        <v>4</v>
      </c>
      <c r="AG860">
        <v>7</v>
      </c>
      <c r="AH860">
        <v>859</v>
      </c>
    </row>
    <row r="861" spans="1:34" x14ac:dyDescent="0.3">
      <c r="A861">
        <v>29</v>
      </c>
      <c r="B861" t="str" cm="1">
        <f t="array" ref="B861">_xlfn.IFS(A861&lt;=25,"18-25",A861&lt;=35,"26-35",A861&lt;=45,"36-45",A861&lt;=55,"46-55",A861&gt;55,"55+")</f>
        <v>26-35</v>
      </c>
      <c r="C861">
        <v>0</v>
      </c>
      <c r="D861" t="s">
        <v>32</v>
      </c>
      <c r="E861">
        <v>942</v>
      </c>
      <c r="F861" t="s">
        <v>48</v>
      </c>
      <c r="G861">
        <v>15</v>
      </c>
      <c r="H861" t="s">
        <v>49</v>
      </c>
      <c r="I861" t="s">
        <v>35</v>
      </c>
      <c r="J861" t="s">
        <v>36</v>
      </c>
      <c r="K861" t="s">
        <v>37</v>
      </c>
      <c r="L861">
        <v>69</v>
      </c>
      <c r="M861" t="s">
        <v>44</v>
      </c>
      <c r="N861" t="s">
        <v>56</v>
      </c>
      <c r="O861" t="s">
        <v>51</v>
      </c>
      <c r="P861" t="s">
        <v>41</v>
      </c>
      <c r="Q861" t="s">
        <v>52</v>
      </c>
      <c r="R861">
        <v>2168</v>
      </c>
      <c r="S861">
        <v>26933</v>
      </c>
      <c r="T861">
        <v>0</v>
      </c>
      <c r="U861" t="s">
        <v>31</v>
      </c>
      <c r="V861">
        <v>18</v>
      </c>
      <c r="W861" t="s">
        <v>43</v>
      </c>
      <c r="X861" t="s">
        <v>44</v>
      </c>
      <c r="Y861">
        <v>1</v>
      </c>
      <c r="Z861">
        <v>6</v>
      </c>
      <c r="AA861">
        <v>2</v>
      </c>
      <c r="AB861" t="s">
        <v>60</v>
      </c>
      <c r="AC861">
        <v>5</v>
      </c>
      <c r="AD861" t="str" cm="1">
        <f t="array" ref="AD861">_xlfn.IFS(AC861&lt;=5,"0-5",AC861&lt;=10,"5-10",AC861&lt;=40,"10-40")</f>
        <v>0-5</v>
      </c>
      <c r="AE861">
        <v>4</v>
      </c>
      <c r="AF861">
        <v>1</v>
      </c>
      <c r="AG861">
        <v>3</v>
      </c>
      <c r="AH861">
        <v>860</v>
      </c>
    </row>
    <row r="862" spans="1:34" x14ac:dyDescent="0.3">
      <c r="A862">
        <v>22</v>
      </c>
      <c r="B862" t="str" cm="1">
        <f t="array" ref="B862">_xlfn.IFS(A862&lt;=25,"18-25",A862&lt;=35,"26-35",A862&lt;=45,"36-45",A862&lt;=55,"46-55",A862&gt;55,"55+")</f>
        <v>18-25</v>
      </c>
      <c r="C862">
        <v>1</v>
      </c>
      <c r="D862" t="s">
        <v>47</v>
      </c>
      <c r="E862">
        <v>1256</v>
      </c>
      <c r="F862" t="s">
        <v>48</v>
      </c>
      <c r="G862">
        <v>3</v>
      </c>
      <c r="H862" t="s">
        <v>58</v>
      </c>
      <c r="I862" t="s">
        <v>35</v>
      </c>
      <c r="J862" t="s">
        <v>38</v>
      </c>
      <c r="K862" t="s">
        <v>50</v>
      </c>
      <c r="L862">
        <v>48</v>
      </c>
      <c r="M862" t="s">
        <v>36</v>
      </c>
      <c r="N862" t="s">
        <v>56</v>
      </c>
      <c r="O862" t="s">
        <v>51</v>
      </c>
      <c r="P862" t="s">
        <v>41</v>
      </c>
      <c r="Q862" t="s">
        <v>52</v>
      </c>
      <c r="R862">
        <v>2853</v>
      </c>
      <c r="S862">
        <v>4223</v>
      </c>
      <c r="T862">
        <v>0</v>
      </c>
      <c r="U862" t="s">
        <v>31</v>
      </c>
      <c r="V862">
        <v>11</v>
      </c>
      <c r="W862" t="s">
        <v>43</v>
      </c>
      <c r="X862" t="s">
        <v>36</v>
      </c>
      <c r="Y862">
        <v>1</v>
      </c>
      <c r="Z862">
        <v>1</v>
      </c>
      <c r="AA862">
        <v>5</v>
      </c>
      <c r="AB862" t="s">
        <v>54</v>
      </c>
      <c r="AC862">
        <v>0</v>
      </c>
      <c r="AD862" t="str" cm="1">
        <f t="array" ref="AD862">_xlfn.IFS(AC862&lt;=5,"0-5",AC862&lt;=10,"5-10",AC862&lt;=40,"10-40")</f>
        <v>0-5</v>
      </c>
      <c r="AE862">
        <v>0</v>
      </c>
      <c r="AF862">
        <v>0</v>
      </c>
      <c r="AG862">
        <v>0</v>
      </c>
      <c r="AH862">
        <v>861</v>
      </c>
    </row>
    <row r="863" spans="1:34" x14ac:dyDescent="0.3">
      <c r="A863">
        <v>46</v>
      </c>
      <c r="B863" t="str" cm="1">
        <f t="array" ref="B863">_xlfn.IFS(A863&lt;=25,"18-25",A863&lt;=35,"26-35",A863&lt;=45,"36-45",A863&lt;=55,"46-55",A863&gt;55,"55+")</f>
        <v>46-55</v>
      </c>
      <c r="C863">
        <v>0</v>
      </c>
      <c r="D863" t="s">
        <v>32</v>
      </c>
      <c r="E863">
        <v>1402</v>
      </c>
      <c r="F863" t="s">
        <v>33</v>
      </c>
      <c r="G863">
        <v>2</v>
      </c>
      <c r="H863" t="s">
        <v>61</v>
      </c>
      <c r="I863" t="s">
        <v>72</v>
      </c>
      <c r="J863" t="s">
        <v>38</v>
      </c>
      <c r="K863" t="s">
        <v>37</v>
      </c>
      <c r="L863">
        <v>69</v>
      </c>
      <c r="M863" t="s">
        <v>38</v>
      </c>
      <c r="N863" t="s">
        <v>67</v>
      </c>
      <c r="O863" t="s">
        <v>68</v>
      </c>
      <c r="P863" t="s">
        <v>44</v>
      </c>
      <c r="Q863" t="s">
        <v>52</v>
      </c>
      <c r="R863">
        <v>17048</v>
      </c>
      <c r="S863">
        <v>24097</v>
      </c>
      <c r="T863">
        <v>8</v>
      </c>
      <c r="U863" t="s">
        <v>46</v>
      </c>
      <c r="V863">
        <v>23</v>
      </c>
      <c r="W863" t="s">
        <v>53</v>
      </c>
      <c r="X863" t="s">
        <v>44</v>
      </c>
      <c r="Y863">
        <v>0</v>
      </c>
      <c r="Z863">
        <v>28</v>
      </c>
      <c r="AA863">
        <v>2</v>
      </c>
      <c r="AB863" t="s">
        <v>54</v>
      </c>
      <c r="AC863">
        <v>26</v>
      </c>
      <c r="AD863" t="str" cm="1">
        <f t="array" ref="AD863">_xlfn.IFS(AC863&lt;=5,"0-5",AC863&lt;=10,"5-10",AC863&lt;=40,"10-40")</f>
        <v>10-40</v>
      </c>
      <c r="AE863">
        <v>15</v>
      </c>
      <c r="AF863">
        <v>15</v>
      </c>
      <c r="AG863">
        <v>9</v>
      </c>
      <c r="AH863">
        <v>862</v>
      </c>
    </row>
    <row r="864" spans="1:34" x14ac:dyDescent="0.3">
      <c r="A864">
        <v>44</v>
      </c>
      <c r="B864" t="str" cm="1">
        <f t="array" ref="B864">_xlfn.IFS(A864&lt;=25,"18-25",A864&lt;=35,"26-35",A864&lt;=45,"36-45",A864&lt;=55,"46-55",A864&gt;55,"55+")</f>
        <v>36-45</v>
      </c>
      <c r="C864">
        <v>0</v>
      </c>
      <c r="D864" t="s">
        <v>66</v>
      </c>
      <c r="E864">
        <v>111</v>
      </c>
      <c r="F864" t="s">
        <v>48</v>
      </c>
      <c r="G864">
        <v>17</v>
      </c>
      <c r="H864" t="s">
        <v>61</v>
      </c>
      <c r="I864" t="s">
        <v>35</v>
      </c>
      <c r="J864" t="s">
        <v>41</v>
      </c>
      <c r="K864" t="s">
        <v>50</v>
      </c>
      <c r="L864">
        <v>74</v>
      </c>
      <c r="M864" t="s">
        <v>44</v>
      </c>
      <c r="N864" t="s">
        <v>56</v>
      </c>
      <c r="O864" t="s">
        <v>51</v>
      </c>
      <c r="P864" t="s">
        <v>38</v>
      </c>
      <c r="Q864" t="s">
        <v>42</v>
      </c>
      <c r="R864">
        <v>2290</v>
      </c>
      <c r="S864">
        <v>4279</v>
      </c>
      <c r="T864">
        <v>2</v>
      </c>
      <c r="U864" t="s">
        <v>46</v>
      </c>
      <c r="V864">
        <v>13</v>
      </c>
      <c r="W864" t="s">
        <v>43</v>
      </c>
      <c r="X864" t="s">
        <v>41</v>
      </c>
      <c r="Y864">
        <v>0</v>
      </c>
      <c r="Z864">
        <v>6</v>
      </c>
      <c r="AA864">
        <v>3</v>
      </c>
      <c r="AB864" t="s">
        <v>54</v>
      </c>
      <c r="AC864">
        <v>0</v>
      </c>
      <c r="AD864" t="str" cm="1">
        <f t="array" ref="AD864">_xlfn.IFS(AC864&lt;=5,"0-5",AC864&lt;=10,"5-10",AC864&lt;=40,"10-40")</f>
        <v>0-5</v>
      </c>
      <c r="AE864">
        <v>0</v>
      </c>
      <c r="AF864">
        <v>0</v>
      </c>
      <c r="AG864">
        <v>0</v>
      </c>
      <c r="AH864">
        <v>863</v>
      </c>
    </row>
    <row r="865" spans="1:34" x14ac:dyDescent="0.3">
      <c r="A865">
        <v>33</v>
      </c>
      <c r="B865" t="str" cm="1">
        <f t="array" ref="B865">_xlfn.IFS(A865&lt;=25,"18-25",A865&lt;=35,"26-35",A865&lt;=45,"36-45",A865&lt;=55,"46-55",A865&gt;55,"55+")</f>
        <v>26-35</v>
      </c>
      <c r="C865">
        <v>0</v>
      </c>
      <c r="D865" t="s">
        <v>32</v>
      </c>
      <c r="E865">
        <v>147</v>
      </c>
      <c r="F865" t="s">
        <v>76</v>
      </c>
      <c r="G865">
        <v>2</v>
      </c>
      <c r="H865" t="s">
        <v>61</v>
      </c>
      <c r="I865" t="s">
        <v>76</v>
      </c>
      <c r="J865" t="s">
        <v>36</v>
      </c>
      <c r="K865" t="s">
        <v>50</v>
      </c>
      <c r="L865">
        <v>99</v>
      </c>
      <c r="M865" t="s">
        <v>38</v>
      </c>
      <c r="N865" t="s">
        <v>56</v>
      </c>
      <c r="O865" t="s">
        <v>76</v>
      </c>
      <c r="P865" t="s">
        <v>38</v>
      </c>
      <c r="Q865" t="s">
        <v>52</v>
      </c>
      <c r="R865">
        <v>3600</v>
      </c>
      <c r="S865">
        <v>8429</v>
      </c>
      <c r="T865">
        <v>1</v>
      </c>
      <c r="U865" t="s">
        <v>46</v>
      </c>
      <c r="V865">
        <v>13</v>
      </c>
      <c r="W865" t="s">
        <v>43</v>
      </c>
      <c r="X865" t="s">
        <v>41</v>
      </c>
      <c r="Y865">
        <v>1</v>
      </c>
      <c r="Z865">
        <v>5</v>
      </c>
      <c r="AA865">
        <v>2</v>
      </c>
      <c r="AB865" t="s">
        <v>54</v>
      </c>
      <c r="AC865">
        <v>5</v>
      </c>
      <c r="AD865" t="str" cm="1">
        <f t="array" ref="AD865">_xlfn.IFS(AC865&lt;=5,"0-5",AC865&lt;=10,"5-10",AC865&lt;=40,"10-40")</f>
        <v>0-5</v>
      </c>
      <c r="AE865">
        <v>4</v>
      </c>
      <c r="AF865">
        <v>1</v>
      </c>
      <c r="AG865">
        <v>4</v>
      </c>
      <c r="AH865">
        <v>864</v>
      </c>
    </row>
    <row r="866" spans="1:34" x14ac:dyDescent="0.3">
      <c r="A866">
        <v>41</v>
      </c>
      <c r="B866" t="str" cm="1">
        <f t="array" ref="B866">_xlfn.IFS(A866&lt;=25,"18-25",A866&lt;=35,"26-35",A866&lt;=45,"36-45",A866&lt;=55,"46-55",A866&gt;55,"55+")</f>
        <v>36-45</v>
      </c>
      <c r="C866">
        <v>1</v>
      </c>
      <c r="D866" t="s">
        <v>66</v>
      </c>
      <c r="E866">
        <v>906</v>
      </c>
      <c r="F866" t="s">
        <v>48</v>
      </c>
      <c r="G866">
        <v>5</v>
      </c>
      <c r="H866" t="s">
        <v>34</v>
      </c>
      <c r="I866" t="s">
        <v>35</v>
      </c>
      <c r="J866" t="s">
        <v>44</v>
      </c>
      <c r="K866" t="s">
        <v>50</v>
      </c>
      <c r="L866">
        <v>95</v>
      </c>
      <c r="M866" t="s">
        <v>36</v>
      </c>
      <c r="N866" t="s">
        <v>56</v>
      </c>
      <c r="O866" t="s">
        <v>51</v>
      </c>
      <c r="P866" t="s">
        <v>44</v>
      </c>
      <c r="Q866" t="s">
        <v>62</v>
      </c>
      <c r="R866">
        <v>2107</v>
      </c>
      <c r="S866">
        <v>20293</v>
      </c>
      <c r="T866">
        <v>6</v>
      </c>
      <c r="U866" t="s">
        <v>46</v>
      </c>
      <c r="V866">
        <v>17</v>
      </c>
      <c r="W866" t="s">
        <v>43</v>
      </c>
      <c r="X866" t="s">
        <v>44</v>
      </c>
      <c r="Y866">
        <v>1</v>
      </c>
      <c r="Z866">
        <v>5</v>
      </c>
      <c r="AA866">
        <v>2</v>
      </c>
      <c r="AB866" t="s">
        <v>45</v>
      </c>
      <c r="AC866">
        <v>1</v>
      </c>
      <c r="AD866" t="str" cm="1">
        <f t="array" ref="AD866">_xlfn.IFS(AC866&lt;=5,"0-5",AC866&lt;=10,"5-10",AC866&lt;=40,"10-40")</f>
        <v>0-5</v>
      </c>
      <c r="AE866">
        <v>0</v>
      </c>
      <c r="AF866">
        <v>0</v>
      </c>
      <c r="AG866">
        <v>0</v>
      </c>
      <c r="AH866">
        <v>865</v>
      </c>
    </row>
    <row r="867" spans="1:34" x14ac:dyDescent="0.3">
      <c r="A867">
        <v>30</v>
      </c>
      <c r="B867" t="str" cm="1">
        <f t="array" ref="B867">_xlfn.IFS(A867&lt;=25,"18-25",A867&lt;=35,"26-35",A867&lt;=45,"36-45",A867&lt;=55,"46-55",A867&gt;55,"55+")</f>
        <v>26-35</v>
      </c>
      <c r="C867">
        <v>0</v>
      </c>
      <c r="D867" t="s">
        <v>32</v>
      </c>
      <c r="E867">
        <v>1329</v>
      </c>
      <c r="F867" t="s">
        <v>33</v>
      </c>
      <c r="G867">
        <v>29</v>
      </c>
      <c r="H867" t="s">
        <v>58</v>
      </c>
      <c r="I867" t="s">
        <v>35</v>
      </c>
      <c r="J867" t="s">
        <v>38</v>
      </c>
      <c r="K867" t="s">
        <v>50</v>
      </c>
      <c r="L867">
        <v>61</v>
      </c>
      <c r="M867" t="s">
        <v>38</v>
      </c>
      <c r="N867" t="s">
        <v>39</v>
      </c>
      <c r="O867" t="s">
        <v>40</v>
      </c>
      <c r="P867" t="s">
        <v>44</v>
      </c>
      <c r="Q867" t="s">
        <v>62</v>
      </c>
      <c r="R867">
        <v>4115</v>
      </c>
      <c r="S867">
        <v>13192</v>
      </c>
      <c r="T867">
        <v>8</v>
      </c>
      <c r="U867" t="s">
        <v>46</v>
      </c>
      <c r="V867">
        <v>19</v>
      </c>
      <c r="W867" t="s">
        <v>43</v>
      </c>
      <c r="X867" t="s">
        <v>38</v>
      </c>
      <c r="Y867">
        <v>3</v>
      </c>
      <c r="Z867">
        <v>8</v>
      </c>
      <c r="AA867">
        <v>3</v>
      </c>
      <c r="AB867" t="s">
        <v>54</v>
      </c>
      <c r="AC867">
        <v>4</v>
      </c>
      <c r="AD867" t="str" cm="1">
        <f t="array" ref="AD867">_xlfn.IFS(AC867&lt;=5,"0-5",AC867&lt;=10,"5-10",AC867&lt;=40,"10-40")</f>
        <v>0-5</v>
      </c>
      <c r="AE867">
        <v>3</v>
      </c>
      <c r="AF867">
        <v>0</v>
      </c>
      <c r="AG867">
        <v>3</v>
      </c>
      <c r="AH867">
        <v>866</v>
      </c>
    </row>
    <row r="868" spans="1:34" x14ac:dyDescent="0.3">
      <c r="A868">
        <v>40</v>
      </c>
      <c r="B868" t="str" cm="1">
        <f t="array" ref="B868">_xlfn.IFS(A868&lt;=25,"18-25",A868&lt;=35,"26-35",A868&lt;=45,"36-45",A868&lt;=55,"46-55",A868&gt;55,"55+")</f>
        <v>36-45</v>
      </c>
      <c r="C868">
        <v>0</v>
      </c>
      <c r="D868" t="s">
        <v>47</v>
      </c>
      <c r="E868">
        <v>1184</v>
      </c>
      <c r="F868" t="s">
        <v>33</v>
      </c>
      <c r="G868">
        <v>2</v>
      </c>
      <c r="H868" t="s">
        <v>58</v>
      </c>
      <c r="I868" t="s">
        <v>59</v>
      </c>
      <c r="J868" t="s">
        <v>36</v>
      </c>
      <c r="K868" t="s">
        <v>50</v>
      </c>
      <c r="L868">
        <v>62</v>
      </c>
      <c r="M868" t="s">
        <v>38</v>
      </c>
      <c r="N868" t="s">
        <v>39</v>
      </c>
      <c r="O868" t="s">
        <v>40</v>
      </c>
      <c r="P868" t="s">
        <v>36</v>
      </c>
      <c r="Q868" t="s">
        <v>52</v>
      </c>
      <c r="R868">
        <v>4327</v>
      </c>
      <c r="S868">
        <v>25440</v>
      </c>
      <c r="T868">
        <v>5</v>
      </c>
      <c r="U868" t="s">
        <v>46</v>
      </c>
      <c r="V868">
        <v>12</v>
      </c>
      <c r="W868" t="s">
        <v>43</v>
      </c>
      <c r="X868" t="s">
        <v>41</v>
      </c>
      <c r="Y868">
        <v>3</v>
      </c>
      <c r="Z868">
        <v>5</v>
      </c>
      <c r="AA868">
        <v>2</v>
      </c>
      <c r="AB868" t="s">
        <v>54</v>
      </c>
      <c r="AC868">
        <v>0</v>
      </c>
      <c r="AD868" t="str" cm="1">
        <f t="array" ref="AD868">_xlfn.IFS(AC868&lt;=5,"0-5",AC868&lt;=10,"5-10",AC868&lt;=40,"10-40")</f>
        <v>0-5</v>
      </c>
      <c r="AE868">
        <v>0</v>
      </c>
      <c r="AF868">
        <v>0</v>
      </c>
      <c r="AG868">
        <v>0</v>
      </c>
      <c r="AH868">
        <v>867</v>
      </c>
    </row>
    <row r="869" spans="1:34" x14ac:dyDescent="0.3">
      <c r="A869">
        <v>50</v>
      </c>
      <c r="B869" t="str" cm="1">
        <f t="array" ref="B869">_xlfn.IFS(A869&lt;=25,"18-25",A869&lt;=35,"26-35",A869&lt;=45,"36-45",A869&lt;=55,"46-55",A869&gt;55,"55+")</f>
        <v>46-55</v>
      </c>
      <c r="C869">
        <v>0</v>
      </c>
      <c r="D869" t="s">
        <v>47</v>
      </c>
      <c r="E869">
        <v>1421</v>
      </c>
      <c r="F869" t="s">
        <v>48</v>
      </c>
      <c r="G869">
        <v>2</v>
      </c>
      <c r="H869" t="s">
        <v>61</v>
      </c>
      <c r="I869" t="s">
        <v>59</v>
      </c>
      <c r="J869" t="s">
        <v>41</v>
      </c>
      <c r="K869" t="s">
        <v>37</v>
      </c>
      <c r="L869">
        <v>30</v>
      </c>
      <c r="M869" t="s">
        <v>38</v>
      </c>
      <c r="N869" t="s">
        <v>67</v>
      </c>
      <c r="O869" t="s">
        <v>68</v>
      </c>
      <c r="P869" t="s">
        <v>44</v>
      </c>
      <c r="Q869" t="s">
        <v>52</v>
      </c>
      <c r="R869">
        <v>17856</v>
      </c>
      <c r="S869">
        <v>9490</v>
      </c>
      <c r="T869">
        <v>2</v>
      </c>
      <c r="U869" t="s">
        <v>46</v>
      </c>
      <c r="V869">
        <v>22</v>
      </c>
      <c r="W869" t="s">
        <v>53</v>
      </c>
      <c r="X869" t="s">
        <v>38</v>
      </c>
      <c r="Y869">
        <v>1</v>
      </c>
      <c r="Z869">
        <v>32</v>
      </c>
      <c r="AA869">
        <v>3</v>
      </c>
      <c r="AB869" t="s">
        <v>54</v>
      </c>
      <c r="AC869">
        <v>2</v>
      </c>
      <c r="AD869" t="str" cm="1">
        <f t="array" ref="AD869">_xlfn.IFS(AC869&lt;=5,"0-5",AC869&lt;=10,"5-10",AC869&lt;=40,"10-40")</f>
        <v>0-5</v>
      </c>
      <c r="AE869">
        <v>2</v>
      </c>
      <c r="AF869">
        <v>2</v>
      </c>
      <c r="AG869">
        <v>2</v>
      </c>
      <c r="AH869">
        <v>868</v>
      </c>
    </row>
    <row r="870" spans="1:34" x14ac:dyDescent="0.3">
      <c r="A870">
        <v>28</v>
      </c>
      <c r="B870" t="str" cm="1">
        <f t="array" ref="B870">_xlfn.IFS(A870&lt;=25,"18-25",A870&lt;=35,"26-35",A870&lt;=45,"36-45",A870&lt;=55,"46-55",A870&gt;55,"55+")</f>
        <v>26-35</v>
      </c>
      <c r="C870">
        <v>0</v>
      </c>
      <c r="D870" t="s">
        <v>32</v>
      </c>
      <c r="E870">
        <v>1179</v>
      </c>
      <c r="F870" t="s">
        <v>48</v>
      </c>
      <c r="G870">
        <v>19</v>
      </c>
      <c r="H870" t="s">
        <v>58</v>
      </c>
      <c r="I870" t="s">
        <v>59</v>
      </c>
      <c r="J870" t="s">
        <v>41</v>
      </c>
      <c r="K870" t="s">
        <v>50</v>
      </c>
      <c r="L870">
        <v>78</v>
      </c>
      <c r="M870" t="s">
        <v>36</v>
      </c>
      <c r="N870" t="s">
        <v>56</v>
      </c>
      <c r="O870" t="s">
        <v>57</v>
      </c>
      <c r="P870" t="s">
        <v>44</v>
      </c>
      <c r="Q870" t="s">
        <v>52</v>
      </c>
      <c r="R870">
        <v>3196</v>
      </c>
      <c r="S870">
        <v>12449</v>
      </c>
      <c r="T870">
        <v>1</v>
      </c>
      <c r="U870" t="s">
        <v>46</v>
      </c>
      <c r="V870">
        <v>12</v>
      </c>
      <c r="W870" t="s">
        <v>43</v>
      </c>
      <c r="X870" t="s">
        <v>38</v>
      </c>
      <c r="Y870">
        <v>3</v>
      </c>
      <c r="Z870">
        <v>6</v>
      </c>
      <c r="AA870">
        <v>2</v>
      </c>
      <c r="AB870" t="s">
        <v>54</v>
      </c>
      <c r="AC870">
        <v>6</v>
      </c>
      <c r="AD870" t="str" cm="1">
        <f t="array" ref="AD870">_xlfn.IFS(AC870&lt;=5,"0-5",AC870&lt;=10,"5-10",AC870&lt;=40,"10-40")</f>
        <v>5-10</v>
      </c>
      <c r="AE870">
        <v>5</v>
      </c>
      <c r="AF870">
        <v>3</v>
      </c>
      <c r="AG870">
        <v>3</v>
      </c>
      <c r="AH870">
        <v>869</v>
      </c>
    </row>
    <row r="871" spans="1:34" x14ac:dyDescent="0.3">
      <c r="A871">
        <v>46</v>
      </c>
      <c r="B871" t="str" cm="1">
        <f t="array" ref="B871">_xlfn.IFS(A871&lt;=25,"18-25",A871&lt;=35,"26-35",A871&lt;=45,"36-45",A871&lt;=55,"46-55",A871&gt;55,"55+")</f>
        <v>46-55</v>
      </c>
      <c r="C871">
        <v>0</v>
      </c>
      <c r="D871" t="s">
        <v>32</v>
      </c>
      <c r="E871">
        <v>1450</v>
      </c>
      <c r="F871" t="s">
        <v>48</v>
      </c>
      <c r="G871">
        <v>15</v>
      </c>
      <c r="H871" t="s">
        <v>34</v>
      </c>
      <c r="I871" t="s">
        <v>35</v>
      </c>
      <c r="J871" t="s">
        <v>41</v>
      </c>
      <c r="K871" t="s">
        <v>50</v>
      </c>
      <c r="L871">
        <v>52</v>
      </c>
      <c r="M871" t="s">
        <v>38</v>
      </c>
      <c r="N871" t="s">
        <v>71</v>
      </c>
      <c r="O871" t="s">
        <v>70</v>
      </c>
      <c r="P871" t="s">
        <v>36</v>
      </c>
      <c r="Q871" t="s">
        <v>52</v>
      </c>
      <c r="R871">
        <v>19081</v>
      </c>
      <c r="S871">
        <v>10849</v>
      </c>
      <c r="T871">
        <v>5</v>
      </c>
      <c r="U871" t="s">
        <v>46</v>
      </c>
      <c r="V871">
        <v>11</v>
      </c>
      <c r="W871" t="s">
        <v>43</v>
      </c>
      <c r="X871" t="s">
        <v>44</v>
      </c>
      <c r="Y871">
        <v>1</v>
      </c>
      <c r="Z871">
        <v>25</v>
      </c>
      <c r="AA871">
        <v>2</v>
      </c>
      <c r="AB871" t="s">
        <v>54</v>
      </c>
      <c r="AC871">
        <v>4</v>
      </c>
      <c r="AD871" t="str" cm="1">
        <f t="array" ref="AD871">_xlfn.IFS(AC871&lt;=5,"0-5",AC871&lt;=10,"5-10",AC871&lt;=40,"10-40")</f>
        <v>0-5</v>
      </c>
      <c r="AE871">
        <v>2</v>
      </c>
      <c r="AF871">
        <v>0</v>
      </c>
      <c r="AG871">
        <v>3</v>
      </c>
      <c r="AH871">
        <v>870</v>
      </c>
    </row>
    <row r="872" spans="1:34" x14ac:dyDescent="0.3">
      <c r="A872">
        <v>35</v>
      </c>
      <c r="B872" t="str" cm="1">
        <f t="array" ref="B872">_xlfn.IFS(A872&lt;=25,"18-25",A872&lt;=35,"26-35",A872&lt;=45,"36-45",A872&lt;=55,"46-55",A872&gt;55,"55+")</f>
        <v>26-35</v>
      </c>
      <c r="C872">
        <v>0</v>
      </c>
      <c r="D872" t="s">
        <v>32</v>
      </c>
      <c r="E872">
        <v>1361</v>
      </c>
      <c r="F872" t="s">
        <v>33</v>
      </c>
      <c r="G872">
        <v>17</v>
      </c>
      <c r="H872" t="s">
        <v>58</v>
      </c>
      <c r="I872" t="s">
        <v>35</v>
      </c>
      <c r="J872" t="s">
        <v>38</v>
      </c>
      <c r="K872" t="s">
        <v>50</v>
      </c>
      <c r="L872">
        <v>94</v>
      </c>
      <c r="M872" t="s">
        <v>38</v>
      </c>
      <c r="N872" t="s">
        <v>39</v>
      </c>
      <c r="O872" t="s">
        <v>40</v>
      </c>
      <c r="P872" t="s">
        <v>44</v>
      </c>
      <c r="Q872" t="s">
        <v>52</v>
      </c>
      <c r="R872">
        <v>8966</v>
      </c>
      <c r="S872">
        <v>21026</v>
      </c>
      <c r="T872">
        <v>3</v>
      </c>
      <c r="U872" t="s">
        <v>31</v>
      </c>
      <c r="V872">
        <v>15</v>
      </c>
      <c r="W872" t="s">
        <v>43</v>
      </c>
      <c r="X872" t="s">
        <v>41</v>
      </c>
      <c r="Y872">
        <v>3</v>
      </c>
      <c r="Z872">
        <v>15</v>
      </c>
      <c r="AA872">
        <v>2</v>
      </c>
      <c r="AB872" t="s">
        <v>54</v>
      </c>
      <c r="AC872">
        <v>7</v>
      </c>
      <c r="AD872" t="str" cm="1">
        <f t="array" ref="AD872">_xlfn.IFS(AC872&lt;=5,"0-5",AC872&lt;=10,"5-10",AC872&lt;=40,"10-40")</f>
        <v>5-10</v>
      </c>
      <c r="AE872">
        <v>7</v>
      </c>
      <c r="AF872">
        <v>1</v>
      </c>
      <c r="AG872">
        <v>7</v>
      </c>
      <c r="AH872">
        <v>871</v>
      </c>
    </row>
    <row r="873" spans="1:34" x14ac:dyDescent="0.3">
      <c r="A873">
        <v>24</v>
      </c>
      <c r="B873" t="str" cm="1">
        <f t="array" ref="B873">_xlfn.IFS(A873&lt;=25,"18-25",A873&lt;=35,"26-35",A873&lt;=45,"36-45",A873&lt;=55,"46-55",A873&gt;55,"55+")</f>
        <v>18-25</v>
      </c>
      <c r="C873">
        <v>1</v>
      </c>
      <c r="D873" t="s">
        <v>32</v>
      </c>
      <c r="E873">
        <v>984</v>
      </c>
      <c r="F873" t="s">
        <v>48</v>
      </c>
      <c r="G873">
        <v>17</v>
      </c>
      <c r="H873" t="s">
        <v>34</v>
      </c>
      <c r="I873" t="s">
        <v>35</v>
      </c>
      <c r="J873" t="s">
        <v>41</v>
      </c>
      <c r="K873" t="s">
        <v>37</v>
      </c>
      <c r="L873">
        <v>97</v>
      </c>
      <c r="M873" t="s">
        <v>38</v>
      </c>
      <c r="N873" t="s">
        <v>56</v>
      </c>
      <c r="O873" t="s">
        <v>57</v>
      </c>
      <c r="P873" t="s">
        <v>36</v>
      </c>
      <c r="Q873" t="s">
        <v>52</v>
      </c>
      <c r="R873">
        <v>2210</v>
      </c>
      <c r="S873">
        <v>3372</v>
      </c>
      <c r="T873">
        <v>1</v>
      </c>
      <c r="U873" t="s">
        <v>46</v>
      </c>
      <c r="V873">
        <v>13</v>
      </c>
      <c r="W873" t="s">
        <v>43</v>
      </c>
      <c r="X873" t="s">
        <v>44</v>
      </c>
      <c r="Y873">
        <v>1</v>
      </c>
      <c r="Z873">
        <v>1</v>
      </c>
      <c r="AA873">
        <v>3</v>
      </c>
      <c r="AB873" t="s">
        <v>45</v>
      </c>
      <c r="AC873">
        <v>1</v>
      </c>
      <c r="AD873" t="str" cm="1">
        <f t="array" ref="AD873">_xlfn.IFS(AC873&lt;=5,"0-5",AC873&lt;=10,"5-10",AC873&lt;=40,"10-40")</f>
        <v>0-5</v>
      </c>
      <c r="AE873">
        <v>0</v>
      </c>
      <c r="AF873">
        <v>0</v>
      </c>
      <c r="AG873">
        <v>0</v>
      </c>
      <c r="AH873">
        <v>872</v>
      </c>
    </row>
    <row r="874" spans="1:34" x14ac:dyDescent="0.3">
      <c r="A874">
        <v>33</v>
      </c>
      <c r="B874" t="str" cm="1">
        <f t="array" ref="B874">_xlfn.IFS(A874&lt;=25,"18-25",A874&lt;=35,"26-35",A874&lt;=45,"36-45",A874&lt;=55,"46-55",A874&gt;55,"55+")</f>
        <v>26-35</v>
      </c>
      <c r="C874">
        <v>0</v>
      </c>
      <c r="D874" t="s">
        <v>47</v>
      </c>
      <c r="E874">
        <v>1146</v>
      </c>
      <c r="F874" t="s">
        <v>33</v>
      </c>
      <c r="G874">
        <v>25</v>
      </c>
      <c r="H874" t="s">
        <v>61</v>
      </c>
      <c r="I874" t="s">
        <v>59</v>
      </c>
      <c r="J874" t="s">
        <v>36</v>
      </c>
      <c r="K874" t="s">
        <v>37</v>
      </c>
      <c r="L874">
        <v>82</v>
      </c>
      <c r="M874" t="s">
        <v>38</v>
      </c>
      <c r="N874" t="s">
        <v>39</v>
      </c>
      <c r="O874" t="s">
        <v>40</v>
      </c>
      <c r="P874" t="s">
        <v>38</v>
      </c>
      <c r="Q874" t="s">
        <v>52</v>
      </c>
      <c r="R874">
        <v>4539</v>
      </c>
      <c r="S874">
        <v>4905</v>
      </c>
      <c r="T874">
        <v>1</v>
      </c>
      <c r="U874" t="s">
        <v>46</v>
      </c>
      <c r="V874">
        <v>12</v>
      </c>
      <c r="W874" t="s">
        <v>43</v>
      </c>
      <c r="X874" t="s">
        <v>44</v>
      </c>
      <c r="Y874">
        <v>1</v>
      </c>
      <c r="Z874">
        <v>10</v>
      </c>
      <c r="AA874">
        <v>3</v>
      </c>
      <c r="AB874" t="s">
        <v>60</v>
      </c>
      <c r="AC874">
        <v>10</v>
      </c>
      <c r="AD874" t="str" cm="1">
        <f t="array" ref="AD874">_xlfn.IFS(AC874&lt;=5,"0-5",AC874&lt;=10,"5-10",AC874&lt;=40,"10-40")</f>
        <v>5-10</v>
      </c>
      <c r="AE874">
        <v>7</v>
      </c>
      <c r="AF874">
        <v>0</v>
      </c>
      <c r="AG874">
        <v>1</v>
      </c>
      <c r="AH874">
        <v>873</v>
      </c>
    </row>
    <row r="875" spans="1:34" x14ac:dyDescent="0.3">
      <c r="A875">
        <v>36</v>
      </c>
      <c r="B875" t="str" cm="1">
        <f t="array" ref="B875">_xlfn.IFS(A875&lt;=25,"18-25",A875&lt;=35,"26-35",A875&lt;=45,"36-45",A875&lt;=55,"46-55",A875&gt;55,"55+")</f>
        <v>36-45</v>
      </c>
      <c r="C875">
        <v>0</v>
      </c>
      <c r="D875" t="s">
        <v>32</v>
      </c>
      <c r="E875">
        <v>917</v>
      </c>
      <c r="F875" t="s">
        <v>48</v>
      </c>
      <c r="G875">
        <v>6</v>
      </c>
      <c r="H875" t="s">
        <v>58</v>
      </c>
      <c r="I875" t="s">
        <v>35</v>
      </c>
      <c r="J875" t="s">
        <v>38</v>
      </c>
      <c r="K875" t="s">
        <v>50</v>
      </c>
      <c r="L875">
        <v>60</v>
      </c>
      <c r="M875" t="s">
        <v>44</v>
      </c>
      <c r="N875" t="s">
        <v>56</v>
      </c>
      <c r="O875" t="s">
        <v>57</v>
      </c>
      <c r="P875" t="s">
        <v>38</v>
      </c>
      <c r="Q875" t="s">
        <v>62</v>
      </c>
      <c r="R875">
        <v>2741</v>
      </c>
      <c r="S875">
        <v>6865</v>
      </c>
      <c r="T875">
        <v>1</v>
      </c>
      <c r="U875" t="s">
        <v>46</v>
      </c>
      <c r="V875">
        <v>14</v>
      </c>
      <c r="W875" t="s">
        <v>43</v>
      </c>
      <c r="X875" t="s">
        <v>38</v>
      </c>
      <c r="Y875">
        <v>1</v>
      </c>
      <c r="Z875">
        <v>7</v>
      </c>
      <c r="AA875">
        <v>4</v>
      </c>
      <c r="AB875" t="s">
        <v>54</v>
      </c>
      <c r="AC875">
        <v>7</v>
      </c>
      <c r="AD875" t="str" cm="1">
        <f t="array" ref="AD875">_xlfn.IFS(AC875&lt;=5,"0-5",AC875&lt;=10,"5-10",AC875&lt;=40,"10-40")</f>
        <v>5-10</v>
      </c>
      <c r="AE875">
        <v>7</v>
      </c>
      <c r="AF875">
        <v>1</v>
      </c>
      <c r="AG875">
        <v>7</v>
      </c>
      <c r="AH875">
        <v>874</v>
      </c>
    </row>
    <row r="876" spans="1:34" x14ac:dyDescent="0.3">
      <c r="A876">
        <v>30</v>
      </c>
      <c r="B876" t="str" cm="1">
        <f t="array" ref="B876">_xlfn.IFS(A876&lt;=25,"18-25",A876&lt;=35,"26-35",A876&lt;=45,"36-45",A876&lt;=55,"46-55",A876&gt;55,"55+")</f>
        <v>26-35</v>
      </c>
      <c r="C876">
        <v>0</v>
      </c>
      <c r="D876" t="s">
        <v>32</v>
      </c>
      <c r="E876">
        <v>853</v>
      </c>
      <c r="F876" t="s">
        <v>48</v>
      </c>
      <c r="G876">
        <v>7</v>
      </c>
      <c r="H876" t="s">
        <v>58</v>
      </c>
      <c r="I876" t="s">
        <v>35</v>
      </c>
      <c r="J876" t="s">
        <v>38</v>
      </c>
      <c r="K876" t="s">
        <v>50</v>
      </c>
      <c r="L876">
        <v>49</v>
      </c>
      <c r="M876" t="s">
        <v>38</v>
      </c>
      <c r="N876" t="s">
        <v>39</v>
      </c>
      <c r="O876" t="s">
        <v>57</v>
      </c>
      <c r="P876" t="s">
        <v>38</v>
      </c>
      <c r="Q876" t="s">
        <v>62</v>
      </c>
      <c r="R876">
        <v>3491</v>
      </c>
      <c r="S876">
        <v>11309</v>
      </c>
      <c r="T876">
        <v>1</v>
      </c>
      <c r="U876" t="s">
        <v>46</v>
      </c>
      <c r="V876">
        <v>13</v>
      </c>
      <c r="W876" t="s">
        <v>43</v>
      </c>
      <c r="X876" t="s">
        <v>44</v>
      </c>
      <c r="Y876">
        <v>3</v>
      </c>
      <c r="Z876">
        <v>10</v>
      </c>
      <c r="AA876">
        <v>4</v>
      </c>
      <c r="AB876" t="s">
        <v>60</v>
      </c>
      <c r="AC876">
        <v>10</v>
      </c>
      <c r="AD876" t="str" cm="1">
        <f t="array" ref="AD876">_xlfn.IFS(AC876&lt;=5,"0-5",AC876&lt;=10,"5-10",AC876&lt;=40,"10-40")</f>
        <v>5-10</v>
      </c>
      <c r="AE876">
        <v>7</v>
      </c>
      <c r="AF876">
        <v>8</v>
      </c>
      <c r="AG876">
        <v>9</v>
      </c>
      <c r="AH876">
        <v>875</v>
      </c>
    </row>
    <row r="877" spans="1:34" x14ac:dyDescent="0.3">
      <c r="A877">
        <v>44</v>
      </c>
      <c r="B877" t="str" cm="1">
        <f t="array" ref="B877">_xlfn.IFS(A877&lt;=25,"18-25",A877&lt;=35,"26-35",A877&lt;=45,"36-45",A877&lt;=55,"46-55",A877&gt;55,"55+")</f>
        <v>36-45</v>
      </c>
      <c r="C877">
        <v>0</v>
      </c>
      <c r="D877" t="s">
        <v>32</v>
      </c>
      <c r="E877">
        <v>200</v>
      </c>
      <c r="F877" t="s">
        <v>48</v>
      </c>
      <c r="G877">
        <v>29</v>
      </c>
      <c r="H877" t="s">
        <v>58</v>
      </c>
      <c r="I877" t="s">
        <v>55</v>
      </c>
      <c r="J877" t="s">
        <v>41</v>
      </c>
      <c r="K877" t="s">
        <v>50</v>
      </c>
      <c r="L877">
        <v>32</v>
      </c>
      <c r="M877" t="s">
        <v>38</v>
      </c>
      <c r="N877" t="s">
        <v>39</v>
      </c>
      <c r="O877" t="s">
        <v>51</v>
      </c>
      <c r="P877" t="s">
        <v>41</v>
      </c>
      <c r="Q877" t="s">
        <v>42</v>
      </c>
      <c r="R877">
        <v>4541</v>
      </c>
      <c r="S877">
        <v>7744</v>
      </c>
      <c r="T877">
        <v>1</v>
      </c>
      <c r="U877" t="s">
        <v>46</v>
      </c>
      <c r="V877">
        <v>25</v>
      </c>
      <c r="W877" t="s">
        <v>53</v>
      </c>
      <c r="X877" t="s">
        <v>36</v>
      </c>
      <c r="Y877">
        <v>0</v>
      </c>
      <c r="Z877">
        <v>20</v>
      </c>
      <c r="AA877">
        <v>3</v>
      </c>
      <c r="AB877" t="s">
        <v>54</v>
      </c>
      <c r="AC877">
        <v>20</v>
      </c>
      <c r="AD877" t="str" cm="1">
        <f t="array" ref="AD877">_xlfn.IFS(AC877&lt;=5,"0-5",AC877&lt;=10,"5-10",AC877&lt;=40,"10-40")</f>
        <v>10-40</v>
      </c>
      <c r="AE877">
        <v>11</v>
      </c>
      <c r="AF877">
        <v>13</v>
      </c>
      <c r="AG877">
        <v>17</v>
      </c>
      <c r="AH877">
        <v>876</v>
      </c>
    </row>
    <row r="878" spans="1:34" x14ac:dyDescent="0.3">
      <c r="A878">
        <v>20</v>
      </c>
      <c r="B878" t="str" cm="1">
        <f t="array" ref="B878">_xlfn.IFS(A878&lt;=25,"18-25",A878&lt;=35,"26-35",A878&lt;=45,"36-45",A878&lt;=55,"46-55",A878&gt;55,"55+")</f>
        <v>18-25</v>
      </c>
      <c r="C878">
        <v>0</v>
      </c>
      <c r="D878" t="s">
        <v>32</v>
      </c>
      <c r="E878">
        <v>654</v>
      </c>
      <c r="F878" t="s">
        <v>33</v>
      </c>
      <c r="G878">
        <v>21</v>
      </c>
      <c r="H878" t="s">
        <v>61</v>
      </c>
      <c r="I878" t="s">
        <v>72</v>
      </c>
      <c r="J878" t="s">
        <v>38</v>
      </c>
      <c r="K878" t="s">
        <v>50</v>
      </c>
      <c r="L878">
        <v>43</v>
      </c>
      <c r="M878" t="s">
        <v>41</v>
      </c>
      <c r="N878" t="s">
        <v>56</v>
      </c>
      <c r="O878" t="s">
        <v>69</v>
      </c>
      <c r="P878" t="s">
        <v>41</v>
      </c>
      <c r="Q878" t="s">
        <v>42</v>
      </c>
      <c r="R878">
        <v>2678</v>
      </c>
      <c r="S878">
        <v>5050</v>
      </c>
      <c r="T878">
        <v>1</v>
      </c>
      <c r="U878" t="s">
        <v>46</v>
      </c>
      <c r="V878">
        <v>17</v>
      </c>
      <c r="W878" t="s">
        <v>43</v>
      </c>
      <c r="X878" t="s">
        <v>41</v>
      </c>
      <c r="Y878">
        <v>0</v>
      </c>
      <c r="Z878">
        <v>2</v>
      </c>
      <c r="AA878">
        <v>2</v>
      </c>
      <c r="AB878" t="s">
        <v>54</v>
      </c>
      <c r="AC878">
        <v>2</v>
      </c>
      <c r="AD878" t="str" cm="1">
        <f t="array" ref="AD878">_xlfn.IFS(AC878&lt;=5,"0-5",AC878&lt;=10,"5-10",AC878&lt;=40,"10-40")</f>
        <v>0-5</v>
      </c>
      <c r="AE878">
        <v>1</v>
      </c>
      <c r="AF878">
        <v>2</v>
      </c>
      <c r="AG878">
        <v>2</v>
      </c>
      <c r="AH878">
        <v>877</v>
      </c>
    </row>
    <row r="879" spans="1:34" x14ac:dyDescent="0.3">
      <c r="A879">
        <v>46</v>
      </c>
      <c r="B879" t="str" cm="1">
        <f t="array" ref="B879">_xlfn.IFS(A879&lt;=25,"18-25",A879&lt;=35,"26-35",A879&lt;=45,"36-45",A879&lt;=55,"46-55",A879&gt;55,"55+")</f>
        <v>46-55</v>
      </c>
      <c r="C879">
        <v>0</v>
      </c>
      <c r="D879" t="s">
        <v>32</v>
      </c>
      <c r="E879">
        <v>150</v>
      </c>
      <c r="F879" t="s">
        <v>48</v>
      </c>
      <c r="G879">
        <v>2</v>
      </c>
      <c r="H879" t="s">
        <v>58</v>
      </c>
      <c r="I879" t="s">
        <v>74</v>
      </c>
      <c r="J879" t="s">
        <v>41</v>
      </c>
      <c r="K879" t="s">
        <v>50</v>
      </c>
      <c r="L879">
        <v>60</v>
      </c>
      <c r="M879" t="s">
        <v>38</v>
      </c>
      <c r="N879" t="s">
        <v>39</v>
      </c>
      <c r="O879" t="s">
        <v>64</v>
      </c>
      <c r="P879" t="s">
        <v>41</v>
      </c>
      <c r="Q879" t="s">
        <v>62</v>
      </c>
      <c r="R879">
        <v>7379</v>
      </c>
      <c r="S879">
        <v>17433</v>
      </c>
      <c r="T879">
        <v>2</v>
      </c>
      <c r="U879" t="s">
        <v>46</v>
      </c>
      <c r="V879">
        <v>11</v>
      </c>
      <c r="W879" t="s">
        <v>43</v>
      </c>
      <c r="X879" t="s">
        <v>38</v>
      </c>
      <c r="Y879">
        <v>1</v>
      </c>
      <c r="Z879">
        <v>12</v>
      </c>
      <c r="AA879">
        <v>3</v>
      </c>
      <c r="AB879" t="s">
        <v>60</v>
      </c>
      <c r="AC879">
        <v>6</v>
      </c>
      <c r="AD879" t="str" cm="1">
        <f t="array" ref="AD879">_xlfn.IFS(AC879&lt;=5,"0-5",AC879&lt;=10,"5-10",AC879&lt;=40,"10-40")</f>
        <v>5-10</v>
      </c>
      <c r="AE879">
        <v>3</v>
      </c>
      <c r="AF879">
        <v>1</v>
      </c>
      <c r="AG879">
        <v>4</v>
      </c>
      <c r="AH879">
        <v>878</v>
      </c>
    </row>
    <row r="880" spans="1:34" x14ac:dyDescent="0.3">
      <c r="A880">
        <v>42</v>
      </c>
      <c r="B880" t="str" cm="1">
        <f t="array" ref="B880">_xlfn.IFS(A880&lt;=25,"18-25",A880&lt;=35,"26-35",A880&lt;=45,"36-45",A880&lt;=55,"46-55",A880&gt;55,"55+")</f>
        <v>36-45</v>
      </c>
      <c r="C880">
        <v>0</v>
      </c>
      <c r="D880" t="s">
        <v>66</v>
      </c>
      <c r="E880">
        <v>179</v>
      </c>
      <c r="F880" t="s">
        <v>76</v>
      </c>
      <c r="G880">
        <v>2</v>
      </c>
      <c r="H880" t="s">
        <v>75</v>
      </c>
      <c r="I880" t="s">
        <v>59</v>
      </c>
      <c r="J880" t="s">
        <v>41</v>
      </c>
      <c r="K880" t="s">
        <v>50</v>
      </c>
      <c r="L880">
        <v>79</v>
      </c>
      <c r="M880" t="s">
        <v>41</v>
      </c>
      <c r="N880" t="s">
        <v>39</v>
      </c>
      <c r="O880" t="s">
        <v>76</v>
      </c>
      <c r="P880" t="s">
        <v>44</v>
      </c>
      <c r="Q880" t="s">
        <v>52</v>
      </c>
      <c r="R880">
        <v>6272</v>
      </c>
      <c r="S880">
        <v>12858</v>
      </c>
      <c r="T880">
        <v>7</v>
      </c>
      <c r="U880" t="s">
        <v>46</v>
      </c>
      <c r="V880">
        <v>16</v>
      </c>
      <c r="W880" t="s">
        <v>43</v>
      </c>
      <c r="X880" t="s">
        <v>44</v>
      </c>
      <c r="Y880">
        <v>1</v>
      </c>
      <c r="Z880">
        <v>10</v>
      </c>
      <c r="AA880">
        <v>3</v>
      </c>
      <c r="AB880" t="s">
        <v>73</v>
      </c>
      <c r="AC880">
        <v>4</v>
      </c>
      <c r="AD880" t="str" cm="1">
        <f t="array" ref="AD880">_xlfn.IFS(AC880&lt;=5,"0-5",AC880&lt;=10,"5-10",AC880&lt;=40,"10-40")</f>
        <v>0-5</v>
      </c>
      <c r="AE880">
        <v>3</v>
      </c>
      <c r="AF880">
        <v>0</v>
      </c>
      <c r="AG880">
        <v>3</v>
      </c>
      <c r="AH880">
        <v>879</v>
      </c>
    </row>
    <row r="881" spans="1:34" x14ac:dyDescent="0.3">
      <c r="A881">
        <v>60</v>
      </c>
      <c r="B881" t="str" cm="1">
        <f t="array" ref="B881">_xlfn.IFS(A881&lt;=25,"18-25",A881&lt;=35,"26-35",A881&lt;=45,"36-45",A881&lt;=55,"46-55",A881&gt;55,"55+")</f>
        <v>55+</v>
      </c>
      <c r="C881">
        <v>0</v>
      </c>
      <c r="D881" t="s">
        <v>32</v>
      </c>
      <c r="E881">
        <v>696</v>
      </c>
      <c r="F881" t="s">
        <v>33</v>
      </c>
      <c r="G881">
        <v>7</v>
      </c>
      <c r="H881" t="s">
        <v>58</v>
      </c>
      <c r="I881" t="s">
        <v>72</v>
      </c>
      <c r="J881" t="s">
        <v>36</v>
      </c>
      <c r="K881" t="s">
        <v>50</v>
      </c>
      <c r="L881">
        <v>52</v>
      </c>
      <c r="M881" t="s">
        <v>41</v>
      </c>
      <c r="N881" t="s">
        <v>39</v>
      </c>
      <c r="O881" t="s">
        <v>40</v>
      </c>
      <c r="P881" t="s">
        <v>41</v>
      </c>
      <c r="Q881" t="s">
        <v>62</v>
      </c>
      <c r="R881">
        <v>5220</v>
      </c>
      <c r="S881">
        <v>10893</v>
      </c>
      <c r="T881">
        <v>0</v>
      </c>
      <c r="U881" t="s">
        <v>31</v>
      </c>
      <c r="V881">
        <v>18</v>
      </c>
      <c r="W881" t="s">
        <v>43</v>
      </c>
      <c r="X881" t="s">
        <v>36</v>
      </c>
      <c r="Y881">
        <v>1</v>
      </c>
      <c r="Z881">
        <v>12</v>
      </c>
      <c r="AA881">
        <v>3</v>
      </c>
      <c r="AB881" t="s">
        <v>54</v>
      </c>
      <c r="AC881">
        <v>11</v>
      </c>
      <c r="AD881" t="str" cm="1">
        <f t="array" ref="AD881">_xlfn.IFS(AC881&lt;=5,"0-5",AC881&lt;=10,"5-10",AC881&lt;=40,"10-40")</f>
        <v>10-40</v>
      </c>
      <c r="AE881">
        <v>7</v>
      </c>
      <c r="AF881">
        <v>1</v>
      </c>
      <c r="AG881">
        <v>9</v>
      </c>
      <c r="AH881">
        <v>880</v>
      </c>
    </row>
    <row r="882" spans="1:34" x14ac:dyDescent="0.3">
      <c r="A882">
        <v>32</v>
      </c>
      <c r="B882" t="str" cm="1">
        <f t="array" ref="B882">_xlfn.IFS(A882&lt;=25,"18-25",A882&lt;=35,"26-35",A882&lt;=45,"36-45",A882&lt;=55,"46-55",A882&gt;55,"55+")</f>
        <v>26-35</v>
      </c>
      <c r="C882">
        <v>0</v>
      </c>
      <c r="D882" t="s">
        <v>47</v>
      </c>
      <c r="E882">
        <v>116</v>
      </c>
      <c r="F882" t="s">
        <v>48</v>
      </c>
      <c r="G882">
        <v>13</v>
      </c>
      <c r="H882" t="s">
        <v>61</v>
      </c>
      <c r="I882" t="s">
        <v>55</v>
      </c>
      <c r="J882" t="s">
        <v>38</v>
      </c>
      <c r="K882" t="s">
        <v>37</v>
      </c>
      <c r="L882">
        <v>77</v>
      </c>
      <c r="M882" t="s">
        <v>36</v>
      </c>
      <c r="N882" t="s">
        <v>56</v>
      </c>
      <c r="O882" t="s">
        <v>57</v>
      </c>
      <c r="P882" t="s">
        <v>36</v>
      </c>
      <c r="Q882" t="s">
        <v>52</v>
      </c>
      <c r="R882">
        <v>2743</v>
      </c>
      <c r="S882">
        <v>7331</v>
      </c>
      <c r="T882">
        <v>1</v>
      </c>
      <c r="U882" t="s">
        <v>46</v>
      </c>
      <c r="V882">
        <v>20</v>
      </c>
      <c r="W882" t="s">
        <v>53</v>
      </c>
      <c r="X882" t="s">
        <v>38</v>
      </c>
      <c r="Y882">
        <v>1</v>
      </c>
      <c r="Z882">
        <v>2</v>
      </c>
      <c r="AA882">
        <v>2</v>
      </c>
      <c r="AB882" t="s">
        <v>54</v>
      </c>
      <c r="AC882">
        <v>2</v>
      </c>
      <c r="AD882" t="str" cm="1">
        <f t="array" ref="AD882">_xlfn.IFS(AC882&lt;=5,"0-5",AC882&lt;=10,"5-10",AC882&lt;=40,"10-40")</f>
        <v>0-5</v>
      </c>
      <c r="AE882">
        <v>2</v>
      </c>
      <c r="AF882">
        <v>2</v>
      </c>
      <c r="AG882">
        <v>2</v>
      </c>
      <c r="AH882">
        <v>881</v>
      </c>
    </row>
    <row r="883" spans="1:34" x14ac:dyDescent="0.3">
      <c r="A883">
        <v>32</v>
      </c>
      <c r="B883" t="str" cm="1">
        <f t="array" ref="B883">_xlfn.IFS(A883&lt;=25,"18-25",A883&lt;=35,"26-35",A883&lt;=45,"36-45",A883&lt;=55,"46-55",A883&gt;55,"55+")</f>
        <v>26-35</v>
      </c>
      <c r="C883">
        <v>0</v>
      </c>
      <c r="D883" t="s">
        <v>47</v>
      </c>
      <c r="E883">
        <v>1316</v>
      </c>
      <c r="F883" t="s">
        <v>48</v>
      </c>
      <c r="G883">
        <v>2</v>
      </c>
      <c r="H883" t="s">
        <v>34</v>
      </c>
      <c r="I883" t="s">
        <v>35</v>
      </c>
      <c r="J883" t="s">
        <v>41</v>
      </c>
      <c r="K883" t="s">
        <v>37</v>
      </c>
      <c r="L883">
        <v>38</v>
      </c>
      <c r="M883" t="s">
        <v>38</v>
      </c>
      <c r="N883" t="s">
        <v>39</v>
      </c>
      <c r="O883" t="s">
        <v>51</v>
      </c>
      <c r="P883" t="s">
        <v>38</v>
      </c>
      <c r="Q883" t="s">
        <v>42</v>
      </c>
      <c r="R883">
        <v>4998</v>
      </c>
      <c r="S883">
        <v>2338</v>
      </c>
      <c r="T883">
        <v>4</v>
      </c>
      <c r="U883" t="s">
        <v>31</v>
      </c>
      <c r="V883">
        <v>14</v>
      </c>
      <c r="W883" t="s">
        <v>43</v>
      </c>
      <c r="X883" t="s">
        <v>41</v>
      </c>
      <c r="Y883">
        <v>0</v>
      </c>
      <c r="Z883">
        <v>10</v>
      </c>
      <c r="AA883">
        <v>2</v>
      </c>
      <c r="AB883" t="s">
        <v>54</v>
      </c>
      <c r="AC883">
        <v>8</v>
      </c>
      <c r="AD883" t="str" cm="1">
        <f t="array" ref="AD883">_xlfn.IFS(AC883&lt;=5,"0-5",AC883&lt;=10,"5-10",AC883&lt;=40,"10-40")</f>
        <v>5-10</v>
      </c>
      <c r="AE883">
        <v>7</v>
      </c>
      <c r="AF883">
        <v>0</v>
      </c>
      <c r="AG883">
        <v>7</v>
      </c>
      <c r="AH883">
        <v>882</v>
      </c>
    </row>
    <row r="884" spans="1:34" x14ac:dyDescent="0.3">
      <c r="A884">
        <v>36</v>
      </c>
      <c r="B884" t="str" cm="1">
        <f t="array" ref="B884">_xlfn.IFS(A884&lt;=25,"18-25",A884&lt;=35,"26-35",A884&lt;=45,"36-45",A884&lt;=55,"46-55",A884&gt;55,"55+")</f>
        <v>36-45</v>
      </c>
      <c r="C884">
        <v>0</v>
      </c>
      <c r="D884" t="s">
        <v>32</v>
      </c>
      <c r="E884">
        <v>363</v>
      </c>
      <c r="F884" t="s">
        <v>48</v>
      </c>
      <c r="G884">
        <v>1</v>
      </c>
      <c r="H884" t="s">
        <v>61</v>
      </c>
      <c r="I884" t="s">
        <v>74</v>
      </c>
      <c r="J884" t="s">
        <v>38</v>
      </c>
      <c r="K884" t="s">
        <v>37</v>
      </c>
      <c r="L884">
        <v>77</v>
      </c>
      <c r="M884" t="s">
        <v>44</v>
      </c>
      <c r="N884" t="s">
        <v>63</v>
      </c>
      <c r="O884" t="s">
        <v>64</v>
      </c>
      <c r="P884" t="s">
        <v>44</v>
      </c>
      <c r="Q884" t="s">
        <v>62</v>
      </c>
      <c r="R884">
        <v>10252</v>
      </c>
      <c r="S884">
        <v>4235</v>
      </c>
      <c r="T884">
        <v>2</v>
      </c>
      <c r="U884" t="s">
        <v>31</v>
      </c>
      <c r="V884">
        <v>21</v>
      </c>
      <c r="W884" t="s">
        <v>53</v>
      </c>
      <c r="X884" t="s">
        <v>38</v>
      </c>
      <c r="Y884">
        <v>1</v>
      </c>
      <c r="Z884">
        <v>17</v>
      </c>
      <c r="AA884">
        <v>2</v>
      </c>
      <c r="AB884" t="s">
        <v>54</v>
      </c>
      <c r="AC884">
        <v>7</v>
      </c>
      <c r="AD884" t="str" cm="1">
        <f t="array" ref="AD884">_xlfn.IFS(AC884&lt;=5,"0-5",AC884&lt;=10,"5-10",AC884&lt;=40,"10-40")</f>
        <v>5-10</v>
      </c>
      <c r="AE884">
        <v>7</v>
      </c>
      <c r="AF884">
        <v>7</v>
      </c>
      <c r="AG884">
        <v>7</v>
      </c>
      <c r="AH884">
        <v>883</v>
      </c>
    </row>
    <row r="885" spans="1:34" x14ac:dyDescent="0.3">
      <c r="A885">
        <v>33</v>
      </c>
      <c r="B885" t="str" cm="1">
        <f t="array" ref="B885">_xlfn.IFS(A885&lt;=25,"18-25",A885&lt;=35,"26-35",A885&lt;=45,"36-45",A885&lt;=55,"46-55",A885&gt;55,"55+")</f>
        <v>26-35</v>
      </c>
      <c r="C885">
        <v>0</v>
      </c>
      <c r="D885" t="s">
        <v>32</v>
      </c>
      <c r="E885">
        <v>117</v>
      </c>
      <c r="F885" t="s">
        <v>48</v>
      </c>
      <c r="G885">
        <v>9</v>
      </c>
      <c r="H885" t="s">
        <v>61</v>
      </c>
      <c r="I885" t="s">
        <v>59</v>
      </c>
      <c r="J885" t="s">
        <v>44</v>
      </c>
      <c r="K885" t="s">
        <v>50</v>
      </c>
      <c r="L885">
        <v>60</v>
      </c>
      <c r="M885" t="s">
        <v>38</v>
      </c>
      <c r="N885" t="s">
        <v>56</v>
      </c>
      <c r="O885" t="s">
        <v>51</v>
      </c>
      <c r="P885" t="s">
        <v>41</v>
      </c>
      <c r="Q885" t="s">
        <v>52</v>
      </c>
      <c r="R885">
        <v>2781</v>
      </c>
      <c r="S885">
        <v>6311</v>
      </c>
      <c r="T885">
        <v>0</v>
      </c>
      <c r="U885" t="s">
        <v>46</v>
      </c>
      <c r="V885">
        <v>13</v>
      </c>
      <c r="W885" t="s">
        <v>43</v>
      </c>
      <c r="X885" t="s">
        <v>36</v>
      </c>
      <c r="Y885">
        <v>1</v>
      </c>
      <c r="Z885">
        <v>15</v>
      </c>
      <c r="AA885">
        <v>5</v>
      </c>
      <c r="AB885" t="s">
        <v>54</v>
      </c>
      <c r="AC885">
        <v>14</v>
      </c>
      <c r="AD885" t="str" cm="1">
        <f t="array" ref="AD885">_xlfn.IFS(AC885&lt;=5,"0-5",AC885&lt;=10,"5-10",AC885&lt;=40,"10-40")</f>
        <v>10-40</v>
      </c>
      <c r="AE885">
        <v>10</v>
      </c>
      <c r="AF885">
        <v>4</v>
      </c>
      <c r="AG885">
        <v>10</v>
      </c>
      <c r="AH885">
        <v>884</v>
      </c>
    </row>
    <row r="886" spans="1:34" x14ac:dyDescent="0.3">
      <c r="A886">
        <v>40</v>
      </c>
      <c r="B886" t="str" cm="1">
        <f t="array" ref="B886">_xlfn.IFS(A886&lt;=25,"18-25",A886&lt;=35,"26-35",A886&lt;=45,"36-45",A886&lt;=55,"46-55",A886&gt;55,"55+")</f>
        <v>36-45</v>
      </c>
      <c r="C886">
        <v>0</v>
      </c>
      <c r="D886" t="s">
        <v>32</v>
      </c>
      <c r="E886">
        <v>107</v>
      </c>
      <c r="F886" t="s">
        <v>33</v>
      </c>
      <c r="G886">
        <v>10</v>
      </c>
      <c r="H886" t="s">
        <v>61</v>
      </c>
      <c r="I886" t="s">
        <v>74</v>
      </c>
      <c r="J886" t="s">
        <v>36</v>
      </c>
      <c r="K886" t="s">
        <v>37</v>
      </c>
      <c r="L886">
        <v>84</v>
      </c>
      <c r="M886" t="s">
        <v>36</v>
      </c>
      <c r="N886" t="s">
        <v>39</v>
      </c>
      <c r="O886" t="s">
        <v>40</v>
      </c>
      <c r="P886" t="s">
        <v>36</v>
      </c>
      <c r="Q886" t="s">
        <v>62</v>
      </c>
      <c r="R886">
        <v>6852</v>
      </c>
      <c r="S886">
        <v>11591</v>
      </c>
      <c r="T886">
        <v>7</v>
      </c>
      <c r="U886" t="s">
        <v>46</v>
      </c>
      <c r="V886">
        <v>12</v>
      </c>
      <c r="W886" t="s">
        <v>43</v>
      </c>
      <c r="X886" t="s">
        <v>36</v>
      </c>
      <c r="Y886">
        <v>1</v>
      </c>
      <c r="Z886">
        <v>7</v>
      </c>
      <c r="AA886">
        <v>2</v>
      </c>
      <c r="AB886" t="s">
        <v>73</v>
      </c>
      <c r="AC886">
        <v>5</v>
      </c>
      <c r="AD886" t="str" cm="1">
        <f t="array" ref="AD886">_xlfn.IFS(AC886&lt;=5,"0-5",AC886&lt;=10,"5-10",AC886&lt;=40,"10-40")</f>
        <v>0-5</v>
      </c>
      <c r="AE886">
        <v>1</v>
      </c>
      <c r="AF886">
        <v>1</v>
      </c>
      <c r="AG886">
        <v>3</v>
      </c>
      <c r="AH886">
        <v>885</v>
      </c>
    </row>
    <row r="887" spans="1:34" x14ac:dyDescent="0.3">
      <c r="A887">
        <v>25</v>
      </c>
      <c r="B887" t="str" cm="1">
        <f t="array" ref="B887">_xlfn.IFS(A887&lt;=25,"18-25",A887&lt;=35,"26-35",A887&lt;=45,"36-45",A887&lt;=55,"46-55",A887&gt;55,"55+")</f>
        <v>18-25</v>
      </c>
      <c r="C887">
        <v>0</v>
      </c>
      <c r="D887" t="s">
        <v>32</v>
      </c>
      <c r="E887">
        <v>1356</v>
      </c>
      <c r="F887" t="s">
        <v>33</v>
      </c>
      <c r="G887">
        <v>10</v>
      </c>
      <c r="H887" t="s">
        <v>58</v>
      </c>
      <c r="I887" t="s">
        <v>35</v>
      </c>
      <c r="J887" t="s">
        <v>38</v>
      </c>
      <c r="K887" t="s">
        <v>50</v>
      </c>
      <c r="L887">
        <v>57</v>
      </c>
      <c r="M887" t="s">
        <v>38</v>
      </c>
      <c r="N887" t="s">
        <v>39</v>
      </c>
      <c r="O887" t="s">
        <v>40</v>
      </c>
      <c r="P887" t="s">
        <v>41</v>
      </c>
      <c r="Q887" t="s">
        <v>42</v>
      </c>
      <c r="R887">
        <v>4950</v>
      </c>
      <c r="S887">
        <v>20623</v>
      </c>
      <c r="T887">
        <v>0</v>
      </c>
      <c r="U887" t="s">
        <v>46</v>
      </c>
      <c r="V887">
        <v>14</v>
      </c>
      <c r="W887" t="s">
        <v>43</v>
      </c>
      <c r="X887" t="s">
        <v>36</v>
      </c>
      <c r="Y887">
        <v>0</v>
      </c>
      <c r="Z887">
        <v>5</v>
      </c>
      <c r="AA887">
        <v>4</v>
      </c>
      <c r="AB887" t="s">
        <v>54</v>
      </c>
      <c r="AC887">
        <v>4</v>
      </c>
      <c r="AD887" t="str" cm="1">
        <f t="array" ref="AD887">_xlfn.IFS(AC887&lt;=5,"0-5",AC887&lt;=10,"5-10",AC887&lt;=40,"10-40")</f>
        <v>0-5</v>
      </c>
      <c r="AE887">
        <v>3</v>
      </c>
      <c r="AF887">
        <v>1</v>
      </c>
      <c r="AG887">
        <v>1</v>
      </c>
      <c r="AH887">
        <v>886</v>
      </c>
    </row>
    <row r="888" spans="1:34" x14ac:dyDescent="0.3">
      <c r="A888">
        <v>30</v>
      </c>
      <c r="B888" t="str" cm="1">
        <f t="array" ref="B888">_xlfn.IFS(A888&lt;=25,"18-25",A888&lt;=35,"26-35",A888&lt;=45,"36-45",A888&lt;=55,"46-55",A888&gt;55,"55+")</f>
        <v>26-35</v>
      </c>
      <c r="C888">
        <v>0</v>
      </c>
      <c r="D888" t="s">
        <v>32</v>
      </c>
      <c r="E888">
        <v>1465</v>
      </c>
      <c r="F888" t="s">
        <v>48</v>
      </c>
      <c r="G888">
        <v>1</v>
      </c>
      <c r="H888" t="s">
        <v>61</v>
      </c>
      <c r="I888" t="s">
        <v>59</v>
      </c>
      <c r="J888" t="s">
        <v>41</v>
      </c>
      <c r="K888" t="s">
        <v>50</v>
      </c>
      <c r="L888">
        <v>63</v>
      </c>
      <c r="M888" t="s">
        <v>38</v>
      </c>
      <c r="N888" t="s">
        <v>56</v>
      </c>
      <c r="O888" t="s">
        <v>51</v>
      </c>
      <c r="P888" t="s">
        <v>36</v>
      </c>
      <c r="Q888" t="s">
        <v>52</v>
      </c>
      <c r="R888">
        <v>3579</v>
      </c>
      <c r="S888">
        <v>9369</v>
      </c>
      <c r="T888">
        <v>0</v>
      </c>
      <c r="U888" t="s">
        <v>31</v>
      </c>
      <c r="V888">
        <v>21</v>
      </c>
      <c r="W888" t="s">
        <v>53</v>
      </c>
      <c r="X888" t="s">
        <v>44</v>
      </c>
      <c r="Y888">
        <v>1</v>
      </c>
      <c r="Z888">
        <v>12</v>
      </c>
      <c r="AA888">
        <v>2</v>
      </c>
      <c r="AB888" t="s">
        <v>54</v>
      </c>
      <c r="AC888">
        <v>11</v>
      </c>
      <c r="AD888" t="str" cm="1">
        <f t="array" ref="AD888">_xlfn.IFS(AC888&lt;=5,"0-5",AC888&lt;=10,"5-10",AC888&lt;=40,"10-40")</f>
        <v>10-40</v>
      </c>
      <c r="AE888">
        <v>9</v>
      </c>
      <c r="AF888">
        <v>5</v>
      </c>
      <c r="AG888">
        <v>7</v>
      </c>
      <c r="AH888">
        <v>887</v>
      </c>
    </row>
    <row r="889" spans="1:34" x14ac:dyDescent="0.3">
      <c r="A889">
        <v>42</v>
      </c>
      <c r="B889" t="str" cm="1">
        <f t="array" ref="B889">_xlfn.IFS(A889&lt;=25,"18-25",A889&lt;=35,"26-35",A889&lt;=45,"36-45",A889&lt;=55,"46-55",A889&gt;55,"55+")</f>
        <v>36-45</v>
      </c>
      <c r="C889">
        <v>0</v>
      </c>
      <c r="D889" t="s">
        <v>47</v>
      </c>
      <c r="E889">
        <v>458</v>
      </c>
      <c r="F889" t="s">
        <v>48</v>
      </c>
      <c r="G889">
        <v>26</v>
      </c>
      <c r="H889" t="s">
        <v>75</v>
      </c>
      <c r="I889" t="s">
        <v>59</v>
      </c>
      <c r="J889" t="s">
        <v>44</v>
      </c>
      <c r="K889" t="s">
        <v>37</v>
      </c>
      <c r="L889">
        <v>60</v>
      </c>
      <c r="M889" t="s">
        <v>38</v>
      </c>
      <c r="N889" t="s">
        <v>63</v>
      </c>
      <c r="O889" t="s">
        <v>70</v>
      </c>
      <c r="P889" t="s">
        <v>44</v>
      </c>
      <c r="Q889" t="s">
        <v>52</v>
      </c>
      <c r="R889">
        <v>13191</v>
      </c>
      <c r="S889">
        <v>23281</v>
      </c>
      <c r="T889">
        <v>3</v>
      </c>
      <c r="U889" t="s">
        <v>31</v>
      </c>
      <c r="V889">
        <v>17</v>
      </c>
      <c r="W889" t="s">
        <v>43</v>
      </c>
      <c r="X889" t="s">
        <v>38</v>
      </c>
      <c r="Y889">
        <v>0</v>
      </c>
      <c r="Z889">
        <v>20</v>
      </c>
      <c r="AA889">
        <v>6</v>
      </c>
      <c r="AB889" t="s">
        <v>54</v>
      </c>
      <c r="AC889">
        <v>1</v>
      </c>
      <c r="AD889" t="str" cm="1">
        <f t="array" ref="AD889">_xlfn.IFS(AC889&lt;=5,"0-5",AC889&lt;=10,"5-10",AC889&lt;=40,"10-40")</f>
        <v>0-5</v>
      </c>
      <c r="AE889">
        <v>0</v>
      </c>
      <c r="AF889">
        <v>0</v>
      </c>
      <c r="AG889">
        <v>0</v>
      </c>
      <c r="AH889">
        <v>888</v>
      </c>
    </row>
    <row r="890" spans="1:34" x14ac:dyDescent="0.3">
      <c r="A890">
        <v>35</v>
      </c>
      <c r="B890" t="str" cm="1">
        <f t="array" ref="B890">_xlfn.IFS(A890&lt;=25,"18-25",A890&lt;=35,"26-35",A890&lt;=45,"36-45",A890&lt;=55,"46-55",A890&gt;55,"55+")</f>
        <v>26-35</v>
      </c>
      <c r="C890">
        <v>0</v>
      </c>
      <c r="D890" t="s">
        <v>66</v>
      </c>
      <c r="E890">
        <v>1212</v>
      </c>
      <c r="F890" t="s">
        <v>33</v>
      </c>
      <c r="G890">
        <v>8</v>
      </c>
      <c r="H890" t="s">
        <v>34</v>
      </c>
      <c r="I890" t="s">
        <v>72</v>
      </c>
      <c r="J890" t="s">
        <v>38</v>
      </c>
      <c r="K890" t="s">
        <v>37</v>
      </c>
      <c r="L890">
        <v>78</v>
      </c>
      <c r="M890" t="s">
        <v>36</v>
      </c>
      <c r="N890" t="s">
        <v>63</v>
      </c>
      <c r="O890" t="s">
        <v>40</v>
      </c>
      <c r="P890" t="s">
        <v>41</v>
      </c>
      <c r="Q890" t="s">
        <v>52</v>
      </c>
      <c r="R890">
        <v>10377</v>
      </c>
      <c r="S890">
        <v>13755</v>
      </c>
      <c r="T890">
        <v>4</v>
      </c>
      <c r="U890" t="s">
        <v>31</v>
      </c>
      <c r="V890">
        <v>11</v>
      </c>
      <c r="W890" t="s">
        <v>43</v>
      </c>
      <c r="X890" t="s">
        <v>36</v>
      </c>
      <c r="Y890">
        <v>1</v>
      </c>
      <c r="Z890">
        <v>16</v>
      </c>
      <c r="AA890">
        <v>6</v>
      </c>
      <c r="AB890" t="s">
        <v>60</v>
      </c>
      <c r="AC890">
        <v>13</v>
      </c>
      <c r="AD890" t="str" cm="1">
        <f t="array" ref="AD890">_xlfn.IFS(AC890&lt;=5,"0-5",AC890&lt;=10,"5-10",AC890&lt;=40,"10-40")</f>
        <v>10-40</v>
      </c>
      <c r="AE890">
        <v>2</v>
      </c>
      <c r="AF890">
        <v>4</v>
      </c>
      <c r="AG890">
        <v>12</v>
      </c>
      <c r="AH890">
        <v>889</v>
      </c>
    </row>
    <row r="891" spans="1:34" x14ac:dyDescent="0.3">
      <c r="A891">
        <v>27</v>
      </c>
      <c r="B891" t="str" cm="1">
        <f t="array" ref="B891">_xlfn.IFS(A891&lt;=25,"18-25",A891&lt;=35,"26-35",A891&lt;=45,"36-45",A891&lt;=55,"46-55",A891&gt;55,"55+")</f>
        <v>26-35</v>
      </c>
      <c r="C891">
        <v>0</v>
      </c>
      <c r="D891" t="s">
        <v>32</v>
      </c>
      <c r="E891">
        <v>1103</v>
      </c>
      <c r="F891" t="s">
        <v>48</v>
      </c>
      <c r="G891">
        <v>14</v>
      </c>
      <c r="H891" t="s">
        <v>61</v>
      </c>
      <c r="I891" t="s">
        <v>35</v>
      </c>
      <c r="J891" t="s">
        <v>44</v>
      </c>
      <c r="K891" t="s">
        <v>50</v>
      </c>
      <c r="L891">
        <v>42</v>
      </c>
      <c r="M891" t="s">
        <v>38</v>
      </c>
      <c r="N891" t="s">
        <v>56</v>
      </c>
      <c r="O891" t="s">
        <v>51</v>
      </c>
      <c r="P891" t="s">
        <v>44</v>
      </c>
      <c r="Q891" t="s">
        <v>52</v>
      </c>
      <c r="R891">
        <v>2235</v>
      </c>
      <c r="S891">
        <v>14377</v>
      </c>
      <c r="T891">
        <v>1</v>
      </c>
      <c r="U891" t="s">
        <v>31</v>
      </c>
      <c r="V891">
        <v>14</v>
      </c>
      <c r="W891" t="s">
        <v>43</v>
      </c>
      <c r="X891" t="s">
        <v>41</v>
      </c>
      <c r="Y891">
        <v>2</v>
      </c>
      <c r="Z891">
        <v>9</v>
      </c>
      <c r="AA891">
        <v>3</v>
      </c>
      <c r="AB891" t="s">
        <v>60</v>
      </c>
      <c r="AC891">
        <v>9</v>
      </c>
      <c r="AD891" t="str" cm="1">
        <f t="array" ref="AD891">_xlfn.IFS(AC891&lt;=5,"0-5",AC891&lt;=10,"5-10",AC891&lt;=40,"10-40")</f>
        <v>5-10</v>
      </c>
      <c r="AE891">
        <v>7</v>
      </c>
      <c r="AF891">
        <v>6</v>
      </c>
      <c r="AG891">
        <v>8</v>
      </c>
      <c r="AH891">
        <v>890</v>
      </c>
    </row>
    <row r="892" spans="1:34" x14ac:dyDescent="0.3">
      <c r="A892">
        <v>54</v>
      </c>
      <c r="B892" t="str" cm="1">
        <f t="array" ref="B892">_xlfn.IFS(A892&lt;=25,"18-25",A892&lt;=35,"26-35",A892&lt;=45,"36-45",A892&lt;=55,"46-55",A892&gt;55,"55+")</f>
        <v>46-55</v>
      </c>
      <c r="C892">
        <v>0</v>
      </c>
      <c r="D892" t="s">
        <v>47</v>
      </c>
      <c r="E892">
        <v>966</v>
      </c>
      <c r="F892" t="s">
        <v>48</v>
      </c>
      <c r="G892">
        <v>1</v>
      </c>
      <c r="H892" t="s">
        <v>58</v>
      </c>
      <c r="I892" t="s">
        <v>35</v>
      </c>
      <c r="J892" t="s">
        <v>41</v>
      </c>
      <c r="K892" t="s">
        <v>37</v>
      </c>
      <c r="L892">
        <v>53</v>
      </c>
      <c r="M892" t="s">
        <v>38</v>
      </c>
      <c r="N892" t="s">
        <v>63</v>
      </c>
      <c r="O892" t="s">
        <v>64</v>
      </c>
      <c r="P892" t="s">
        <v>38</v>
      </c>
      <c r="Q892" t="s">
        <v>62</v>
      </c>
      <c r="R892">
        <v>10502</v>
      </c>
      <c r="S892">
        <v>9659</v>
      </c>
      <c r="T892">
        <v>7</v>
      </c>
      <c r="U892" t="s">
        <v>46</v>
      </c>
      <c r="V892">
        <v>17</v>
      </c>
      <c r="W892" t="s">
        <v>43</v>
      </c>
      <c r="X892" t="s">
        <v>44</v>
      </c>
      <c r="Y892">
        <v>1</v>
      </c>
      <c r="Z892">
        <v>33</v>
      </c>
      <c r="AA892">
        <v>2</v>
      </c>
      <c r="AB892" t="s">
        <v>45</v>
      </c>
      <c r="AC892">
        <v>5</v>
      </c>
      <c r="AD892" t="str" cm="1">
        <f t="array" ref="AD892">_xlfn.IFS(AC892&lt;=5,"0-5",AC892&lt;=10,"5-10",AC892&lt;=40,"10-40")</f>
        <v>0-5</v>
      </c>
      <c r="AE892">
        <v>4</v>
      </c>
      <c r="AF892">
        <v>1</v>
      </c>
      <c r="AG892">
        <v>4</v>
      </c>
      <c r="AH892">
        <v>891</v>
      </c>
    </row>
    <row r="893" spans="1:34" x14ac:dyDescent="0.3">
      <c r="A893">
        <v>44</v>
      </c>
      <c r="B893" t="str" cm="1">
        <f t="array" ref="B893">_xlfn.IFS(A893&lt;=25,"18-25",A893&lt;=35,"26-35",A893&lt;=45,"36-45",A893&lt;=55,"46-55",A893&gt;55,"55+")</f>
        <v>36-45</v>
      </c>
      <c r="C893">
        <v>0</v>
      </c>
      <c r="D893" t="s">
        <v>32</v>
      </c>
      <c r="E893">
        <v>1117</v>
      </c>
      <c r="F893" t="s">
        <v>48</v>
      </c>
      <c r="G893">
        <v>2</v>
      </c>
      <c r="H893" t="s">
        <v>49</v>
      </c>
      <c r="I893" t="s">
        <v>35</v>
      </c>
      <c r="J893" t="s">
        <v>44</v>
      </c>
      <c r="K893" t="s">
        <v>37</v>
      </c>
      <c r="L893">
        <v>72</v>
      </c>
      <c r="M893" t="s">
        <v>41</v>
      </c>
      <c r="N893" t="s">
        <v>56</v>
      </c>
      <c r="O893" t="s">
        <v>51</v>
      </c>
      <c r="P893" t="s">
        <v>41</v>
      </c>
      <c r="Q893" t="s">
        <v>52</v>
      </c>
      <c r="R893">
        <v>2011</v>
      </c>
      <c r="S893">
        <v>19982</v>
      </c>
      <c r="T893">
        <v>1</v>
      </c>
      <c r="U893" t="s">
        <v>46</v>
      </c>
      <c r="V893">
        <v>13</v>
      </c>
      <c r="W893" t="s">
        <v>43</v>
      </c>
      <c r="X893" t="s">
        <v>41</v>
      </c>
      <c r="Y893">
        <v>1</v>
      </c>
      <c r="Z893">
        <v>10</v>
      </c>
      <c r="AA893">
        <v>5</v>
      </c>
      <c r="AB893" t="s">
        <v>54</v>
      </c>
      <c r="AC893">
        <v>10</v>
      </c>
      <c r="AD893" t="str" cm="1">
        <f t="array" ref="AD893">_xlfn.IFS(AC893&lt;=5,"0-5",AC893&lt;=10,"5-10",AC893&lt;=40,"10-40")</f>
        <v>5-10</v>
      </c>
      <c r="AE893">
        <v>5</v>
      </c>
      <c r="AF893">
        <v>7</v>
      </c>
      <c r="AG893">
        <v>7</v>
      </c>
      <c r="AH893">
        <v>892</v>
      </c>
    </row>
    <row r="894" spans="1:34" x14ac:dyDescent="0.3">
      <c r="A894">
        <v>19</v>
      </c>
      <c r="B894" t="str" cm="1">
        <f t="array" ref="B894">_xlfn.IFS(A894&lt;=25,"18-25",A894&lt;=35,"26-35",A894&lt;=45,"36-45",A894&lt;=55,"46-55",A894&gt;55,"55+")</f>
        <v>18-25</v>
      </c>
      <c r="C894">
        <v>1</v>
      </c>
      <c r="D894" t="s">
        <v>66</v>
      </c>
      <c r="E894">
        <v>504</v>
      </c>
      <c r="F894" t="s">
        <v>48</v>
      </c>
      <c r="G894">
        <v>10</v>
      </c>
      <c r="H894" t="s">
        <v>61</v>
      </c>
      <c r="I894" t="s">
        <v>59</v>
      </c>
      <c r="J894" t="s">
        <v>44</v>
      </c>
      <c r="K894" t="s">
        <v>37</v>
      </c>
      <c r="L894">
        <v>96</v>
      </c>
      <c r="M894" t="s">
        <v>36</v>
      </c>
      <c r="N894" t="s">
        <v>56</v>
      </c>
      <c r="O894" t="s">
        <v>51</v>
      </c>
      <c r="P894" t="s">
        <v>36</v>
      </c>
      <c r="Q894" t="s">
        <v>42</v>
      </c>
      <c r="R894">
        <v>1859</v>
      </c>
      <c r="S894">
        <v>6148</v>
      </c>
      <c r="T894">
        <v>1</v>
      </c>
      <c r="U894" t="s">
        <v>31</v>
      </c>
      <c r="V894">
        <v>25</v>
      </c>
      <c r="W894" t="s">
        <v>53</v>
      </c>
      <c r="X894" t="s">
        <v>36</v>
      </c>
      <c r="Y894">
        <v>0</v>
      </c>
      <c r="Z894">
        <v>1</v>
      </c>
      <c r="AA894">
        <v>2</v>
      </c>
      <c r="AB894" t="s">
        <v>73</v>
      </c>
      <c r="AC894">
        <v>1</v>
      </c>
      <c r="AD894" t="str" cm="1">
        <f t="array" ref="AD894">_xlfn.IFS(AC894&lt;=5,"0-5",AC894&lt;=10,"5-10",AC894&lt;=40,"10-40")</f>
        <v>0-5</v>
      </c>
      <c r="AE894">
        <v>1</v>
      </c>
      <c r="AF894">
        <v>0</v>
      </c>
      <c r="AG894">
        <v>0</v>
      </c>
      <c r="AH894">
        <v>893</v>
      </c>
    </row>
    <row r="895" spans="1:34" x14ac:dyDescent="0.3">
      <c r="A895">
        <v>29</v>
      </c>
      <c r="B895" t="str" cm="1">
        <f t="array" ref="B895">_xlfn.IFS(A895&lt;=25,"18-25",A895&lt;=35,"26-35",A895&lt;=45,"36-45",A895&lt;=55,"46-55",A895&gt;55,"55+")</f>
        <v>26-35</v>
      </c>
      <c r="C895">
        <v>0</v>
      </c>
      <c r="D895" t="s">
        <v>32</v>
      </c>
      <c r="E895">
        <v>1010</v>
      </c>
      <c r="F895" t="s">
        <v>48</v>
      </c>
      <c r="G895">
        <v>1</v>
      </c>
      <c r="H895" t="s">
        <v>61</v>
      </c>
      <c r="I895" t="s">
        <v>35</v>
      </c>
      <c r="J895" t="s">
        <v>44</v>
      </c>
      <c r="K895" t="s">
        <v>37</v>
      </c>
      <c r="L895">
        <v>97</v>
      </c>
      <c r="M895" t="s">
        <v>38</v>
      </c>
      <c r="N895" t="s">
        <v>56</v>
      </c>
      <c r="O895" t="s">
        <v>51</v>
      </c>
      <c r="P895" t="s">
        <v>41</v>
      </c>
      <c r="Q895" t="s">
        <v>62</v>
      </c>
      <c r="R895">
        <v>3760</v>
      </c>
      <c r="S895">
        <v>5598</v>
      </c>
      <c r="T895">
        <v>1</v>
      </c>
      <c r="U895" t="s">
        <v>46</v>
      </c>
      <c r="V895">
        <v>15</v>
      </c>
      <c r="W895" t="s">
        <v>43</v>
      </c>
      <c r="X895" t="s">
        <v>44</v>
      </c>
      <c r="Y895">
        <v>3</v>
      </c>
      <c r="Z895">
        <v>3</v>
      </c>
      <c r="AA895">
        <v>5</v>
      </c>
      <c r="AB895" t="s">
        <v>54</v>
      </c>
      <c r="AC895">
        <v>3</v>
      </c>
      <c r="AD895" t="str" cm="1">
        <f t="array" ref="AD895">_xlfn.IFS(AC895&lt;=5,"0-5",AC895&lt;=10,"5-10",AC895&lt;=40,"10-40")</f>
        <v>0-5</v>
      </c>
      <c r="AE895">
        <v>2</v>
      </c>
      <c r="AF895">
        <v>1</v>
      </c>
      <c r="AG895">
        <v>2</v>
      </c>
      <c r="AH895">
        <v>894</v>
      </c>
    </row>
    <row r="896" spans="1:34" x14ac:dyDescent="0.3">
      <c r="A896">
        <v>54</v>
      </c>
      <c r="B896" t="str" cm="1">
        <f t="array" ref="B896">_xlfn.IFS(A896&lt;=25,"18-25",A896&lt;=35,"26-35",A896&lt;=45,"36-45",A896&lt;=55,"46-55",A896&gt;55,"55+")</f>
        <v>46-55</v>
      </c>
      <c r="C896">
        <v>0</v>
      </c>
      <c r="D896" t="s">
        <v>32</v>
      </c>
      <c r="E896">
        <v>685</v>
      </c>
      <c r="F896" t="s">
        <v>48</v>
      </c>
      <c r="G896">
        <v>3</v>
      </c>
      <c r="H896" t="s">
        <v>61</v>
      </c>
      <c r="I896" t="s">
        <v>35</v>
      </c>
      <c r="J896" t="s">
        <v>41</v>
      </c>
      <c r="K896" t="s">
        <v>50</v>
      </c>
      <c r="L896">
        <v>85</v>
      </c>
      <c r="M896" t="s">
        <v>38</v>
      </c>
      <c r="N896" t="s">
        <v>67</v>
      </c>
      <c r="O896" t="s">
        <v>70</v>
      </c>
      <c r="P896" t="s">
        <v>41</v>
      </c>
      <c r="Q896" t="s">
        <v>52</v>
      </c>
      <c r="R896">
        <v>17779</v>
      </c>
      <c r="S896">
        <v>23474</v>
      </c>
      <c r="T896">
        <v>3</v>
      </c>
      <c r="U896" t="s">
        <v>46</v>
      </c>
      <c r="V896">
        <v>14</v>
      </c>
      <c r="W896" t="s">
        <v>43</v>
      </c>
      <c r="X896" t="s">
        <v>44</v>
      </c>
      <c r="Y896">
        <v>0</v>
      </c>
      <c r="Z896">
        <v>36</v>
      </c>
      <c r="AA896">
        <v>2</v>
      </c>
      <c r="AB896" t="s">
        <v>54</v>
      </c>
      <c r="AC896">
        <v>10</v>
      </c>
      <c r="AD896" t="str" cm="1">
        <f t="array" ref="AD896">_xlfn.IFS(AC896&lt;=5,"0-5",AC896&lt;=10,"5-10",AC896&lt;=40,"10-40")</f>
        <v>5-10</v>
      </c>
      <c r="AE896">
        <v>9</v>
      </c>
      <c r="AF896">
        <v>0</v>
      </c>
      <c r="AG896">
        <v>9</v>
      </c>
      <c r="AH896">
        <v>895</v>
      </c>
    </row>
    <row r="897" spans="1:34" x14ac:dyDescent="0.3">
      <c r="A897">
        <v>31</v>
      </c>
      <c r="B897" t="str" cm="1">
        <f t="array" ref="B897">_xlfn.IFS(A897&lt;=25,"18-25",A897&lt;=35,"26-35",A897&lt;=45,"36-45",A897&lt;=55,"46-55",A897&gt;55,"55+")</f>
        <v>26-35</v>
      </c>
      <c r="C897">
        <v>0</v>
      </c>
      <c r="D897" t="s">
        <v>32</v>
      </c>
      <c r="E897">
        <v>1332</v>
      </c>
      <c r="F897" t="s">
        <v>48</v>
      </c>
      <c r="G897">
        <v>11</v>
      </c>
      <c r="H897" t="s">
        <v>34</v>
      </c>
      <c r="I897" t="s">
        <v>59</v>
      </c>
      <c r="J897" t="s">
        <v>38</v>
      </c>
      <c r="K897" t="s">
        <v>50</v>
      </c>
      <c r="L897">
        <v>80</v>
      </c>
      <c r="M897" t="s">
        <v>38</v>
      </c>
      <c r="N897" t="s">
        <v>39</v>
      </c>
      <c r="O897" t="s">
        <v>65</v>
      </c>
      <c r="P897" t="s">
        <v>44</v>
      </c>
      <c r="Q897" t="s">
        <v>52</v>
      </c>
      <c r="R897">
        <v>6833</v>
      </c>
      <c r="S897">
        <v>17089</v>
      </c>
      <c r="T897">
        <v>1</v>
      </c>
      <c r="U897" t="s">
        <v>31</v>
      </c>
      <c r="V897">
        <v>12</v>
      </c>
      <c r="W897" t="s">
        <v>43</v>
      </c>
      <c r="X897" t="s">
        <v>41</v>
      </c>
      <c r="Y897">
        <v>0</v>
      </c>
      <c r="Z897">
        <v>6</v>
      </c>
      <c r="AA897">
        <v>2</v>
      </c>
      <c r="AB897" t="s">
        <v>60</v>
      </c>
      <c r="AC897">
        <v>6</v>
      </c>
      <c r="AD897" t="str" cm="1">
        <f t="array" ref="AD897">_xlfn.IFS(AC897&lt;=5,"0-5",AC897&lt;=10,"5-10",AC897&lt;=40,"10-40")</f>
        <v>5-10</v>
      </c>
      <c r="AE897">
        <v>5</v>
      </c>
      <c r="AF897">
        <v>0</v>
      </c>
      <c r="AG897">
        <v>1</v>
      </c>
      <c r="AH897">
        <v>896</v>
      </c>
    </row>
    <row r="898" spans="1:34" x14ac:dyDescent="0.3">
      <c r="A898">
        <v>31</v>
      </c>
      <c r="B898" t="str" cm="1">
        <f t="array" ref="B898">_xlfn.IFS(A898&lt;=25,"18-25",A898&lt;=35,"26-35",A898&lt;=45,"36-45",A898&lt;=55,"46-55",A898&gt;55,"55+")</f>
        <v>26-35</v>
      </c>
      <c r="C898">
        <v>0</v>
      </c>
      <c r="D898" t="s">
        <v>32</v>
      </c>
      <c r="E898">
        <v>1062</v>
      </c>
      <c r="F898" t="s">
        <v>48</v>
      </c>
      <c r="G898">
        <v>24</v>
      </c>
      <c r="H898" t="s">
        <v>61</v>
      </c>
      <c r="I898" t="s">
        <v>59</v>
      </c>
      <c r="J898" t="s">
        <v>38</v>
      </c>
      <c r="K898" t="s">
        <v>37</v>
      </c>
      <c r="L898">
        <v>96</v>
      </c>
      <c r="M898" t="s">
        <v>36</v>
      </c>
      <c r="N898" t="s">
        <v>39</v>
      </c>
      <c r="O898" t="s">
        <v>65</v>
      </c>
      <c r="P898" t="s">
        <v>44</v>
      </c>
      <c r="Q898" t="s">
        <v>42</v>
      </c>
      <c r="R898">
        <v>6812</v>
      </c>
      <c r="S898">
        <v>17198</v>
      </c>
      <c r="T898">
        <v>1</v>
      </c>
      <c r="U898" t="s">
        <v>46</v>
      </c>
      <c r="V898">
        <v>19</v>
      </c>
      <c r="W898" t="s">
        <v>43</v>
      </c>
      <c r="X898" t="s">
        <v>36</v>
      </c>
      <c r="Y898">
        <v>0</v>
      </c>
      <c r="Z898">
        <v>10</v>
      </c>
      <c r="AA898">
        <v>2</v>
      </c>
      <c r="AB898" t="s">
        <v>54</v>
      </c>
      <c r="AC898">
        <v>10</v>
      </c>
      <c r="AD898" t="str" cm="1">
        <f t="array" ref="AD898">_xlfn.IFS(AC898&lt;=5,"0-5",AC898&lt;=10,"5-10",AC898&lt;=40,"10-40")</f>
        <v>5-10</v>
      </c>
      <c r="AE898">
        <v>9</v>
      </c>
      <c r="AF898">
        <v>1</v>
      </c>
      <c r="AG898">
        <v>8</v>
      </c>
      <c r="AH898">
        <v>897</v>
      </c>
    </row>
    <row r="899" spans="1:34" x14ac:dyDescent="0.3">
      <c r="A899">
        <v>59</v>
      </c>
      <c r="B899" t="str" cm="1">
        <f t="array" ref="B899">_xlfn.IFS(A899&lt;=25,"18-25",A899&lt;=35,"26-35",A899&lt;=45,"36-45",A899&lt;=55,"46-55",A899&gt;55,"55+")</f>
        <v>55+</v>
      </c>
      <c r="C899">
        <v>0</v>
      </c>
      <c r="D899" t="s">
        <v>32</v>
      </c>
      <c r="E899">
        <v>326</v>
      </c>
      <c r="F899" t="s">
        <v>33</v>
      </c>
      <c r="G899">
        <v>3</v>
      </c>
      <c r="H899" t="s">
        <v>61</v>
      </c>
      <c r="I899" t="s">
        <v>35</v>
      </c>
      <c r="J899" t="s">
        <v>38</v>
      </c>
      <c r="K899" t="s">
        <v>37</v>
      </c>
      <c r="L899">
        <v>48</v>
      </c>
      <c r="M899" t="s">
        <v>36</v>
      </c>
      <c r="N899" t="s">
        <v>39</v>
      </c>
      <c r="O899" t="s">
        <v>40</v>
      </c>
      <c r="P899" t="s">
        <v>41</v>
      </c>
      <c r="Q899" t="s">
        <v>42</v>
      </c>
      <c r="R899">
        <v>5171</v>
      </c>
      <c r="S899">
        <v>16490</v>
      </c>
      <c r="T899">
        <v>5</v>
      </c>
      <c r="U899" t="s">
        <v>46</v>
      </c>
      <c r="V899">
        <v>17</v>
      </c>
      <c r="W899" t="s">
        <v>43</v>
      </c>
      <c r="X899" t="s">
        <v>41</v>
      </c>
      <c r="Y899">
        <v>0</v>
      </c>
      <c r="Z899">
        <v>13</v>
      </c>
      <c r="AA899">
        <v>2</v>
      </c>
      <c r="AB899" t="s">
        <v>54</v>
      </c>
      <c r="AC899">
        <v>6</v>
      </c>
      <c r="AD899" t="str" cm="1">
        <f t="array" ref="AD899">_xlfn.IFS(AC899&lt;=5,"0-5",AC899&lt;=10,"5-10",AC899&lt;=40,"10-40")</f>
        <v>5-10</v>
      </c>
      <c r="AE899">
        <v>1</v>
      </c>
      <c r="AF899">
        <v>0</v>
      </c>
      <c r="AG899">
        <v>5</v>
      </c>
      <c r="AH899">
        <v>898</v>
      </c>
    </row>
    <row r="900" spans="1:34" x14ac:dyDescent="0.3">
      <c r="A900">
        <v>43</v>
      </c>
      <c r="B900" t="str" cm="1">
        <f t="array" ref="B900">_xlfn.IFS(A900&lt;=25,"18-25",A900&lt;=35,"26-35",A900&lt;=45,"36-45",A900&lt;=55,"46-55",A900&gt;55,"55+")</f>
        <v>36-45</v>
      </c>
      <c r="C900">
        <v>0</v>
      </c>
      <c r="D900" t="s">
        <v>32</v>
      </c>
      <c r="E900">
        <v>920</v>
      </c>
      <c r="F900" t="s">
        <v>48</v>
      </c>
      <c r="G900">
        <v>3</v>
      </c>
      <c r="H900" t="s">
        <v>61</v>
      </c>
      <c r="I900" t="s">
        <v>35</v>
      </c>
      <c r="J900" t="s">
        <v>38</v>
      </c>
      <c r="K900" t="s">
        <v>50</v>
      </c>
      <c r="L900">
        <v>96</v>
      </c>
      <c r="M900" t="s">
        <v>44</v>
      </c>
      <c r="N900" t="s">
        <v>71</v>
      </c>
      <c r="O900" t="s">
        <v>70</v>
      </c>
      <c r="P900" t="s">
        <v>41</v>
      </c>
      <c r="Q900" t="s">
        <v>52</v>
      </c>
      <c r="R900">
        <v>19740</v>
      </c>
      <c r="S900">
        <v>18625</v>
      </c>
      <c r="T900">
        <v>3</v>
      </c>
      <c r="U900" t="s">
        <v>46</v>
      </c>
      <c r="V900">
        <v>14</v>
      </c>
      <c r="W900" t="s">
        <v>43</v>
      </c>
      <c r="X900" t="s">
        <v>36</v>
      </c>
      <c r="Y900">
        <v>1</v>
      </c>
      <c r="Z900">
        <v>25</v>
      </c>
      <c r="AA900">
        <v>2</v>
      </c>
      <c r="AB900" t="s">
        <v>54</v>
      </c>
      <c r="AC900">
        <v>8</v>
      </c>
      <c r="AD900" t="str" cm="1">
        <f t="array" ref="AD900">_xlfn.IFS(AC900&lt;=5,"0-5",AC900&lt;=10,"5-10",AC900&lt;=40,"10-40")</f>
        <v>5-10</v>
      </c>
      <c r="AE900">
        <v>7</v>
      </c>
      <c r="AF900">
        <v>0</v>
      </c>
      <c r="AG900">
        <v>7</v>
      </c>
      <c r="AH900">
        <v>899</v>
      </c>
    </row>
    <row r="901" spans="1:34" x14ac:dyDescent="0.3">
      <c r="A901">
        <v>49</v>
      </c>
      <c r="B901" t="str" cm="1">
        <f t="array" ref="B901">_xlfn.IFS(A901&lt;=25,"18-25",A901&lt;=35,"26-35",A901&lt;=45,"36-45",A901&lt;=55,"46-55",A901&gt;55,"55+")</f>
        <v>46-55</v>
      </c>
      <c r="C901">
        <v>0</v>
      </c>
      <c r="D901" t="s">
        <v>32</v>
      </c>
      <c r="E901">
        <v>1098</v>
      </c>
      <c r="F901" t="s">
        <v>48</v>
      </c>
      <c r="G901">
        <v>4</v>
      </c>
      <c r="H901" t="s">
        <v>34</v>
      </c>
      <c r="I901" t="s">
        <v>59</v>
      </c>
      <c r="J901" t="s">
        <v>44</v>
      </c>
      <c r="K901" t="s">
        <v>50</v>
      </c>
      <c r="L901">
        <v>85</v>
      </c>
      <c r="M901" t="s">
        <v>36</v>
      </c>
      <c r="N901" t="s">
        <v>71</v>
      </c>
      <c r="O901" t="s">
        <v>68</v>
      </c>
      <c r="P901" t="s">
        <v>38</v>
      </c>
      <c r="Q901" t="s">
        <v>52</v>
      </c>
      <c r="R901">
        <v>18711</v>
      </c>
      <c r="S901">
        <v>12124</v>
      </c>
      <c r="T901">
        <v>2</v>
      </c>
      <c r="U901" t="s">
        <v>46</v>
      </c>
      <c r="V901">
        <v>13</v>
      </c>
      <c r="W901" t="s">
        <v>43</v>
      </c>
      <c r="X901" t="s">
        <v>38</v>
      </c>
      <c r="Y901">
        <v>1</v>
      </c>
      <c r="Z901">
        <v>23</v>
      </c>
      <c r="AA901">
        <v>2</v>
      </c>
      <c r="AB901" t="s">
        <v>73</v>
      </c>
      <c r="AC901">
        <v>1</v>
      </c>
      <c r="AD901" t="str" cm="1">
        <f t="array" ref="AD901">_xlfn.IFS(AC901&lt;=5,"0-5",AC901&lt;=10,"5-10",AC901&lt;=40,"10-40")</f>
        <v>0-5</v>
      </c>
      <c r="AE901">
        <v>0</v>
      </c>
      <c r="AF901">
        <v>0</v>
      </c>
      <c r="AG901">
        <v>0</v>
      </c>
      <c r="AH901">
        <v>900</v>
      </c>
    </row>
    <row r="902" spans="1:34" x14ac:dyDescent="0.3">
      <c r="A902">
        <v>36</v>
      </c>
      <c r="B902" t="str" cm="1">
        <f t="array" ref="B902">_xlfn.IFS(A902&lt;=25,"18-25",A902&lt;=35,"26-35",A902&lt;=45,"36-45",A902&lt;=55,"46-55",A902&gt;55,"55+")</f>
        <v>36-45</v>
      </c>
      <c r="C902">
        <v>0</v>
      </c>
      <c r="D902" t="s">
        <v>47</v>
      </c>
      <c r="E902">
        <v>469</v>
      </c>
      <c r="F902" t="s">
        <v>48</v>
      </c>
      <c r="G902">
        <v>3</v>
      </c>
      <c r="H902" t="s">
        <v>61</v>
      </c>
      <c r="I902" t="s">
        <v>74</v>
      </c>
      <c r="J902" t="s">
        <v>38</v>
      </c>
      <c r="K902" t="s">
        <v>50</v>
      </c>
      <c r="L902">
        <v>46</v>
      </c>
      <c r="M902" t="s">
        <v>38</v>
      </c>
      <c r="N902" t="s">
        <v>56</v>
      </c>
      <c r="O902" t="s">
        <v>51</v>
      </c>
      <c r="P902" t="s">
        <v>36</v>
      </c>
      <c r="Q902" t="s">
        <v>52</v>
      </c>
      <c r="R902">
        <v>3692</v>
      </c>
      <c r="S902">
        <v>9256</v>
      </c>
      <c r="T902">
        <v>1</v>
      </c>
      <c r="U902" t="s">
        <v>46</v>
      </c>
      <c r="V902">
        <v>12</v>
      </c>
      <c r="W902" t="s">
        <v>43</v>
      </c>
      <c r="X902" t="s">
        <v>38</v>
      </c>
      <c r="Y902">
        <v>0</v>
      </c>
      <c r="Z902">
        <v>12</v>
      </c>
      <c r="AA902">
        <v>2</v>
      </c>
      <c r="AB902" t="s">
        <v>60</v>
      </c>
      <c r="AC902">
        <v>11</v>
      </c>
      <c r="AD902" t="str" cm="1">
        <f t="array" ref="AD902">_xlfn.IFS(AC902&lt;=5,"0-5",AC902&lt;=10,"5-10",AC902&lt;=40,"10-40")</f>
        <v>10-40</v>
      </c>
      <c r="AE902">
        <v>10</v>
      </c>
      <c r="AF902">
        <v>0</v>
      </c>
      <c r="AG902">
        <v>7</v>
      </c>
      <c r="AH902">
        <v>901</v>
      </c>
    </row>
    <row r="903" spans="1:34" x14ac:dyDescent="0.3">
      <c r="A903">
        <v>48</v>
      </c>
      <c r="B903" t="str" cm="1">
        <f t="array" ref="B903">_xlfn.IFS(A903&lt;=25,"18-25",A903&lt;=35,"26-35",A903&lt;=45,"36-45",A903&lt;=55,"46-55",A903&gt;55,"55+")</f>
        <v>46-55</v>
      </c>
      <c r="C903">
        <v>0</v>
      </c>
      <c r="D903" t="s">
        <v>32</v>
      </c>
      <c r="E903">
        <v>969</v>
      </c>
      <c r="F903" t="s">
        <v>48</v>
      </c>
      <c r="G903">
        <v>2</v>
      </c>
      <c r="H903" t="s">
        <v>34</v>
      </c>
      <c r="I903" t="s">
        <v>74</v>
      </c>
      <c r="J903" t="s">
        <v>41</v>
      </c>
      <c r="K903" t="s">
        <v>50</v>
      </c>
      <c r="L903">
        <v>76</v>
      </c>
      <c r="M903" t="s">
        <v>41</v>
      </c>
      <c r="N903" t="s">
        <v>56</v>
      </c>
      <c r="O903" t="s">
        <v>57</v>
      </c>
      <c r="P903" t="s">
        <v>36</v>
      </c>
      <c r="Q903" t="s">
        <v>42</v>
      </c>
      <c r="R903">
        <v>2559</v>
      </c>
      <c r="S903">
        <v>16620</v>
      </c>
      <c r="T903">
        <v>5</v>
      </c>
      <c r="U903" t="s">
        <v>46</v>
      </c>
      <c r="V903">
        <v>11</v>
      </c>
      <c r="W903" t="s">
        <v>43</v>
      </c>
      <c r="X903" t="s">
        <v>38</v>
      </c>
      <c r="Y903">
        <v>0</v>
      </c>
      <c r="Z903">
        <v>7</v>
      </c>
      <c r="AA903">
        <v>4</v>
      </c>
      <c r="AB903" t="s">
        <v>60</v>
      </c>
      <c r="AC903">
        <v>1</v>
      </c>
      <c r="AD903" t="str" cm="1">
        <f t="array" ref="AD903">_xlfn.IFS(AC903&lt;=5,"0-5",AC903&lt;=10,"5-10",AC903&lt;=40,"10-40")</f>
        <v>0-5</v>
      </c>
      <c r="AE903">
        <v>0</v>
      </c>
      <c r="AF903">
        <v>0</v>
      </c>
      <c r="AG903">
        <v>0</v>
      </c>
      <c r="AH903">
        <v>902</v>
      </c>
    </row>
    <row r="904" spans="1:34" x14ac:dyDescent="0.3">
      <c r="A904">
        <v>27</v>
      </c>
      <c r="B904" t="str" cm="1">
        <f t="array" ref="B904">_xlfn.IFS(A904&lt;=25,"18-25",A904&lt;=35,"26-35",A904&lt;=45,"36-45",A904&lt;=55,"46-55",A904&gt;55,"55+")</f>
        <v>26-35</v>
      </c>
      <c r="C904">
        <v>0</v>
      </c>
      <c r="D904" t="s">
        <v>32</v>
      </c>
      <c r="E904">
        <v>1167</v>
      </c>
      <c r="F904" t="s">
        <v>48</v>
      </c>
      <c r="G904">
        <v>4</v>
      </c>
      <c r="H904" t="s">
        <v>34</v>
      </c>
      <c r="I904" t="s">
        <v>35</v>
      </c>
      <c r="J904" t="s">
        <v>44</v>
      </c>
      <c r="K904" t="s">
        <v>50</v>
      </c>
      <c r="L904">
        <v>76</v>
      </c>
      <c r="M904" t="s">
        <v>38</v>
      </c>
      <c r="N904" t="s">
        <v>56</v>
      </c>
      <c r="O904" t="s">
        <v>51</v>
      </c>
      <c r="P904" t="s">
        <v>38</v>
      </c>
      <c r="Q904" t="s">
        <v>62</v>
      </c>
      <c r="R904">
        <v>2517</v>
      </c>
      <c r="S904">
        <v>3208</v>
      </c>
      <c r="T904">
        <v>1</v>
      </c>
      <c r="U904" t="s">
        <v>46</v>
      </c>
      <c r="V904">
        <v>11</v>
      </c>
      <c r="W904" t="s">
        <v>43</v>
      </c>
      <c r="X904" t="s">
        <v>36</v>
      </c>
      <c r="Y904">
        <v>3</v>
      </c>
      <c r="Z904">
        <v>5</v>
      </c>
      <c r="AA904">
        <v>2</v>
      </c>
      <c r="AB904" t="s">
        <v>54</v>
      </c>
      <c r="AC904">
        <v>5</v>
      </c>
      <c r="AD904" t="str" cm="1">
        <f t="array" ref="AD904">_xlfn.IFS(AC904&lt;=5,"0-5",AC904&lt;=10,"5-10",AC904&lt;=40,"10-40")</f>
        <v>0-5</v>
      </c>
      <c r="AE904">
        <v>3</v>
      </c>
      <c r="AF904">
        <v>0</v>
      </c>
      <c r="AG904">
        <v>3</v>
      </c>
      <c r="AH904">
        <v>903</v>
      </c>
    </row>
    <row r="905" spans="1:34" x14ac:dyDescent="0.3">
      <c r="A905">
        <v>29</v>
      </c>
      <c r="B905" t="str" cm="1">
        <f t="array" ref="B905">_xlfn.IFS(A905&lt;=25,"18-25",A905&lt;=35,"26-35",A905&lt;=45,"36-45",A905&lt;=55,"46-55",A905&gt;55,"55+")</f>
        <v>26-35</v>
      </c>
      <c r="C905">
        <v>0</v>
      </c>
      <c r="D905" t="s">
        <v>32</v>
      </c>
      <c r="E905">
        <v>1329</v>
      </c>
      <c r="F905" t="s">
        <v>48</v>
      </c>
      <c r="G905">
        <v>7</v>
      </c>
      <c r="H905" t="s">
        <v>61</v>
      </c>
      <c r="I905" t="s">
        <v>35</v>
      </c>
      <c r="J905" t="s">
        <v>38</v>
      </c>
      <c r="K905" t="s">
        <v>50</v>
      </c>
      <c r="L905">
        <v>82</v>
      </c>
      <c r="M905" t="s">
        <v>38</v>
      </c>
      <c r="N905" t="s">
        <v>39</v>
      </c>
      <c r="O905" t="s">
        <v>65</v>
      </c>
      <c r="P905" t="s">
        <v>41</v>
      </c>
      <c r="Q905" t="s">
        <v>62</v>
      </c>
      <c r="R905">
        <v>6623</v>
      </c>
      <c r="S905">
        <v>4204</v>
      </c>
      <c r="T905">
        <v>1</v>
      </c>
      <c r="U905" t="s">
        <v>31</v>
      </c>
      <c r="V905">
        <v>11</v>
      </c>
      <c r="W905" t="s">
        <v>43</v>
      </c>
      <c r="X905" t="s">
        <v>36</v>
      </c>
      <c r="Y905">
        <v>2</v>
      </c>
      <c r="Z905">
        <v>6</v>
      </c>
      <c r="AA905">
        <v>2</v>
      </c>
      <c r="AB905" t="s">
        <v>54</v>
      </c>
      <c r="AC905">
        <v>6</v>
      </c>
      <c r="AD905" t="str" cm="1">
        <f t="array" ref="AD905">_xlfn.IFS(AC905&lt;=5,"0-5",AC905&lt;=10,"5-10",AC905&lt;=40,"10-40")</f>
        <v>5-10</v>
      </c>
      <c r="AE905">
        <v>0</v>
      </c>
      <c r="AF905">
        <v>1</v>
      </c>
      <c r="AG905">
        <v>0</v>
      </c>
      <c r="AH905">
        <v>904</v>
      </c>
    </row>
    <row r="906" spans="1:34" x14ac:dyDescent="0.3">
      <c r="A906">
        <v>48</v>
      </c>
      <c r="B906" t="str" cm="1">
        <f t="array" ref="B906">_xlfn.IFS(A906&lt;=25,"18-25",A906&lt;=35,"26-35",A906&lt;=45,"36-45",A906&lt;=55,"46-55",A906&gt;55,"55+")</f>
        <v>46-55</v>
      </c>
      <c r="C906">
        <v>0</v>
      </c>
      <c r="D906" t="s">
        <v>32</v>
      </c>
      <c r="E906">
        <v>715</v>
      </c>
      <c r="F906" t="s">
        <v>48</v>
      </c>
      <c r="G906">
        <v>1</v>
      </c>
      <c r="H906" t="s">
        <v>61</v>
      </c>
      <c r="I906" t="s">
        <v>35</v>
      </c>
      <c r="J906" t="s">
        <v>41</v>
      </c>
      <c r="K906" t="s">
        <v>50</v>
      </c>
      <c r="L906">
        <v>76</v>
      </c>
      <c r="M906" t="s">
        <v>36</v>
      </c>
      <c r="N906" t="s">
        <v>71</v>
      </c>
      <c r="O906" t="s">
        <v>70</v>
      </c>
      <c r="P906" t="s">
        <v>41</v>
      </c>
      <c r="Q906" t="s">
        <v>42</v>
      </c>
      <c r="R906">
        <v>18265</v>
      </c>
      <c r="S906">
        <v>8733</v>
      </c>
      <c r="T906">
        <v>6</v>
      </c>
      <c r="U906" t="s">
        <v>46</v>
      </c>
      <c r="V906">
        <v>12</v>
      </c>
      <c r="W906" t="s">
        <v>43</v>
      </c>
      <c r="X906" t="s">
        <v>38</v>
      </c>
      <c r="Y906">
        <v>0</v>
      </c>
      <c r="Z906">
        <v>25</v>
      </c>
      <c r="AA906">
        <v>3</v>
      </c>
      <c r="AB906" t="s">
        <v>73</v>
      </c>
      <c r="AC906">
        <v>1</v>
      </c>
      <c r="AD906" t="str" cm="1">
        <f t="array" ref="AD906">_xlfn.IFS(AC906&lt;=5,"0-5",AC906&lt;=10,"5-10",AC906&lt;=40,"10-40")</f>
        <v>0-5</v>
      </c>
      <c r="AE906">
        <v>0</v>
      </c>
      <c r="AF906">
        <v>0</v>
      </c>
      <c r="AG906">
        <v>0</v>
      </c>
      <c r="AH906">
        <v>905</v>
      </c>
    </row>
    <row r="907" spans="1:34" x14ac:dyDescent="0.3">
      <c r="A907">
        <v>29</v>
      </c>
      <c r="B907" t="str" cm="1">
        <f t="array" ref="B907">_xlfn.IFS(A907&lt;=25,"18-25",A907&lt;=35,"26-35",A907&lt;=45,"36-45",A907&lt;=55,"46-55",A907&gt;55,"55+")</f>
        <v>26-35</v>
      </c>
      <c r="C907">
        <v>0</v>
      </c>
      <c r="D907" t="s">
        <v>32</v>
      </c>
      <c r="E907">
        <v>694</v>
      </c>
      <c r="F907" t="s">
        <v>48</v>
      </c>
      <c r="G907">
        <v>1</v>
      </c>
      <c r="H907" t="s">
        <v>61</v>
      </c>
      <c r="I907" t="s">
        <v>35</v>
      </c>
      <c r="J907" t="s">
        <v>41</v>
      </c>
      <c r="K907" t="s">
        <v>37</v>
      </c>
      <c r="L907">
        <v>87</v>
      </c>
      <c r="M907" t="s">
        <v>36</v>
      </c>
      <c r="N907" t="s">
        <v>67</v>
      </c>
      <c r="O907" t="s">
        <v>70</v>
      </c>
      <c r="P907" t="s">
        <v>41</v>
      </c>
      <c r="Q907" t="s">
        <v>62</v>
      </c>
      <c r="R907">
        <v>16124</v>
      </c>
      <c r="S907">
        <v>3423</v>
      </c>
      <c r="T907">
        <v>3</v>
      </c>
      <c r="U907" t="s">
        <v>46</v>
      </c>
      <c r="V907">
        <v>14</v>
      </c>
      <c r="W907" t="s">
        <v>43</v>
      </c>
      <c r="X907" t="s">
        <v>36</v>
      </c>
      <c r="Y907">
        <v>2</v>
      </c>
      <c r="Z907">
        <v>9</v>
      </c>
      <c r="AA907">
        <v>2</v>
      </c>
      <c r="AB907" t="s">
        <v>60</v>
      </c>
      <c r="AC907">
        <v>7</v>
      </c>
      <c r="AD907" t="str" cm="1">
        <f t="array" ref="AD907">_xlfn.IFS(AC907&lt;=5,"0-5",AC907&lt;=10,"5-10",AC907&lt;=40,"10-40")</f>
        <v>5-10</v>
      </c>
      <c r="AE907">
        <v>7</v>
      </c>
      <c r="AF907">
        <v>1</v>
      </c>
      <c r="AG907">
        <v>7</v>
      </c>
      <c r="AH907">
        <v>906</v>
      </c>
    </row>
    <row r="908" spans="1:34" x14ac:dyDescent="0.3">
      <c r="A908">
        <v>34</v>
      </c>
      <c r="B908" t="str" cm="1">
        <f t="array" ref="B908">_xlfn.IFS(A908&lt;=25,"18-25",A908&lt;=35,"26-35",A908&lt;=45,"36-45",A908&lt;=55,"46-55",A908&gt;55,"55+")</f>
        <v>26-35</v>
      </c>
      <c r="C908">
        <v>0</v>
      </c>
      <c r="D908" t="s">
        <v>32</v>
      </c>
      <c r="E908">
        <v>1320</v>
      </c>
      <c r="F908" t="s">
        <v>48</v>
      </c>
      <c r="G908">
        <v>20</v>
      </c>
      <c r="H908" t="s">
        <v>61</v>
      </c>
      <c r="I908" t="s">
        <v>74</v>
      </c>
      <c r="J908" t="s">
        <v>38</v>
      </c>
      <c r="K908" t="s">
        <v>37</v>
      </c>
      <c r="L908">
        <v>89</v>
      </c>
      <c r="M908" t="s">
        <v>41</v>
      </c>
      <c r="N908" t="s">
        <v>56</v>
      </c>
      <c r="O908" t="s">
        <v>51</v>
      </c>
      <c r="P908" t="s">
        <v>38</v>
      </c>
      <c r="Q908" t="s">
        <v>52</v>
      </c>
      <c r="R908">
        <v>2585</v>
      </c>
      <c r="S908">
        <v>21643</v>
      </c>
      <c r="T908">
        <v>0</v>
      </c>
      <c r="U908" t="s">
        <v>46</v>
      </c>
      <c r="V908">
        <v>17</v>
      </c>
      <c r="W908" t="s">
        <v>43</v>
      </c>
      <c r="X908" t="s">
        <v>41</v>
      </c>
      <c r="Y908">
        <v>0</v>
      </c>
      <c r="Z908">
        <v>2</v>
      </c>
      <c r="AA908">
        <v>5</v>
      </c>
      <c r="AB908" t="s">
        <v>60</v>
      </c>
      <c r="AC908">
        <v>1</v>
      </c>
      <c r="AD908" t="str" cm="1">
        <f t="array" ref="AD908">_xlfn.IFS(AC908&lt;=5,"0-5",AC908&lt;=10,"5-10",AC908&lt;=40,"10-40")</f>
        <v>0-5</v>
      </c>
      <c r="AE908">
        <v>0</v>
      </c>
      <c r="AF908">
        <v>0</v>
      </c>
      <c r="AG908">
        <v>0</v>
      </c>
      <c r="AH908">
        <v>907</v>
      </c>
    </row>
    <row r="909" spans="1:34" x14ac:dyDescent="0.3">
      <c r="A909">
        <v>44</v>
      </c>
      <c r="B909" t="str" cm="1">
        <f t="array" ref="B909">_xlfn.IFS(A909&lt;=25,"18-25",A909&lt;=35,"26-35",A909&lt;=45,"36-45",A909&lt;=55,"46-55",A909&gt;55,"55+")</f>
        <v>36-45</v>
      </c>
      <c r="C909">
        <v>0</v>
      </c>
      <c r="D909" t="s">
        <v>32</v>
      </c>
      <c r="E909">
        <v>1099</v>
      </c>
      <c r="F909" t="s">
        <v>33</v>
      </c>
      <c r="G909">
        <v>5</v>
      </c>
      <c r="H909" t="s">
        <v>61</v>
      </c>
      <c r="I909" t="s">
        <v>72</v>
      </c>
      <c r="J909" t="s">
        <v>36</v>
      </c>
      <c r="K909" t="s">
        <v>50</v>
      </c>
      <c r="L909">
        <v>88</v>
      </c>
      <c r="M909" t="s">
        <v>38</v>
      </c>
      <c r="N909" t="s">
        <v>71</v>
      </c>
      <c r="O909" t="s">
        <v>68</v>
      </c>
      <c r="P909" t="s">
        <v>36</v>
      </c>
      <c r="Q909" t="s">
        <v>52</v>
      </c>
      <c r="R909">
        <v>18213</v>
      </c>
      <c r="S909">
        <v>8751</v>
      </c>
      <c r="T909">
        <v>7</v>
      </c>
      <c r="U909" t="s">
        <v>46</v>
      </c>
      <c r="V909">
        <v>11</v>
      </c>
      <c r="W909" t="s">
        <v>43</v>
      </c>
      <c r="X909" t="s">
        <v>38</v>
      </c>
      <c r="Y909">
        <v>1</v>
      </c>
      <c r="Z909">
        <v>26</v>
      </c>
      <c r="AA909">
        <v>5</v>
      </c>
      <c r="AB909" t="s">
        <v>54</v>
      </c>
      <c r="AC909">
        <v>22</v>
      </c>
      <c r="AD909" t="str" cm="1">
        <f t="array" ref="AD909">_xlfn.IFS(AC909&lt;=5,"0-5",AC909&lt;=10,"5-10",AC909&lt;=40,"10-40")</f>
        <v>10-40</v>
      </c>
      <c r="AE909">
        <v>9</v>
      </c>
      <c r="AF909">
        <v>3</v>
      </c>
      <c r="AG909">
        <v>10</v>
      </c>
      <c r="AH909">
        <v>908</v>
      </c>
    </row>
    <row r="910" spans="1:34" x14ac:dyDescent="0.3">
      <c r="A910">
        <v>33</v>
      </c>
      <c r="B910" t="str" cm="1">
        <f t="array" ref="B910">_xlfn.IFS(A910&lt;=25,"18-25",A910&lt;=35,"26-35",A910&lt;=45,"36-45",A910&lt;=55,"46-55",A910&gt;55,"55+")</f>
        <v>26-35</v>
      </c>
      <c r="C910">
        <v>0</v>
      </c>
      <c r="D910" t="s">
        <v>32</v>
      </c>
      <c r="E910">
        <v>536</v>
      </c>
      <c r="F910" t="s">
        <v>33</v>
      </c>
      <c r="G910">
        <v>10</v>
      </c>
      <c r="H910" t="s">
        <v>75</v>
      </c>
      <c r="I910" t="s">
        <v>72</v>
      </c>
      <c r="J910" t="s">
        <v>41</v>
      </c>
      <c r="K910" t="s">
        <v>50</v>
      </c>
      <c r="L910">
        <v>82</v>
      </c>
      <c r="M910" t="s">
        <v>41</v>
      </c>
      <c r="N910" t="s">
        <v>63</v>
      </c>
      <c r="O910" t="s">
        <v>40</v>
      </c>
      <c r="P910" t="s">
        <v>38</v>
      </c>
      <c r="Q910" t="s">
        <v>62</v>
      </c>
      <c r="R910">
        <v>8380</v>
      </c>
      <c r="S910">
        <v>21708</v>
      </c>
      <c r="T910">
        <v>0</v>
      </c>
      <c r="U910" t="s">
        <v>31</v>
      </c>
      <c r="V910">
        <v>14</v>
      </c>
      <c r="W910" t="s">
        <v>43</v>
      </c>
      <c r="X910" t="s">
        <v>41</v>
      </c>
      <c r="Y910">
        <v>2</v>
      </c>
      <c r="Z910">
        <v>10</v>
      </c>
      <c r="AA910">
        <v>3</v>
      </c>
      <c r="AB910" t="s">
        <v>54</v>
      </c>
      <c r="AC910">
        <v>9</v>
      </c>
      <c r="AD910" t="str" cm="1">
        <f t="array" ref="AD910">_xlfn.IFS(AC910&lt;=5,"0-5",AC910&lt;=10,"5-10",AC910&lt;=40,"10-40")</f>
        <v>5-10</v>
      </c>
      <c r="AE910">
        <v>8</v>
      </c>
      <c r="AF910">
        <v>0</v>
      </c>
      <c r="AG910">
        <v>8</v>
      </c>
      <c r="AH910">
        <v>909</v>
      </c>
    </row>
    <row r="911" spans="1:34" x14ac:dyDescent="0.3">
      <c r="A911">
        <v>19</v>
      </c>
      <c r="B911" t="str" cm="1">
        <f t="array" ref="B911">_xlfn.IFS(A911&lt;=25,"18-25",A911&lt;=35,"26-35",A911&lt;=45,"36-45",A911&lt;=55,"46-55",A911&gt;55,"55+")</f>
        <v>18-25</v>
      </c>
      <c r="C911">
        <v>0</v>
      </c>
      <c r="D911" t="s">
        <v>32</v>
      </c>
      <c r="E911">
        <v>265</v>
      </c>
      <c r="F911" t="s">
        <v>48</v>
      </c>
      <c r="G911">
        <v>25</v>
      </c>
      <c r="H911" t="s">
        <v>61</v>
      </c>
      <c r="I911" t="s">
        <v>35</v>
      </c>
      <c r="J911" t="s">
        <v>36</v>
      </c>
      <c r="K911" t="s">
        <v>37</v>
      </c>
      <c r="L911">
        <v>57</v>
      </c>
      <c r="M911" t="s">
        <v>41</v>
      </c>
      <c r="N911" t="s">
        <v>56</v>
      </c>
      <c r="O911" t="s">
        <v>51</v>
      </c>
      <c r="P911" t="s">
        <v>41</v>
      </c>
      <c r="Q911" t="s">
        <v>42</v>
      </c>
      <c r="R911">
        <v>2994</v>
      </c>
      <c r="S911">
        <v>21221</v>
      </c>
      <c r="T911">
        <v>1</v>
      </c>
      <c r="U911" t="s">
        <v>31</v>
      </c>
      <c r="V911">
        <v>12</v>
      </c>
      <c r="W911" t="s">
        <v>43</v>
      </c>
      <c r="X911" t="s">
        <v>41</v>
      </c>
      <c r="Y911">
        <v>0</v>
      </c>
      <c r="Z911">
        <v>1</v>
      </c>
      <c r="AA911">
        <v>2</v>
      </c>
      <c r="AB911" t="s">
        <v>54</v>
      </c>
      <c r="AC911">
        <v>1</v>
      </c>
      <c r="AD911" t="str" cm="1">
        <f t="array" ref="AD911">_xlfn.IFS(AC911&lt;=5,"0-5",AC911&lt;=10,"5-10",AC911&lt;=40,"10-40")</f>
        <v>0-5</v>
      </c>
      <c r="AE911">
        <v>0</v>
      </c>
      <c r="AF911">
        <v>0</v>
      </c>
      <c r="AG911">
        <v>1</v>
      </c>
      <c r="AH911">
        <v>910</v>
      </c>
    </row>
    <row r="912" spans="1:34" x14ac:dyDescent="0.3">
      <c r="A912">
        <v>23</v>
      </c>
      <c r="B912" t="str" cm="1">
        <f t="array" ref="B912">_xlfn.IFS(A912&lt;=25,"18-25",A912&lt;=35,"26-35",A912&lt;=45,"36-45",A912&lt;=55,"46-55",A912&gt;55,"55+")</f>
        <v>18-25</v>
      </c>
      <c r="C912">
        <v>0</v>
      </c>
      <c r="D912" t="s">
        <v>32</v>
      </c>
      <c r="E912">
        <v>373</v>
      </c>
      <c r="F912" t="s">
        <v>48</v>
      </c>
      <c r="G912">
        <v>1</v>
      </c>
      <c r="H912" t="s">
        <v>34</v>
      </c>
      <c r="I912" t="s">
        <v>35</v>
      </c>
      <c r="J912" t="s">
        <v>41</v>
      </c>
      <c r="K912" t="s">
        <v>50</v>
      </c>
      <c r="L912">
        <v>47</v>
      </c>
      <c r="M912" t="s">
        <v>38</v>
      </c>
      <c r="N912" t="s">
        <v>56</v>
      </c>
      <c r="O912" t="s">
        <v>51</v>
      </c>
      <c r="P912" t="s">
        <v>38</v>
      </c>
      <c r="Q912" t="s">
        <v>52</v>
      </c>
      <c r="R912">
        <v>1223</v>
      </c>
      <c r="S912">
        <v>16901</v>
      </c>
      <c r="T912">
        <v>1</v>
      </c>
      <c r="U912" t="s">
        <v>46</v>
      </c>
      <c r="V912">
        <v>22</v>
      </c>
      <c r="W912" t="s">
        <v>53</v>
      </c>
      <c r="X912" t="s">
        <v>41</v>
      </c>
      <c r="Y912">
        <v>1</v>
      </c>
      <c r="Z912">
        <v>1</v>
      </c>
      <c r="AA912">
        <v>2</v>
      </c>
      <c r="AB912" t="s">
        <v>54</v>
      </c>
      <c r="AC912">
        <v>1</v>
      </c>
      <c r="AD912" t="str" cm="1">
        <f t="array" ref="AD912">_xlfn.IFS(AC912&lt;=5,"0-5",AC912&lt;=10,"5-10",AC912&lt;=40,"10-40")</f>
        <v>0-5</v>
      </c>
      <c r="AE912">
        <v>0</v>
      </c>
      <c r="AF912">
        <v>0</v>
      </c>
      <c r="AG912">
        <v>1</v>
      </c>
      <c r="AH912">
        <v>911</v>
      </c>
    </row>
    <row r="913" spans="1:34" x14ac:dyDescent="0.3">
      <c r="A913">
        <v>25</v>
      </c>
      <c r="B913" t="str" cm="1">
        <f t="array" ref="B913">_xlfn.IFS(A913&lt;=25,"18-25",A913&lt;=35,"26-35",A913&lt;=45,"36-45",A913&lt;=55,"46-55",A913&gt;55,"55+")</f>
        <v>18-25</v>
      </c>
      <c r="C913">
        <v>1</v>
      </c>
      <c r="D913" t="s">
        <v>47</v>
      </c>
      <c r="E913">
        <v>599</v>
      </c>
      <c r="F913" t="s">
        <v>33</v>
      </c>
      <c r="G913">
        <v>24</v>
      </c>
      <c r="H913" t="s">
        <v>49</v>
      </c>
      <c r="I913" t="s">
        <v>35</v>
      </c>
      <c r="J913" t="s">
        <v>38</v>
      </c>
      <c r="K913" t="s">
        <v>50</v>
      </c>
      <c r="L913">
        <v>73</v>
      </c>
      <c r="M913" t="s">
        <v>44</v>
      </c>
      <c r="N913" t="s">
        <v>56</v>
      </c>
      <c r="O913" t="s">
        <v>69</v>
      </c>
      <c r="P913" t="s">
        <v>41</v>
      </c>
      <c r="Q913" t="s">
        <v>42</v>
      </c>
      <c r="R913">
        <v>1118</v>
      </c>
      <c r="S913">
        <v>8040</v>
      </c>
      <c r="T913">
        <v>1</v>
      </c>
      <c r="U913" t="s">
        <v>31</v>
      </c>
      <c r="V913">
        <v>14</v>
      </c>
      <c r="W913" t="s">
        <v>43</v>
      </c>
      <c r="X913" t="s">
        <v>41</v>
      </c>
      <c r="Y913">
        <v>0</v>
      </c>
      <c r="Z913">
        <v>1</v>
      </c>
      <c r="AA913">
        <v>4</v>
      </c>
      <c r="AB913" t="s">
        <v>54</v>
      </c>
      <c r="AC913">
        <v>1</v>
      </c>
      <c r="AD913" t="str" cm="1">
        <f t="array" ref="AD913">_xlfn.IFS(AC913&lt;=5,"0-5",AC913&lt;=10,"5-10",AC913&lt;=40,"10-40")</f>
        <v>0-5</v>
      </c>
      <c r="AE913">
        <v>0</v>
      </c>
      <c r="AF913">
        <v>1</v>
      </c>
      <c r="AG913">
        <v>0</v>
      </c>
      <c r="AH913">
        <v>912</v>
      </c>
    </row>
    <row r="914" spans="1:34" x14ac:dyDescent="0.3">
      <c r="A914">
        <v>26</v>
      </c>
      <c r="B914" t="str" cm="1">
        <f t="array" ref="B914">_xlfn.IFS(A914&lt;=25,"18-25",A914&lt;=35,"26-35",A914&lt;=45,"36-45",A914&lt;=55,"46-55",A914&gt;55,"55+")</f>
        <v>26-35</v>
      </c>
      <c r="C914">
        <v>0</v>
      </c>
      <c r="D914" t="s">
        <v>32</v>
      </c>
      <c r="E914">
        <v>583</v>
      </c>
      <c r="F914" t="s">
        <v>48</v>
      </c>
      <c r="G914">
        <v>4</v>
      </c>
      <c r="H914" t="s">
        <v>34</v>
      </c>
      <c r="I914" t="s">
        <v>35</v>
      </c>
      <c r="J914" t="s">
        <v>38</v>
      </c>
      <c r="K914" t="s">
        <v>50</v>
      </c>
      <c r="L914">
        <v>53</v>
      </c>
      <c r="M914" t="s">
        <v>38</v>
      </c>
      <c r="N914" t="s">
        <v>56</v>
      </c>
      <c r="O914" t="s">
        <v>51</v>
      </c>
      <c r="P914" t="s">
        <v>41</v>
      </c>
      <c r="Q914" t="s">
        <v>42</v>
      </c>
      <c r="R914">
        <v>2875</v>
      </c>
      <c r="S914">
        <v>9973</v>
      </c>
      <c r="T914">
        <v>1</v>
      </c>
      <c r="U914" t="s">
        <v>31</v>
      </c>
      <c r="V914">
        <v>20</v>
      </c>
      <c r="W914" t="s">
        <v>53</v>
      </c>
      <c r="X914" t="s">
        <v>36</v>
      </c>
      <c r="Y914">
        <v>0</v>
      </c>
      <c r="Z914">
        <v>8</v>
      </c>
      <c r="AA914">
        <v>2</v>
      </c>
      <c r="AB914" t="s">
        <v>60</v>
      </c>
      <c r="AC914">
        <v>8</v>
      </c>
      <c r="AD914" t="str" cm="1">
        <f t="array" ref="AD914">_xlfn.IFS(AC914&lt;=5,"0-5",AC914&lt;=10,"5-10",AC914&lt;=40,"10-40")</f>
        <v>5-10</v>
      </c>
      <c r="AE914">
        <v>5</v>
      </c>
      <c r="AF914">
        <v>2</v>
      </c>
      <c r="AG914">
        <v>2</v>
      </c>
      <c r="AH914">
        <v>913</v>
      </c>
    </row>
    <row r="915" spans="1:34" x14ac:dyDescent="0.3">
      <c r="A915">
        <v>45</v>
      </c>
      <c r="B915" t="str" cm="1">
        <f t="array" ref="B915">_xlfn.IFS(A915&lt;=25,"18-25",A915&lt;=35,"26-35",A915&lt;=45,"36-45",A915&lt;=55,"46-55",A915&gt;55,"55+")</f>
        <v>36-45</v>
      </c>
      <c r="C915">
        <v>1</v>
      </c>
      <c r="D915" t="s">
        <v>32</v>
      </c>
      <c r="E915">
        <v>1449</v>
      </c>
      <c r="F915" t="s">
        <v>33</v>
      </c>
      <c r="G915">
        <v>2</v>
      </c>
      <c r="H915" t="s">
        <v>61</v>
      </c>
      <c r="I915" t="s">
        <v>72</v>
      </c>
      <c r="J915" t="s">
        <v>44</v>
      </c>
      <c r="K915" t="s">
        <v>37</v>
      </c>
      <c r="L915">
        <v>94</v>
      </c>
      <c r="M915" t="s">
        <v>44</v>
      </c>
      <c r="N915" t="s">
        <v>71</v>
      </c>
      <c r="O915" t="s">
        <v>68</v>
      </c>
      <c r="P915" t="s">
        <v>36</v>
      </c>
      <c r="Q915" t="s">
        <v>42</v>
      </c>
      <c r="R915">
        <v>18824</v>
      </c>
      <c r="S915">
        <v>2493</v>
      </c>
      <c r="T915">
        <v>2</v>
      </c>
      <c r="U915" t="s">
        <v>31</v>
      </c>
      <c r="V915">
        <v>16</v>
      </c>
      <c r="W915" t="s">
        <v>43</v>
      </c>
      <c r="X915" t="s">
        <v>44</v>
      </c>
      <c r="Y915">
        <v>0</v>
      </c>
      <c r="Z915">
        <v>26</v>
      </c>
      <c r="AA915">
        <v>2</v>
      </c>
      <c r="AB915" t="s">
        <v>54</v>
      </c>
      <c r="AC915">
        <v>24</v>
      </c>
      <c r="AD915" t="str" cm="1">
        <f t="array" ref="AD915">_xlfn.IFS(AC915&lt;=5,"0-5",AC915&lt;=10,"5-10",AC915&lt;=40,"10-40")</f>
        <v>10-40</v>
      </c>
      <c r="AE915">
        <v>10</v>
      </c>
      <c r="AF915">
        <v>1</v>
      </c>
      <c r="AG915">
        <v>11</v>
      </c>
      <c r="AH915">
        <v>914</v>
      </c>
    </row>
    <row r="916" spans="1:34" x14ac:dyDescent="0.3">
      <c r="A916">
        <v>55</v>
      </c>
      <c r="B916" t="str" cm="1">
        <f t="array" ref="B916">_xlfn.IFS(A916&lt;=25,"18-25",A916&lt;=35,"26-35",A916&lt;=45,"36-45",A916&lt;=55,"46-55",A916&gt;55,"55+")</f>
        <v>46-55</v>
      </c>
      <c r="C916">
        <v>0</v>
      </c>
      <c r="D916" t="s">
        <v>66</v>
      </c>
      <c r="E916">
        <v>177</v>
      </c>
      <c r="F916" t="s">
        <v>48</v>
      </c>
      <c r="G916">
        <v>8</v>
      </c>
      <c r="H916" t="s">
        <v>49</v>
      </c>
      <c r="I916" t="s">
        <v>59</v>
      </c>
      <c r="J916" t="s">
        <v>41</v>
      </c>
      <c r="K916" t="s">
        <v>50</v>
      </c>
      <c r="L916">
        <v>37</v>
      </c>
      <c r="M916" t="s">
        <v>36</v>
      </c>
      <c r="N916" t="s">
        <v>67</v>
      </c>
      <c r="O916" t="s">
        <v>65</v>
      </c>
      <c r="P916" t="s">
        <v>36</v>
      </c>
      <c r="Q916" t="s">
        <v>62</v>
      </c>
      <c r="R916">
        <v>13577</v>
      </c>
      <c r="S916">
        <v>25592</v>
      </c>
      <c r="T916">
        <v>1</v>
      </c>
      <c r="U916" t="s">
        <v>31</v>
      </c>
      <c r="V916">
        <v>15</v>
      </c>
      <c r="W916" t="s">
        <v>43</v>
      </c>
      <c r="X916" t="s">
        <v>41</v>
      </c>
      <c r="Y916">
        <v>1</v>
      </c>
      <c r="Z916">
        <v>34</v>
      </c>
      <c r="AA916">
        <v>3</v>
      </c>
      <c r="AB916" t="s">
        <v>54</v>
      </c>
      <c r="AC916">
        <v>33</v>
      </c>
      <c r="AD916" t="str" cm="1">
        <f t="array" ref="AD916">_xlfn.IFS(AC916&lt;=5,"0-5",AC916&lt;=10,"5-10",AC916&lt;=40,"10-40")</f>
        <v>10-40</v>
      </c>
      <c r="AE916">
        <v>9</v>
      </c>
      <c r="AF916">
        <v>15</v>
      </c>
      <c r="AG916">
        <v>0</v>
      </c>
      <c r="AH916">
        <v>915</v>
      </c>
    </row>
    <row r="917" spans="1:34" x14ac:dyDescent="0.3">
      <c r="A917">
        <v>21</v>
      </c>
      <c r="B917" t="str" cm="1">
        <f t="array" ref="B917">_xlfn.IFS(A917&lt;=25,"18-25",A917&lt;=35,"26-35",A917&lt;=45,"36-45",A917&lt;=55,"46-55",A917&gt;55,"55+")</f>
        <v>18-25</v>
      </c>
      <c r="C917">
        <v>1</v>
      </c>
      <c r="D917" t="s">
        <v>47</v>
      </c>
      <c r="E917">
        <v>251</v>
      </c>
      <c r="F917" t="s">
        <v>48</v>
      </c>
      <c r="G917">
        <v>10</v>
      </c>
      <c r="H917" t="s">
        <v>34</v>
      </c>
      <c r="I917" t="s">
        <v>35</v>
      </c>
      <c r="J917" t="s">
        <v>44</v>
      </c>
      <c r="K917" t="s">
        <v>37</v>
      </c>
      <c r="L917">
        <v>45</v>
      </c>
      <c r="M917" t="s">
        <v>36</v>
      </c>
      <c r="N917" t="s">
        <v>56</v>
      </c>
      <c r="O917" t="s">
        <v>57</v>
      </c>
      <c r="P917" t="s">
        <v>38</v>
      </c>
      <c r="Q917" t="s">
        <v>42</v>
      </c>
      <c r="R917">
        <v>2625</v>
      </c>
      <c r="S917">
        <v>25308</v>
      </c>
      <c r="T917">
        <v>1</v>
      </c>
      <c r="U917" t="s">
        <v>46</v>
      </c>
      <c r="V917">
        <v>20</v>
      </c>
      <c r="W917" t="s">
        <v>53</v>
      </c>
      <c r="X917" t="s">
        <v>38</v>
      </c>
      <c r="Y917">
        <v>0</v>
      </c>
      <c r="Z917">
        <v>2</v>
      </c>
      <c r="AA917">
        <v>2</v>
      </c>
      <c r="AB917" t="s">
        <v>45</v>
      </c>
      <c r="AC917">
        <v>2</v>
      </c>
      <c r="AD917" t="str" cm="1">
        <f t="array" ref="AD917">_xlfn.IFS(AC917&lt;=5,"0-5",AC917&lt;=10,"5-10",AC917&lt;=40,"10-40")</f>
        <v>0-5</v>
      </c>
      <c r="AE917">
        <v>2</v>
      </c>
      <c r="AF917">
        <v>2</v>
      </c>
      <c r="AG917">
        <v>2</v>
      </c>
      <c r="AH917">
        <v>916</v>
      </c>
    </row>
    <row r="918" spans="1:34" x14ac:dyDescent="0.3">
      <c r="A918">
        <v>46</v>
      </c>
      <c r="B918" t="str" cm="1">
        <f t="array" ref="B918">_xlfn.IFS(A918&lt;=25,"18-25",A918&lt;=35,"26-35",A918&lt;=45,"36-45",A918&lt;=55,"46-55",A918&gt;55,"55+")</f>
        <v>46-55</v>
      </c>
      <c r="C918">
        <v>0</v>
      </c>
      <c r="D918" t="s">
        <v>32</v>
      </c>
      <c r="E918">
        <v>168</v>
      </c>
      <c r="F918" t="s">
        <v>33</v>
      </c>
      <c r="G918">
        <v>4</v>
      </c>
      <c r="H918" t="s">
        <v>34</v>
      </c>
      <c r="I918" t="s">
        <v>72</v>
      </c>
      <c r="J918" t="s">
        <v>41</v>
      </c>
      <c r="K918" t="s">
        <v>37</v>
      </c>
      <c r="L918">
        <v>33</v>
      </c>
      <c r="M918" t="s">
        <v>36</v>
      </c>
      <c r="N918" t="s">
        <v>71</v>
      </c>
      <c r="O918" t="s">
        <v>68</v>
      </c>
      <c r="P918" t="s">
        <v>36</v>
      </c>
      <c r="Q918" t="s">
        <v>52</v>
      </c>
      <c r="R918">
        <v>18789</v>
      </c>
      <c r="S918">
        <v>9946</v>
      </c>
      <c r="T918">
        <v>2</v>
      </c>
      <c r="U918" t="s">
        <v>46</v>
      </c>
      <c r="V918">
        <v>14</v>
      </c>
      <c r="W918" t="s">
        <v>43</v>
      </c>
      <c r="X918" t="s">
        <v>38</v>
      </c>
      <c r="Y918">
        <v>1</v>
      </c>
      <c r="Z918">
        <v>26</v>
      </c>
      <c r="AA918">
        <v>2</v>
      </c>
      <c r="AB918" t="s">
        <v>54</v>
      </c>
      <c r="AC918">
        <v>11</v>
      </c>
      <c r="AD918" t="str" cm="1">
        <f t="array" ref="AD918">_xlfn.IFS(AC918&lt;=5,"0-5",AC918&lt;=10,"5-10",AC918&lt;=40,"10-40")</f>
        <v>10-40</v>
      </c>
      <c r="AE918">
        <v>4</v>
      </c>
      <c r="AF918">
        <v>0</v>
      </c>
      <c r="AG918">
        <v>8</v>
      </c>
      <c r="AH918">
        <v>917</v>
      </c>
    </row>
    <row r="919" spans="1:34" x14ac:dyDescent="0.3">
      <c r="A919">
        <v>34</v>
      </c>
      <c r="B919" t="str" cm="1">
        <f t="array" ref="B919">_xlfn.IFS(A919&lt;=25,"18-25",A919&lt;=35,"26-35",A919&lt;=45,"36-45",A919&lt;=55,"46-55",A919&gt;55,"55+")</f>
        <v>26-35</v>
      </c>
      <c r="C919">
        <v>0</v>
      </c>
      <c r="D919" t="s">
        <v>32</v>
      </c>
      <c r="E919">
        <v>131</v>
      </c>
      <c r="F919" t="s">
        <v>33</v>
      </c>
      <c r="G919">
        <v>2</v>
      </c>
      <c r="H919" t="s">
        <v>61</v>
      </c>
      <c r="I919" t="s">
        <v>72</v>
      </c>
      <c r="J919" t="s">
        <v>38</v>
      </c>
      <c r="K919" t="s">
        <v>37</v>
      </c>
      <c r="L919">
        <v>86</v>
      </c>
      <c r="M919" t="s">
        <v>38</v>
      </c>
      <c r="N919" t="s">
        <v>39</v>
      </c>
      <c r="O919" t="s">
        <v>40</v>
      </c>
      <c r="P919" t="s">
        <v>44</v>
      </c>
      <c r="Q919" t="s">
        <v>42</v>
      </c>
      <c r="R919">
        <v>4538</v>
      </c>
      <c r="S919">
        <v>6039</v>
      </c>
      <c r="T919">
        <v>0</v>
      </c>
      <c r="U919" t="s">
        <v>31</v>
      </c>
      <c r="V919">
        <v>12</v>
      </c>
      <c r="W919" t="s">
        <v>43</v>
      </c>
      <c r="X919" t="s">
        <v>41</v>
      </c>
      <c r="Y919">
        <v>0</v>
      </c>
      <c r="Z919">
        <v>4</v>
      </c>
      <c r="AA919">
        <v>3</v>
      </c>
      <c r="AB919" t="s">
        <v>54</v>
      </c>
      <c r="AC919">
        <v>3</v>
      </c>
      <c r="AD919" t="str" cm="1">
        <f t="array" ref="AD919">_xlfn.IFS(AC919&lt;=5,"0-5",AC919&lt;=10,"5-10",AC919&lt;=40,"10-40")</f>
        <v>0-5</v>
      </c>
      <c r="AE919">
        <v>2</v>
      </c>
      <c r="AF919">
        <v>0</v>
      </c>
      <c r="AG919">
        <v>2</v>
      </c>
      <c r="AH919">
        <v>918</v>
      </c>
    </row>
    <row r="920" spans="1:34" x14ac:dyDescent="0.3">
      <c r="A920">
        <v>51</v>
      </c>
      <c r="B920" t="str" cm="1">
        <f t="array" ref="B920">_xlfn.IFS(A920&lt;=25,"18-25",A920&lt;=35,"26-35",A920&lt;=45,"36-45",A920&lt;=55,"46-55",A920&gt;55,"55+")</f>
        <v>46-55</v>
      </c>
      <c r="C920">
        <v>0</v>
      </c>
      <c r="D920" t="s">
        <v>47</v>
      </c>
      <c r="E920">
        <v>237</v>
      </c>
      <c r="F920" t="s">
        <v>33</v>
      </c>
      <c r="G920">
        <v>9</v>
      </c>
      <c r="H920" t="s">
        <v>61</v>
      </c>
      <c r="I920" t="s">
        <v>35</v>
      </c>
      <c r="J920" t="s">
        <v>41</v>
      </c>
      <c r="K920" t="s">
        <v>50</v>
      </c>
      <c r="L920">
        <v>83</v>
      </c>
      <c r="M920" t="s">
        <v>38</v>
      </c>
      <c r="N920" t="s">
        <v>71</v>
      </c>
      <c r="O920" t="s">
        <v>68</v>
      </c>
      <c r="P920" t="s">
        <v>36</v>
      </c>
      <c r="Q920" t="s">
        <v>62</v>
      </c>
      <c r="R920">
        <v>19847</v>
      </c>
      <c r="S920">
        <v>19196</v>
      </c>
      <c r="T920">
        <v>4</v>
      </c>
      <c r="U920" t="s">
        <v>31</v>
      </c>
      <c r="V920">
        <v>24</v>
      </c>
      <c r="W920" t="s">
        <v>53</v>
      </c>
      <c r="X920" t="s">
        <v>44</v>
      </c>
      <c r="Y920">
        <v>1</v>
      </c>
      <c r="Z920">
        <v>31</v>
      </c>
      <c r="AA920">
        <v>5</v>
      </c>
      <c r="AB920" t="s">
        <v>60</v>
      </c>
      <c r="AC920">
        <v>29</v>
      </c>
      <c r="AD920" t="str" cm="1">
        <f t="array" ref="AD920">_xlfn.IFS(AC920&lt;=5,"0-5",AC920&lt;=10,"5-10",AC920&lt;=40,"10-40")</f>
        <v>10-40</v>
      </c>
      <c r="AE920">
        <v>10</v>
      </c>
      <c r="AF920">
        <v>11</v>
      </c>
      <c r="AG920">
        <v>10</v>
      </c>
      <c r="AH920">
        <v>919</v>
      </c>
    </row>
    <row r="921" spans="1:34" x14ac:dyDescent="0.3">
      <c r="A921">
        <v>59</v>
      </c>
      <c r="B921" t="str" cm="1">
        <f t="array" ref="B921">_xlfn.IFS(A921&lt;=25,"18-25",A921&lt;=35,"26-35",A921&lt;=45,"36-45",A921&lt;=55,"46-55",A921&gt;55,"55+")</f>
        <v>55+</v>
      </c>
      <c r="C921">
        <v>0</v>
      </c>
      <c r="D921" t="s">
        <v>32</v>
      </c>
      <c r="E921">
        <v>1429</v>
      </c>
      <c r="F921" t="s">
        <v>48</v>
      </c>
      <c r="G921">
        <v>18</v>
      </c>
      <c r="H921" t="s">
        <v>58</v>
      </c>
      <c r="I921" t="s">
        <v>59</v>
      </c>
      <c r="J921" t="s">
        <v>41</v>
      </c>
      <c r="K921" t="s">
        <v>50</v>
      </c>
      <c r="L921">
        <v>67</v>
      </c>
      <c r="M921" t="s">
        <v>38</v>
      </c>
      <c r="N921" t="s">
        <v>63</v>
      </c>
      <c r="O921" t="s">
        <v>64</v>
      </c>
      <c r="P921" t="s">
        <v>41</v>
      </c>
      <c r="Q921" t="s">
        <v>42</v>
      </c>
      <c r="R921">
        <v>10512</v>
      </c>
      <c r="S921">
        <v>20002</v>
      </c>
      <c r="T921">
        <v>6</v>
      </c>
      <c r="U921" t="s">
        <v>46</v>
      </c>
      <c r="V921">
        <v>12</v>
      </c>
      <c r="W921" t="s">
        <v>43</v>
      </c>
      <c r="X921" t="s">
        <v>41</v>
      </c>
      <c r="Y921">
        <v>0</v>
      </c>
      <c r="Z921">
        <v>25</v>
      </c>
      <c r="AA921">
        <v>6</v>
      </c>
      <c r="AB921" t="s">
        <v>60</v>
      </c>
      <c r="AC921">
        <v>9</v>
      </c>
      <c r="AD921" t="str" cm="1">
        <f t="array" ref="AD921">_xlfn.IFS(AC921&lt;=5,"0-5",AC921&lt;=10,"5-10",AC921&lt;=40,"10-40")</f>
        <v>5-10</v>
      </c>
      <c r="AE921">
        <v>7</v>
      </c>
      <c r="AF921">
        <v>5</v>
      </c>
      <c r="AG921">
        <v>4</v>
      </c>
      <c r="AH921">
        <v>920</v>
      </c>
    </row>
    <row r="922" spans="1:34" x14ac:dyDescent="0.3">
      <c r="A922">
        <v>34</v>
      </c>
      <c r="B922" t="str" cm="1">
        <f t="array" ref="B922">_xlfn.IFS(A922&lt;=25,"18-25",A922&lt;=35,"26-35",A922&lt;=45,"36-45",A922&lt;=55,"46-55",A922&gt;55,"55+")</f>
        <v>26-35</v>
      </c>
      <c r="C922">
        <v>0</v>
      </c>
      <c r="D922" t="s">
        <v>47</v>
      </c>
      <c r="E922">
        <v>135</v>
      </c>
      <c r="F922" t="s">
        <v>48</v>
      </c>
      <c r="G922">
        <v>19</v>
      </c>
      <c r="H922" t="s">
        <v>61</v>
      </c>
      <c r="I922" t="s">
        <v>59</v>
      </c>
      <c r="J922" t="s">
        <v>38</v>
      </c>
      <c r="K922" t="s">
        <v>37</v>
      </c>
      <c r="L922">
        <v>46</v>
      </c>
      <c r="M922" t="s">
        <v>38</v>
      </c>
      <c r="N922" t="s">
        <v>39</v>
      </c>
      <c r="O922" t="s">
        <v>57</v>
      </c>
      <c r="P922" t="s">
        <v>36</v>
      </c>
      <c r="Q922" t="s">
        <v>62</v>
      </c>
      <c r="R922">
        <v>4444</v>
      </c>
      <c r="S922">
        <v>22534</v>
      </c>
      <c r="T922">
        <v>4</v>
      </c>
      <c r="U922" t="s">
        <v>46</v>
      </c>
      <c r="V922">
        <v>13</v>
      </c>
      <c r="W922" t="s">
        <v>43</v>
      </c>
      <c r="X922" t="s">
        <v>38</v>
      </c>
      <c r="Y922">
        <v>2</v>
      </c>
      <c r="Z922">
        <v>15</v>
      </c>
      <c r="AA922">
        <v>2</v>
      </c>
      <c r="AB922" t="s">
        <v>73</v>
      </c>
      <c r="AC922">
        <v>11</v>
      </c>
      <c r="AD922" t="str" cm="1">
        <f t="array" ref="AD922">_xlfn.IFS(AC922&lt;=5,"0-5",AC922&lt;=10,"5-10",AC922&lt;=40,"10-40")</f>
        <v>10-40</v>
      </c>
      <c r="AE922">
        <v>8</v>
      </c>
      <c r="AF922">
        <v>5</v>
      </c>
      <c r="AG922">
        <v>10</v>
      </c>
      <c r="AH922">
        <v>921</v>
      </c>
    </row>
    <row r="923" spans="1:34" x14ac:dyDescent="0.3">
      <c r="A923">
        <v>28</v>
      </c>
      <c r="B923" t="str" cm="1">
        <f t="array" ref="B923">_xlfn.IFS(A923&lt;=25,"18-25",A923&lt;=35,"26-35",A923&lt;=45,"36-45",A923&lt;=55,"46-55",A923&gt;55,"55+")</f>
        <v>26-35</v>
      </c>
      <c r="C923">
        <v>0</v>
      </c>
      <c r="D923" t="s">
        <v>47</v>
      </c>
      <c r="E923">
        <v>791</v>
      </c>
      <c r="F923" t="s">
        <v>48</v>
      </c>
      <c r="G923">
        <v>1</v>
      </c>
      <c r="H923" t="s">
        <v>58</v>
      </c>
      <c r="I923" t="s">
        <v>59</v>
      </c>
      <c r="J923" t="s">
        <v>41</v>
      </c>
      <c r="K923" t="s">
        <v>50</v>
      </c>
      <c r="L923">
        <v>44</v>
      </c>
      <c r="M923" t="s">
        <v>38</v>
      </c>
      <c r="N923" t="s">
        <v>56</v>
      </c>
      <c r="O923" t="s">
        <v>57</v>
      </c>
      <c r="P923" t="s">
        <v>38</v>
      </c>
      <c r="Q923" t="s">
        <v>42</v>
      </c>
      <c r="R923">
        <v>2154</v>
      </c>
      <c r="S923">
        <v>6842</v>
      </c>
      <c r="T923">
        <v>0</v>
      </c>
      <c r="U923" t="s">
        <v>31</v>
      </c>
      <c r="V923">
        <v>11</v>
      </c>
      <c r="W923" t="s">
        <v>43</v>
      </c>
      <c r="X923" t="s">
        <v>38</v>
      </c>
      <c r="Y923">
        <v>0</v>
      </c>
      <c r="Z923">
        <v>5</v>
      </c>
      <c r="AA923">
        <v>2</v>
      </c>
      <c r="AB923" t="s">
        <v>60</v>
      </c>
      <c r="AC923">
        <v>4</v>
      </c>
      <c r="AD923" t="str" cm="1">
        <f t="array" ref="AD923">_xlfn.IFS(AC923&lt;=5,"0-5",AC923&lt;=10,"5-10",AC923&lt;=40,"10-40")</f>
        <v>0-5</v>
      </c>
      <c r="AE923">
        <v>2</v>
      </c>
      <c r="AF923">
        <v>0</v>
      </c>
      <c r="AG923">
        <v>2</v>
      </c>
      <c r="AH923">
        <v>922</v>
      </c>
    </row>
    <row r="924" spans="1:34" x14ac:dyDescent="0.3">
      <c r="A924">
        <v>44</v>
      </c>
      <c r="B924" t="str" cm="1">
        <f t="array" ref="B924">_xlfn.IFS(A924&lt;=25,"18-25",A924&lt;=35,"26-35",A924&lt;=45,"36-45",A924&lt;=55,"46-55",A924&gt;55,"55+")</f>
        <v>36-45</v>
      </c>
      <c r="C924">
        <v>0</v>
      </c>
      <c r="D924" t="s">
        <v>32</v>
      </c>
      <c r="E924">
        <v>1199</v>
      </c>
      <c r="F924" t="s">
        <v>48</v>
      </c>
      <c r="G924">
        <v>4</v>
      </c>
      <c r="H924" t="s">
        <v>34</v>
      </c>
      <c r="I924" t="s">
        <v>35</v>
      </c>
      <c r="J924" t="s">
        <v>38</v>
      </c>
      <c r="K924" t="s">
        <v>50</v>
      </c>
      <c r="L924">
        <v>92</v>
      </c>
      <c r="M924" t="s">
        <v>41</v>
      </c>
      <c r="N924" t="s">
        <v>71</v>
      </c>
      <c r="O924" t="s">
        <v>68</v>
      </c>
      <c r="P924" t="s">
        <v>44</v>
      </c>
      <c r="Q924" t="s">
        <v>62</v>
      </c>
      <c r="R924">
        <v>19190</v>
      </c>
      <c r="S924">
        <v>17477</v>
      </c>
      <c r="T924">
        <v>1</v>
      </c>
      <c r="U924" t="s">
        <v>46</v>
      </c>
      <c r="V924">
        <v>14</v>
      </c>
      <c r="W924" t="s">
        <v>43</v>
      </c>
      <c r="X924" t="s">
        <v>41</v>
      </c>
      <c r="Y924">
        <v>2</v>
      </c>
      <c r="Z924">
        <v>26</v>
      </c>
      <c r="AA924">
        <v>4</v>
      </c>
      <c r="AB924" t="s">
        <v>60</v>
      </c>
      <c r="AC924">
        <v>25</v>
      </c>
      <c r="AD924" t="str" cm="1">
        <f t="array" ref="AD924">_xlfn.IFS(AC924&lt;=5,"0-5",AC924&lt;=10,"5-10",AC924&lt;=40,"10-40")</f>
        <v>10-40</v>
      </c>
      <c r="AE924">
        <v>9</v>
      </c>
      <c r="AF924">
        <v>14</v>
      </c>
      <c r="AG924">
        <v>13</v>
      </c>
      <c r="AH924">
        <v>923</v>
      </c>
    </row>
    <row r="925" spans="1:34" x14ac:dyDescent="0.3">
      <c r="A925">
        <v>34</v>
      </c>
      <c r="B925" t="str" cm="1">
        <f t="array" ref="B925">_xlfn.IFS(A925&lt;=25,"18-25",A925&lt;=35,"26-35",A925&lt;=45,"36-45",A925&lt;=55,"46-55",A925&gt;55,"55+")</f>
        <v>26-35</v>
      </c>
      <c r="C925">
        <v>0</v>
      </c>
      <c r="D925" t="s">
        <v>47</v>
      </c>
      <c r="E925">
        <v>648</v>
      </c>
      <c r="F925" t="s">
        <v>76</v>
      </c>
      <c r="G925">
        <v>11</v>
      </c>
      <c r="H925" t="s">
        <v>61</v>
      </c>
      <c r="I925" t="s">
        <v>35</v>
      </c>
      <c r="J925" t="s">
        <v>38</v>
      </c>
      <c r="K925" t="s">
        <v>50</v>
      </c>
      <c r="L925">
        <v>56</v>
      </c>
      <c r="M925" t="s">
        <v>36</v>
      </c>
      <c r="N925" t="s">
        <v>39</v>
      </c>
      <c r="O925" t="s">
        <v>76</v>
      </c>
      <c r="P925" t="s">
        <v>36</v>
      </c>
      <c r="Q925" t="s">
        <v>52</v>
      </c>
      <c r="R925">
        <v>4490</v>
      </c>
      <c r="S925">
        <v>21833</v>
      </c>
      <c r="T925">
        <v>4</v>
      </c>
      <c r="U925" t="s">
        <v>46</v>
      </c>
      <c r="V925">
        <v>11</v>
      </c>
      <c r="W925" t="s">
        <v>43</v>
      </c>
      <c r="X925" t="s">
        <v>41</v>
      </c>
      <c r="Y925">
        <v>2</v>
      </c>
      <c r="Z925">
        <v>14</v>
      </c>
      <c r="AA925">
        <v>5</v>
      </c>
      <c r="AB925" t="s">
        <v>73</v>
      </c>
      <c r="AC925">
        <v>10</v>
      </c>
      <c r="AD925" t="str" cm="1">
        <f t="array" ref="AD925">_xlfn.IFS(AC925&lt;=5,"0-5",AC925&lt;=10,"5-10",AC925&lt;=40,"10-40")</f>
        <v>5-10</v>
      </c>
      <c r="AE925">
        <v>9</v>
      </c>
      <c r="AF925">
        <v>1</v>
      </c>
      <c r="AG925">
        <v>8</v>
      </c>
      <c r="AH925">
        <v>924</v>
      </c>
    </row>
    <row r="926" spans="1:34" x14ac:dyDescent="0.3">
      <c r="A926">
        <v>35</v>
      </c>
      <c r="B926" t="str" cm="1">
        <f t="array" ref="B926">_xlfn.IFS(A926&lt;=25,"18-25",A926&lt;=35,"26-35",A926&lt;=45,"36-45",A926&lt;=55,"46-55",A926&gt;55,"55+")</f>
        <v>26-35</v>
      </c>
      <c r="C926">
        <v>0</v>
      </c>
      <c r="D926" t="s">
        <v>32</v>
      </c>
      <c r="E926">
        <v>735</v>
      </c>
      <c r="F926" t="s">
        <v>48</v>
      </c>
      <c r="G926">
        <v>6</v>
      </c>
      <c r="H926" t="s">
        <v>49</v>
      </c>
      <c r="I926" t="s">
        <v>35</v>
      </c>
      <c r="J926" t="s">
        <v>38</v>
      </c>
      <c r="K926" t="s">
        <v>50</v>
      </c>
      <c r="L926">
        <v>66</v>
      </c>
      <c r="M926" t="s">
        <v>38</v>
      </c>
      <c r="N926" t="s">
        <v>56</v>
      </c>
      <c r="O926" t="s">
        <v>51</v>
      </c>
      <c r="P926" t="s">
        <v>38</v>
      </c>
      <c r="Q926" t="s">
        <v>52</v>
      </c>
      <c r="R926">
        <v>3506</v>
      </c>
      <c r="S926">
        <v>6020</v>
      </c>
      <c r="T926">
        <v>0</v>
      </c>
      <c r="U926" t="s">
        <v>31</v>
      </c>
      <c r="V926">
        <v>14</v>
      </c>
      <c r="W926" t="s">
        <v>43</v>
      </c>
      <c r="X926" t="s">
        <v>41</v>
      </c>
      <c r="Y926">
        <v>0</v>
      </c>
      <c r="Z926">
        <v>4</v>
      </c>
      <c r="AA926">
        <v>3</v>
      </c>
      <c r="AB926" t="s">
        <v>54</v>
      </c>
      <c r="AC926">
        <v>3</v>
      </c>
      <c r="AD926" t="str" cm="1">
        <f t="array" ref="AD926">_xlfn.IFS(AC926&lt;=5,"0-5",AC926&lt;=10,"5-10",AC926&lt;=40,"10-40")</f>
        <v>0-5</v>
      </c>
      <c r="AE926">
        <v>2</v>
      </c>
      <c r="AF926">
        <v>2</v>
      </c>
      <c r="AG926">
        <v>2</v>
      </c>
      <c r="AH926">
        <v>925</v>
      </c>
    </row>
    <row r="927" spans="1:34" x14ac:dyDescent="0.3">
      <c r="A927">
        <v>42</v>
      </c>
      <c r="B927" t="str" cm="1">
        <f t="array" ref="B927">_xlfn.IFS(A927&lt;=25,"18-25",A927&lt;=35,"26-35",A927&lt;=45,"36-45",A927&lt;=55,"46-55",A927&gt;55,"55+")</f>
        <v>36-45</v>
      </c>
      <c r="C927">
        <v>0</v>
      </c>
      <c r="D927" t="s">
        <v>32</v>
      </c>
      <c r="E927">
        <v>603</v>
      </c>
      <c r="F927" t="s">
        <v>48</v>
      </c>
      <c r="G927">
        <v>7</v>
      </c>
      <c r="H927" t="s">
        <v>58</v>
      </c>
      <c r="I927" t="s">
        <v>59</v>
      </c>
      <c r="J927" t="s">
        <v>36</v>
      </c>
      <c r="K927" t="s">
        <v>37</v>
      </c>
      <c r="L927">
        <v>78</v>
      </c>
      <c r="M927" t="s">
        <v>41</v>
      </c>
      <c r="N927" t="s">
        <v>39</v>
      </c>
      <c r="O927" t="s">
        <v>51</v>
      </c>
      <c r="P927" t="s">
        <v>36</v>
      </c>
      <c r="Q927" t="s">
        <v>52</v>
      </c>
      <c r="R927">
        <v>2372</v>
      </c>
      <c r="S927">
        <v>5628</v>
      </c>
      <c r="T927">
        <v>6</v>
      </c>
      <c r="U927" t="s">
        <v>31</v>
      </c>
      <c r="V927">
        <v>16</v>
      </c>
      <c r="W927" t="s">
        <v>43</v>
      </c>
      <c r="X927" t="s">
        <v>41</v>
      </c>
      <c r="Y927">
        <v>0</v>
      </c>
      <c r="Z927">
        <v>18</v>
      </c>
      <c r="AA927">
        <v>2</v>
      </c>
      <c r="AB927" t="s">
        <v>54</v>
      </c>
      <c r="AC927">
        <v>1</v>
      </c>
      <c r="AD927" t="str" cm="1">
        <f t="array" ref="AD927">_xlfn.IFS(AC927&lt;=5,"0-5",AC927&lt;=10,"5-10",AC927&lt;=40,"10-40")</f>
        <v>0-5</v>
      </c>
      <c r="AE927">
        <v>0</v>
      </c>
      <c r="AF927">
        <v>0</v>
      </c>
      <c r="AG927">
        <v>0</v>
      </c>
      <c r="AH927">
        <v>926</v>
      </c>
    </row>
    <row r="928" spans="1:34" x14ac:dyDescent="0.3">
      <c r="A928">
        <v>43</v>
      </c>
      <c r="B928" t="str" cm="1">
        <f t="array" ref="B928">_xlfn.IFS(A928&lt;=25,"18-25",A928&lt;=35,"26-35",A928&lt;=45,"36-45",A928&lt;=55,"46-55",A928&gt;55,"55+")</f>
        <v>36-45</v>
      </c>
      <c r="C928">
        <v>0</v>
      </c>
      <c r="D928" t="s">
        <v>32</v>
      </c>
      <c r="E928">
        <v>531</v>
      </c>
      <c r="F928" t="s">
        <v>33</v>
      </c>
      <c r="G928">
        <v>4</v>
      </c>
      <c r="H928" t="s">
        <v>58</v>
      </c>
      <c r="I928" t="s">
        <v>72</v>
      </c>
      <c r="J928" t="s">
        <v>41</v>
      </c>
      <c r="K928" t="s">
        <v>37</v>
      </c>
      <c r="L928">
        <v>56</v>
      </c>
      <c r="M928" t="s">
        <v>36</v>
      </c>
      <c r="N928" t="s">
        <v>63</v>
      </c>
      <c r="O928" t="s">
        <v>40</v>
      </c>
      <c r="P928" t="s">
        <v>41</v>
      </c>
      <c r="Q928" t="s">
        <v>42</v>
      </c>
      <c r="R928">
        <v>10231</v>
      </c>
      <c r="S928">
        <v>20364</v>
      </c>
      <c r="T928">
        <v>3</v>
      </c>
      <c r="U928" t="s">
        <v>46</v>
      </c>
      <c r="V928">
        <v>14</v>
      </c>
      <c r="W928" t="s">
        <v>43</v>
      </c>
      <c r="X928" t="s">
        <v>41</v>
      </c>
      <c r="Y928">
        <v>0</v>
      </c>
      <c r="Z928">
        <v>23</v>
      </c>
      <c r="AA928">
        <v>3</v>
      </c>
      <c r="AB928" t="s">
        <v>73</v>
      </c>
      <c r="AC928">
        <v>21</v>
      </c>
      <c r="AD928" t="str" cm="1">
        <f t="array" ref="AD928">_xlfn.IFS(AC928&lt;=5,"0-5",AC928&lt;=10,"5-10",AC928&lt;=40,"10-40")</f>
        <v>10-40</v>
      </c>
      <c r="AE928">
        <v>7</v>
      </c>
      <c r="AF928">
        <v>15</v>
      </c>
      <c r="AG928">
        <v>17</v>
      </c>
      <c r="AH928">
        <v>927</v>
      </c>
    </row>
    <row r="929" spans="1:34" x14ac:dyDescent="0.3">
      <c r="A929">
        <v>36</v>
      </c>
      <c r="B929" t="str" cm="1">
        <f t="array" ref="B929">_xlfn.IFS(A929&lt;=25,"18-25",A929&lt;=35,"26-35",A929&lt;=45,"36-45",A929&lt;=55,"46-55",A929&gt;55,"55+")</f>
        <v>36-45</v>
      </c>
      <c r="C929">
        <v>0</v>
      </c>
      <c r="D929" t="s">
        <v>32</v>
      </c>
      <c r="E929">
        <v>429</v>
      </c>
      <c r="F929" t="s">
        <v>48</v>
      </c>
      <c r="G929">
        <v>2</v>
      </c>
      <c r="H929" t="s">
        <v>58</v>
      </c>
      <c r="I929" t="s">
        <v>35</v>
      </c>
      <c r="J929" t="s">
        <v>38</v>
      </c>
      <c r="K929" t="s">
        <v>37</v>
      </c>
      <c r="L929">
        <v>53</v>
      </c>
      <c r="M929" t="s">
        <v>38</v>
      </c>
      <c r="N929" t="s">
        <v>39</v>
      </c>
      <c r="O929" t="s">
        <v>64</v>
      </c>
      <c r="P929" t="s">
        <v>36</v>
      </c>
      <c r="Q929" t="s">
        <v>42</v>
      </c>
      <c r="R929">
        <v>5410</v>
      </c>
      <c r="S929">
        <v>2323</v>
      </c>
      <c r="T929">
        <v>9</v>
      </c>
      <c r="U929" t="s">
        <v>31</v>
      </c>
      <c r="V929">
        <v>11</v>
      </c>
      <c r="W929" t="s">
        <v>43</v>
      </c>
      <c r="X929" t="s">
        <v>41</v>
      </c>
      <c r="Y929">
        <v>0</v>
      </c>
      <c r="Z929">
        <v>18</v>
      </c>
      <c r="AA929">
        <v>2</v>
      </c>
      <c r="AB929" t="s">
        <v>54</v>
      </c>
      <c r="AC929">
        <v>16</v>
      </c>
      <c r="AD929" t="str" cm="1">
        <f t="array" ref="AD929">_xlfn.IFS(AC929&lt;=5,"0-5",AC929&lt;=10,"5-10",AC929&lt;=40,"10-40")</f>
        <v>10-40</v>
      </c>
      <c r="AE929">
        <v>14</v>
      </c>
      <c r="AF929">
        <v>5</v>
      </c>
      <c r="AG929">
        <v>12</v>
      </c>
      <c r="AH929">
        <v>928</v>
      </c>
    </row>
    <row r="930" spans="1:34" x14ac:dyDescent="0.3">
      <c r="A930">
        <v>44</v>
      </c>
      <c r="B930" t="str" cm="1">
        <f t="array" ref="B930">_xlfn.IFS(A930&lt;=25,"18-25",A930&lt;=35,"26-35",A930&lt;=45,"36-45",A930&lt;=55,"46-55",A930&gt;55,"55+")</f>
        <v>36-45</v>
      </c>
      <c r="C930">
        <v>1</v>
      </c>
      <c r="D930" t="s">
        <v>32</v>
      </c>
      <c r="E930">
        <v>621</v>
      </c>
      <c r="F930" t="s">
        <v>48</v>
      </c>
      <c r="G930">
        <v>15</v>
      </c>
      <c r="H930" t="s">
        <v>61</v>
      </c>
      <c r="I930" t="s">
        <v>59</v>
      </c>
      <c r="J930" t="s">
        <v>44</v>
      </c>
      <c r="K930" t="s">
        <v>37</v>
      </c>
      <c r="L930">
        <v>73</v>
      </c>
      <c r="M930" t="s">
        <v>38</v>
      </c>
      <c r="N930" t="s">
        <v>63</v>
      </c>
      <c r="O930" t="s">
        <v>65</v>
      </c>
      <c r="P930" t="s">
        <v>41</v>
      </c>
      <c r="Q930" t="s">
        <v>52</v>
      </c>
      <c r="R930">
        <v>7978</v>
      </c>
      <c r="S930">
        <v>14075</v>
      </c>
      <c r="T930">
        <v>1</v>
      </c>
      <c r="U930" t="s">
        <v>46</v>
      </c>
      <c r="V930">
        <v>11</v>
      </c>
      <c r="W930" t="s">
        <v>43</v>
      </c>
      <c r="X930" t="s">
        <v>41</v>
      </c>
      <c r="Y930">
        <v>1</v>
      </c>
      <c r="Z930">
        <v>10</v>
      </c>
      <c r="AA930">
        <v>2</v>
      </c>
      <c r="AB930" t="s">
        <v>54</v>
      </c>
      <c r="AC930">
        <v>10</v>
      </c>
      <c r="AD930" t="str" cm="1">
        <f t="array" ref="AD930">_xlfn.IFS(AC930&lt;=5,"0-5",AC930&lt;=10,"5-10",AC930&lt;=40,"10-40")</f>
        <v>5-10</v>
      </c>
      <c r="AE930">
        <v>7</v>
      </c>
      <c r="AF930">
        <v>0</v>
      </c>
      <c r="AG930">
        <v>5</v>
      </c>
      <c r="AH930">
        <v>929</v>
      </c>
    </row>
    <row r="931" spans="1:34" x14ac:dyDescent="0.3">
      <c r="A931">
        <v>28</v>
      </c>
      <c r="B931" t="str" cm="1">
        <f t="array" ref="B931">_xlfn.IFS(A931&lt;=25,"18-25",A931&lt;=35,"26-35",A931&lt;=45,"36-45",A931&lt;=55,"46-55",A931&gt;55,"55+")</f>
        <v>26-35</v>
      </c>
      <c r="C931">
        <v>0</v>
      </c>
      <c r="D931" t="s">
        <v>47</v>
      </c>
      <c r="E931">
        <v>193</v>
      </c>
      <c r="F931" t="s">
        <v>48</v>
      </c>
      <c r="G931">
        <v>2</v>
      </c>
      <c r="H931" t="s">
        <v>61</v>
      </c>
      <c r="I931" t="s">
        <v>35</v>
      </c>
      <c r="J931" t="s">
        <v>41</v>
      </c>
      <c r="K931" t="s">
        <v>50</v>
      </c>
      <c r="L931">
        <v>52</v>
      </c>
      <c r="M931" t="s">
        <v>36</v>
      </c>
      <c r="N931" t="s">
        <v>56</v>
      </c>
      <c r="O931" t="s">
        <v>57</v>
      </c>
      <c r="P931" t="s">
        <v>41</v>
      </c>
      <c r="Q931" t="s">
        <v>52</v>
      </c>
      <c r="R931">
        <v>3867</v>
      </c>
      <c r="S931">
        <v>14222</v>
      </c>
      <c r="T931">
        <v>1</v>
      </c>
      <c r="U931" t="s">
        <v>31</v>
      </c>
      <c r="V931">
        <v>12</v>
      </c>
      <c r="W931" t="s">
        <v>43</v>
      </c>
      <c r="X931" t="s">
        <v>36</v>
      </c>
      <c r="Y931">
        <v>1</v>
      </c>
      <c r="Z931">
        <v>2</v>
      </c>
      <c r="AA931">
        <v>2</v>
      </c>
      <c r="AB931" t="s">
        <v>54</v>
      </c>
      <c r="AC931">
        <v>2</v>
      </c>
      <c r="AD931" t="str" cm="1">
        <f t="array" ref="AD931">_xlfn.IFS(AC931&lt;=5,"0-5",AC931&lt;=10,"5-10",AC931&lt;=40,"10-40")</f>
        <v>0-5</v>
      </c>
      <c r="AE931">
        <v>2</v>
      </c>
      <c r="AF931">
        <v>2</v>
      </c>
      <c r="AG931">
        <v>2</v>
      </c>
      <c r="AH931">
        <v>930</v>
      </c>
    </row>
    <row r="932" spans="1:34" x14ac:dyDescent="0.3">
      <c r="A932">
        <v>51</v>
      </c>
      <c r="B932" t="str" cm="1">
        <f t="array" ref="B932">_xlfn.IFS(A932&lt;=25,"18-25",A932&lt;=35,"26-35",A932&lt;=45,"36-45",A932&lt;=55,"46-55",A932&gt;55,"55+")</f>
        <v>46-55</v>
      </c>
      <c r="C932">
        <v>0</v>
      </c>
      <c r="D932" t="s">
        <v>47</v>
      </c>
      <c r="E932">
        <v>968</v>
      </c>
      <c r="F932" t="s">
        <v>48</v>
      </c>
      <c r="G932">
        <v>6</v>
      </c>
      <c r="H932" t="s">
        <v>34</v>
      </c>
      <c r="I932" t="s">
        <v>59</v>
      </c>
      <c r="J932" t="s">
        <v>36</v>
      </c>
      <c r="K932" t="s">
        <v>37</v>
      </c>
      <c r="L932">
        <v>40</v>
      </c>
      <c r="M932" t="s">
        <v>36</v>
      </c>
      <c r="N932" t="s">
        <v>56</v>
      </c>
      <c r="O932" t="s">
        <v>57</v>
      </c>
      <c r="P932" t="s">
        <v>38</v>
      </c>
      <c r="Q932" t="s">
        <v>42</v>
      </c>
      <c r="R932">
        <v>2838</v>
      </c>
      <c r="S932">
        <v>4257</v>
      </c>
      <c r="T932">
        <v>0</v>
      </c>
      <c r="U932" t="s">
        <v>46</v>
      </c>
      <c r="V932">
        <v>14</v>
      </c>
      <c r="W932" t="s">
        <v>43</v>
      </c>
      <c r="X932" t="s">
        <v>36</v>
      </c>
      <c r="Y932">
        <v>0</v>
      </c>
      <c r="Z932">
        <v>8</v>
      </c>
      <c r="AA932">
        <v>6</v>
      </c>
      <c r="AB932" t="s">
        <v>60</v>
      </c>
      <c r="AC932">
        <v>7</v>
      </c>
      <c r="AD932" t="str" cm="1">
        <f t="array" ref="AD932">_xlfn.IFS(AC932&lt;=5,"0-5",AC932&lt;=10,"5-10",AC932&lt;=40,"10-40")</f>
        <v>5-10</v>
      </c>
      <c r="AE932">
        <v>0</v>
      </c>
      <c r="AF932">
        <v>7</v>
      </c>
      <c r="AG932">
        <v>7</v>
      </c>
      <c r="AH932">
        <v>931</v>
      </c>
    </row>
    <row r="933" spans="1:34" x14ac:dyDescent="0.3">
      <c r="A933">
        <v>30</v>
      </c>
      <c r="B933" t="str" cm="1">
        <f t="array" ref="B933">_xlfn.IFS(A933&lt;=25,"18-25",A933&lt;=35,"26-35",A933&lt;=45,"36-45",A933&lt;=55,"46-55",A933&gt;55,"55+")</f>
        <v>26-35</v>
      </c>
      <c r="C933">
        <v>0</v>
      </c>
      <c r="D933" t="s">
        <v>66</v>
      </c>
      <c r="E933">
        <v>879</v>
      </c>
      <c r="F933" t="s">
        <v>48</v>
      </c>
      <c r="G933">
        <v>9</v>
      </c>
      <c r="H933" t="s">
        <v>34</v>
      </c>
      <c r="I933" t="s">
        <v>59</v>
      </c>
      <c r="J933" t="s">
        <v>38</v>
      </c>
      <c r="K933" t="s">
        <v>37</v>
      </c>
      <c r="L933">
        <v>72</v>
      </c>
      <c r="M933" t="s">
        <v>38</v>
      </c>
      <c r="N933" t="s">
        <v>39</v>
      </c>
      <c r="O933" t="s">
        <v>64</v>
      </c>
      <c r="P933" t="s">
        <v>38</v>
      </c>
      <c r="Q933" t="s">
        <v>42</v>
      </c>
      <c r="R933">
        <v>4695</v>
      </c>
      <c r="S933">
        <v>12858</v>
      </c>
      <c r="T933">
        <v>7</v>
      </c>
      <c r="U933" t="s">
        <v>31</v>
      </c>
      <c r="V933">
        <v>18</v>
      </c>
      <c r="W933" t="s">
        <v>43</v>
      </c>
      <c r="X933" t="s">
        <v>38</v>
      </c>
      <c r="Y933">
        <v>0</v>
      </c>
      <c r="Z933">
        <v>10</v>
      </c>
      <c r="AA933">
        <v>3</v>
      </c>
      <c r="AB933" t="s">
        <v>54</v>
      </c>
      <c r="AC933">
        <v>8</v>
      </c>
      <c r="AD933" t="str" cm="1">
        <f t="array" ref="AD933">_xlfn.IFS(AC933&lt;=5,"0-5",AC933&lt;=10,"5-10",AC933&lt;=40,"10-40")</f>
        <v>5-10</v>
      </c>
      <c r="AE933">
        <v>4</v>
      </c>
      <c r="AF933">
        <v>1</v>
      </c>
      <c r="AG933">
        <v>7</v>
      </c>
      <c r="AH933">
        <v>932</v>
      </c>
    </row>
    <row r="934" spans="1:34" x14ac:dyDescent="0.3">
      <c r="A934">
        <v>29</v>
      </c>
      <c r="B934" t="str" cm="1">
        <f t="array" ref="B934">_xlfn.IFS(A934&lt;=25,"18-25",A934&lt;=35,"26-35",A934&lt;=45,"36-45",A934&lt;=55,"46-55",A934&gt;55,"55+")</f>
        <v>26-35</v>
      </c>
      <c r="C934">
        <v>1</v>
      </c>
      <c r="D934" t="s">
        <v>32</v>
      </c>
      <c r="E934">
        <v>806</v>
      </c>
      <c r="F934" t="s">
        <v>48</v>
      </c>
      <c r="G934">
        <v>7</v>
      </c>
      <c r="H934" t="s">
        <v>61</v>
      </c>
      <c r="I934" t="s">
        <v>74</v>
      </c>
      <c r="J934" t="s">
        <v>36</v>
      </c>
      <c r="K934" t="s">
        <v>37</v>
      </c>
      <c r="L934">
        <v>39</v>
      </c>
      <c r="M934" t="s">
        <v>38</v>
      </c>
      <c r="N934" t="s">
        <v>56</v>
      </c>
      <c r="O934" t="s">
        <v>57</v>
      </c>
      <c r="P934" t="s">
        <v>38</v>
      </c>
      <c r="Q934" t="s">
        <v>62</v>
      </c>
      <c r="R934">
        <v>3339</v>
      </c>
      <c r="S934">
        <v>17285</v>
      </c>
      <c r="T934">
        <v>3</v>
      </c>
      <c r="U934" t="s">
        <v>31</v>
      </c>
      <c r="V934">
        <v>13</v>
      </c>
      <c r="W934" t="s">
        <v>43</v>
      </c>
      <c r="X934" t="s">
        <v>44</v>
      </c>
      <c r="Y934">
        <v>2</v>
      </c>
      <c r="Z934">
        <v>10</v>
      </c>
      <c r="AA934">
        <v>2</v>
      </c>
      <c r="AB934" t="s">
        <v>54</v>
      </c>
      <c r="AC934">
        <v>7</v>
      </c>
      <c r="AD934" t="str" cm="1">
        <f t="array" ref="AD934">_xlfn.IFS(AC934&lt;=5,"0-5",AC934&lt;=10,"5-10",AC934&lt;=40,"10-40")</f>
        <v>5-10</v>
      </c>
      <c r="AE934">
        <v>7</v>
      </c>
      <c r="AF934">
        <v>7</v>
      </c>
      <c r="AG934">
        <v>7</v>
      </c>
      <c r="AH934">
        <v>933</v>
      </c>
    </row>
    <row r="935" spans="1:34" x14ac:dyDescent="0.3">
      <c r="A935">
        <v>28</v>
      </c>
      <c r="B935" t="str" cm="1">
        <f t="array" ref="B935">_xlfn.IFS(A935&lt;=25,"18-25",A935&lt;=35,"26-35",A935&lt;=45,"36-45",A935&lt;=55,"46-55",A935&gt;55,"55+")</f>
        <v>26-35</v>
      </c>
      <c r="C935">
        <v>0</v>
      </c>
      <c r="D935" t="s">
        <v>32</v>
      </c>
      <c r="E935">
        <v>640</v>
      </c>
      <c r="F935" t="s">
        <v>48</v>
      </c>
      <c r="G935">
        <v>1</v>
      </c>
      <c r="H935" t="s">
        <v>61</v>
      </c>
      <c r="I935" t="s">
        <v>74</v>
      </c>
      <c r="J935" t="s">
        <v>41</v>
      </c>
      <c r="K935" t="s">
        <v>50</v>
      </c>
      <c r="L935">
        <v>84</v>
      </c>
      <c r="M935" t="s">
        <v>38</v>
      </c>
      <c r="N935" t="s">
        <v>56</v>
      </c>
      <c r="O935" t="s">
        <v>51</v>
      </c>
      <c r="P935" t="s">
        <v>44</v>
      </c>
      <c r="Q935" t="s">
        <v>42</v>
      </c>
      <c r="R935">
        <v>2080</v>
      </c>
      <c r="S935">
        <v>4732</v>
      </c>
      <c r="T935">
        <v>2</v>
      </c>
      <c r="U935" t="s">
        <v>46</v>
      </c>
      <c r="V935">
        <v>11</v>
      </c>
      <c r="W935" t="s">
        <v>43</v>
      </c>
      <c r="X935" t="s">
        <v>36</v>
      </c>
      <c r="Y935">
        <v>0</v>
      </c>
      <c r="Z935">
        <v>5</v>
      </c>
      <c r="AA935">
        <v>2</v>
      </c>
      <c r="AB935" t="s">
        <v>60</v>
      </c>
      <c r="AC935">
        <v>3</v>
      </c>
      <c r="AD935" t="str" cm="1">
        <f t="array" ref="AD935">_xlfn.IFS(AC935&lt;=5,"0-5",AC935&lt;=10,"5-10",AC935&lt;=40,"10-40")</f>
        <v>0-5</v>
      </c>
      <c r="AE935">
        <v>2</v>
      </c>
      <c r="AF935">
        <v>1</v>
      </c>
      <c r="AG935">
        <v>2</v>
      </c>
      <c r="AH935">
        <v>934</v>
      </c>
    </row>
    <row r="936" spans="1:34" x14ac:dyDescent="0.3">
      <c r="A936">
        <v>25</v>
      </c>
      <c r="B936" t="str" cm="1">
        <f t="array" ref="B936">_xlfn.IFS(A936&lt;=25,"18-25",A936&lt;=35,"26-35",A936&lt;=45,"36-45",A936&lt;=55,"46-55",A936&gt;55,"55+")</f>
        <v>18-25</v>
      </c>
      <c r="C936">
        <v>0</v>
      </c>
      <c r="D936" t="s">
        <v>32</v>
      </c>
      <c r="E936">
        <v>266</v>
      </c>
      <c r="F936" t="s">
        <v>48</v>
      </c>
      <c r="G936">
        <v>1</v>
      </c>
      <c r="H936" t="s">
        <v>61</v>
      </c>
      <c r="I936" t="s">
        <v>59</v>
      </c>
      <c r="J936" t="s">
        <v>41</v>
      </c>
      <c r="K936" t="s">
        <v>37</v>
      </c>
      <c r="L936">
        <v>40</v>
      </c>
      <c r="M936" t="s">
        <v>38</v>
      </c>
      <c r="N936" t="s">
        <v>56</v>
      </c>
      <c r="O936" t="s">
        <v>51</v>
      </c>
      <c r="P936" t="s">
        <v>36</v>
      </c>
      <c r="Q936" t="s">
        <v>42</v>
      </c>
      <c r="R936">
        <v>2096</v>
      </c>
      <c r="S936">
        <v>18830</v>
      </c>
      <c r="T936">
        <v>1</v>
      </c>
      <c r="U936" t="s">
        <v>46</v>
      </c>
      <c r="V936">
        <v>18</v>
      </c>
      <c r="W936" t="s">
        <v>43</v>
      </c>
      <c r="X936" t="s">
        <v>41</v>
      </c>
      <c r="Y936">
        <v>0</v>
      </c>
      <c r="Z936">
        <v>2</v>
      </c>
      <c r="AA936">
        <v>3</v>
      </c>
      <c r="AB936" t="s">
        <v>60</v>
      </c>
      <c r="AC936">
        <v>2</v>
      </c>
      <c r="AD936" t="str" cm="1">
        <f t="array" ref="AD936">_xlfn.IFS(AC936&lt;=5,"0-5",AC936&lt;=10,"5-10",AC936&lt;=40,"10-40")</f>
        <v>0-5</v>
      </c>
      <c r="AE936">
        <v>2</v>
      </c>
      <c r="AF936">
        <v>2</v>
      </c>
      <c r="AG936">
        <v>1</v>
      </c>
      <c r="AH936">
        <v>935</v>
      </c>
    </row>
    <row r="937" spans="1:34" x14ac:dyDescent="0.3">
      <c r="A937">
        <v>32</v>
      </c>
      <c r="B937" t="str" cm="1">
        <f t="array" ref="B937">_xlfn.IFS(A937&lt;=25,"18-25",A937&lt;=35,"26-35",A937&lt;=45,"36-45",A937&lt;=55,"46-55",A937&gt;55,"55+")</f>
        <v>26-35</v>
      </c>
      <c r="C937">
        <v>0</v>
      </c>
      <c r="D937" t="s">
        <v>32</v>
      </c>
      <c r="E937">
        <v>604</v>
      </c>
      <c r="F937" t="s">
        <v>33</v>
      </c>
      <c r="G937">
        <v>8</v>
      </c>
      <c r="H937" t="s">
        <v>61</v>
      </c>
      <c r="I937" t="s">
        <v>59</v>
      </c>
      <c r="J937" t="s">
        <v>38</v>
      </c>
      <c r="K937" t="s">
        <v>50</v>
      </c>
      <c r="L937">
        <v>56</v>
      </c>
      <c r="M937" t="s">
        <v>41</v>
      </c>
      <c r="N937" t="s">
        <v>39</v>
      </c>
      <c r="O937" t="s">
        <v>40</v>
      </c>
      <c r="P937" t="s">
        <v>41</v>
      </c>
      <c r="Q937" t="s">
        <v>52</v>
      </c>
      <c r="R937">
        <v>6209</v>
      </c>
      <c r="S937">
        <v>11693</v>
      </c>
      <c r="T937">
        <v>1</v>
      </c>
      <c r="U937" t="s">
        <v>46</v>
      </c>
      <c r="V937">
        <v>15</v>
      </c>
      <c r="W937" t="s">
        <v>43</v>
      </c>
      <c r="X937" t="s">
        <v>38</v>
      </c>
      <c r="Y937">
        <v>2</v>
      </c>
      <c r="Z937">
        <v>10</v>
      </c>
      <c r="AA937">
        <v>4</v>
      </c>
      <c r="AB937" t="s">
        <v>73</v>
      </c>
      <c r="AC937">
        <v>10</v>
      </c>
      <c r="AD937" t="str" cm="1">
        <f t="array" ref="AD937">_xlfn.IFS(AC937&lt;=5,"0-5",AC937&lt;=10,"5-10",AC937&lt;=40,"10-40")</f>
        <v>5-10</v>
      </c>
      <c r="AE937">
        <v>7</v>
      </c>
      <c r="AF937">
        <v>0</v>
      </c>
      <c r="AG937">
        <v>8</v>
      </c>
      <c r="AH937">
        <v>936</v>
      </c>
    </row>
    <row r="938" spans="1:34" x14ac:dyDescent="0.3">
      <c r="A938">
        <v>45</v>
      </c>
      <c r="B938" t="str" cm="1">
        <f t="array" ref="B938">_xlfn.IFS(A938&lt;=25,"18-25",A938&lt;=35,"26-35",A938&lt;=45,"36-45",A938&lt;=55,"46-55",A938&gt;55,"55+")</f>
        <v>36-45</v>
      </c>
      <c r="C938">
        <v>0</v>
      </c>
      <c r="D938" t="s">
        <v>47</v>
      </c>
      <c r="E938">
        <v>364</v>
      </c>
      <c r="F938" t="s">
        <v>48</v>
      </c>
      <c r="G938">
        <v>25</v>
      </c>
      <c r="H938" t="s">
        <v>61</v>
      </c>
      <c r="I938" t="s">
        <v>59</v>
      </c>
      <c r="J938" t="s">
        <v>36</v>
      </c>
      <c r="K938" t="s">
        <v>37</v>
      </c>
      <c r="L938">
        <v>83</v>
      </c>
      <c r="M938" t="s">
        <v>38</v>
      </c>
      <c r="N938" t="s">
        <v>71</v>
      </c>
      <c r="O938" t="s">
        <v>68</v>
      </c>
      <c r="P938" t="s">
        <v>36</v>
      </c>
      <c r="Q938" t="s">
        <v>42</v>
      </c>
      <c r="R938">
        <v>18061</v>
      </c>
      <c r="S938">
        <v>13035</v>
      </c>
      <c r="T938">
        <v>3</v>
      </c>
      <c r="U938" t="s">
        <v>46</v>
      </c>
      <c r="V938">
        <v>22</v>
      </c>
      <c r="W938" t="s">
        <v>53</v>
      </c>
      <c r="X938" t="s">
        <v>38</v>
      </c>
      <c r="Y938">
        <v>0</v>
      </c>
      <c r="Z938">
        <v>22</v>
      </c>
      <c r="AA938">
        <v>4</v>
      </c>
      <c r="AB938" t="s">
        <v>54</v>
      </c>
      <c r="AC938">
        <v>0</v>
      </c>
      <c r="AD938" t="str" cm="1">
        <f t="array" ref="AD938">_xlfn.IFS(AC938&lt;=5,"0-5",AC938&lt;=10,"5-10",AC938&lt;=40,"10-40")</f>
        <v>0-5</v>
      </c>
      <c r="AE938">
        <v>0</v>
      </c>
      <c r="AF938">
        <v>0</v>
      </c>
      <c r="AG938">
        <v>0</v>
      </c>
      <c r="AH938">
        <v>937</v>
      </c>
    </row>
    <row r="939" spans="1:34" x14ac:dyDescent="0.3">
      <c r="A939">
        <v>39</v>
      </c>
      <c r="B939" t="str" cm="1">
        <f t="array" ref="B939">_xlfn.IFS(A939&lt;=25,"18-25",A939&lt;=35,"26-35",A939&lt;=45,"36-45",A939&lt;=55,"46-55",A939&gt;55,"55+")</f>
        <v>36-45</v>
      </c>
      <c r="C939">
        <v>0</v>
      </c>
      <c r="D939" t="s">
        <v>32</v>
      </c>
      <c r="E939">
        <v>412</v>
      </c>
      <c r="F939" t="s">
        <v>48</v>
      </c>
      <c r="G939">
        <v>13</v>
      </c>
      <c r="H939" t="s">
        <v>58</v>
      </c>
      <c r="I939" t="s">
        <v>59</v>
      </c>
      <c r="J939" t="s">
        <v>38</v>
      </c>
      <c r="K939" t="s">
        <v>37</v>
      </c>
      <c r="L939">
        <v>94</v>
      </c>
      <c r="M939" t="s">
        <v>36</v>
      </c>
      <c r="N939" t="s">
        <v>67</v>
      </c>
      <c r="O939" t="s">
        <v>68</v>
      </c>
      <c r="P939" t="s">
        <v>36</v>
      </c>
      <c r="Q939" t="s">
        <v>62</v>
      </c>
      <c r="R939">
        <v>17123</v>
      </c>
      <c r="S939">
        <v>17334</v>
      </c>
      <c r="T939">
        <v>6</v>
      </c>
      <c r="U939" t="s">
        <v>31</v>
      </c>
      <c r="V939">
        <v>13</v>
      </c>
      <c r="W939" t="s">
        <v>43</v>
      </c>
      <c r="X939" t="s">
        <v>41</v>
      </c>
      <c r="Y939">
        <v>2</v>
      </c>
      <c r="Z939">
        <v>21</v>
      </c>
      <c r="AA939">
        <v>4</v>
      </c>
      <c r="AB939" t="s">
        <v>54</v>
      </c>
      <c r="AC939">
        <v>19</v>
      </c>
      <c r="AD939" t="str" cm="1">
        <f t="array" ref="AD939">_xlfn.IFS(AC939&lt;=5,"0-5",AC939&lt;=10,"5-10",AC939&lt;=40,"10-40")</f>
        <v>10-40</v>
      </c>
      <c r="AE939">
        <v>9</v>
      </c>
      <c r="AF939">
        <v>15</v>
      </c>
      <c r="AG939">
        <v>2</v>
      </c>
      <c r="AH939">
        <v>938</v>
      </c>
    </row>
    <row r="940" spans="1:34" x14ac:dyDescent="0.3">
      <c r="A940">
        <v>58</v>
      </c>
      <c r="B940" t="str" cm="1">
        <f t="array" ref="B940">_xlfn.IFS(A940&lt;=25,"18-25",A940&lt;=35,"26-35",A940&lt;=45,"36-45",A940&lt;=55,"46-55",A940&gt;55,"55+")</f>
        <v>55+</v>
      </c>
      <c r="C940">
        <v>0</v>
      </c>
      <c r="D940" t="s">
        <v>32</v>
      </c>
      <c r="E940">
        <v>848</v>
      </c>
      <c r="F940" t="s">
        <v>48</v>
      </c>
      <c r="G940">
        <v>23</v>
      </c>
      <c r="H940" t="s">
        <v>58</v>
      </c>
      <c r="I940" t="s">
        <v>35</v>
      </c>
      <c r="J940" t="s">
        <v>44</v>
      </c>
      <c r="K940" t="s">
        <v>50</v>
      </c>
      <c r="L940">
        <v>88</v>
      </c>
      <c r="M940" t="s">
        <v>38</v>
      </c>
      <c r="N940" t="s">
        <v>56</v>
      </c>
      <c r="O940" t="s">
        <v>51</v>
      </c>
      <c r="P940" t="s">
        <v>38</v>
      </c>
      <c r="Q940" t="s">
        <v>62</v>
      </c>
      <c r="R940">
        <v>2372</v>
      </c>
      <c r="S940">
        <v>26076</v>
      </c>
      <c r="T940">
        <v>1</v>
      </c>
      <c r="U940" t="s">
        <v>46</v>
      </c>
      <c r="V940">
        <v>12</v>
      </c>
      <c r="W940" t="s">
        <v>43</v>
      </c>
      <c r="X940" t="s">
        <v>41</v>
      </c>
      <c r="Y940">
        <v>2</v>
      </c>
      <c r="Z940">
        <v>2</v>
      </c>
      <c r="AA940">
        <v>3</v>
      </c>
      <c r="AB940" t="s">
        <v>54</v>
      </c>
      <c r="AC940">
        <v>2</v>
      </c>
      <c r="AD940" t="str" cm="1">
        <f t="array" ref="AD940">_xlfn.IFS(AC940&lt;=5,"0-5",AC940&lt;=10,"5-10",AC940&lt;=40,"10-40")</f>
        <v>0-5</v>
      </c>
      <c r="AE940">
        <v>2</v>
      </c>
      <c r="AF940">
        <v>2</v>
      </c>
      <c r="AG940">
        <v>2</v>
      </c>
      <c r="AH940">
        <v>939</v>
      </c>
    </row>
    <row r="941" spans="1:34" x14ac:dyDescent="0.3">
      <c r="A941">
        <v>32</v>
      </c>
      <c r="B941" t="str" cm="1">
        <f t="array" ref="B941">_xlfn.IFS(A941&lt;=25,"18-25",A941&lt;=35,"26-35",A941&lt;=45,"36-45",A941&lt;=55,"46-55",A941&gt;55,"55+")</f>
        <v>26-35</v>
      </c>
      <c r="C941">
        <v>1</v>
      </c>
      <c r="D941" t="s">
        <v>32</v>
      </c>
      <c r="E941">
        <v>1089</v>
      </c>
      <c r="F941" t="s">
        <v>48</v>
      </c>
      <c r="G941">
        <v>7</v>
      </c>
      <c r="H941" t="s">
        <v>34</v>
      </c>
      <c r="I941" t="s">
        <v>35</v>
      </c>
      <c r="J941" t="s">
        <v>41</v>
      </c>
      <c r="K941" t="s">
        <v>50</v>
      </c>
      <c r="L941">
        <v>79</v>
      </c>
      <c r="M941" t="s">
        <v>38</v>
      </c>
      <c r="N941" t="s">
        <v>39</v>
      </c>
      <c r="O941" t="s">
        <v>57</v>
      </c>
      <c r="P941" t="s">
        <v>38</v>
      </c>
      <c r="Q941" t="s">
        <v>52</v>
      </c>
      <c r="R941">
        <v>4883</v>
      </c>
      <c r="S941">
        <v>22845</v>
      </c>
      <c r="T941">
        <v>1</v>
      </c>
      <c r="U941" t="s">
        <v>46</v>
      </c>
      <c r="V941">
        <v>18</v>
      </c>
      <c r="W941" t="s">
        <v>43</v>
      </c>
      <c r="X941" t="s">
        <v>44</v>
      </c>
      <c r="Y941">
        <v>1</v>
      </c>
      <c r="Z941">
        <v>10</v>
      </c>
      <c r="AA941">
        <v>3</v>
      </c>
      <c r="AB941" t="s">
        <v>54</v>
      </c>
      <c r="AC941">
        <v>10</v>
      </c>
      <c r="AD941" t="str" cm="1">
        <f t="array" ref="AD941">_xlfn.IFS(AC941&lt;=5,"0-5",AC941&lt;=10,"5-10",AC941&lt;=40,"10-40")</f>
        <v>5-10</v>
      </c>
      <c r="AE941">
        <v>4</v>
      </c>
      <c r="AF941">
        <v>1</v>
      </c>
      <c r="AG941">
        <v>1</v>
      </c>
      <c r="AH941">
        <v>940</v>
      </c>
    </row>
    <row r="942" spans="1:34" x14ac:dyDescent="0.3">
      <c r="A942">
        <v>39</v>
      </c>
      <c r="B942" t="str" cm="1">
        <f t="array" ref="B942">_xlfn.IFS(A942&lt;=25,"18-25",A942&lt;=35,"26-35",A942&lt;=45,"36-45",A942&lt;=55,"46-55",A942&gt;55,"55+")</f>
        <v>36-45</v>
      </c>
      <c r="C942">
        <v>1</v>
      </c>
      <c r="D942" t="s">
        <v>32</v>
      </c>
      <c r="E942">
        <v>360</v>
      </c>
      <c r="F942" t="s">
        <v>48</v>
      </c>
      <c r="G942">
        <v>23</v>
      </c>
      <c r="H942" t="s">
        <v>61</v>
      </c>
      <c r="I942" t="s">
        <v>59</v>
      </c>
      <c r="J942" t="s">
        <v>38</v>
      </c>
      <c r="K942" t="s">
        <v>50</v>
      </c>
      <c r="L942">
        <v>93</v>
      </c>
      <c r="M942" t="s">
        <v>38</v>
      </c>
      <c r="N942" t="s">
        <v>56</v>
      </c>
      <c r="O942" t="s">
        <v>51</v>
      </c>
      <c r="P942" t="s">
        <v>44</v>
      </c>
      <c r="Q942" t="s">
        <v>42</v>
      </c>
      <c r="R942">
        <v>3904</v>
      </c>
      <c r="S942">
        <v>22154</v>
      </c>
      <c r="T942">
        <v>0</v>
      </c>
      <c r="U942" t="s">
        <v>46</v>
      </c>
      <c r="V942">
        <v>13</v>
      </c>
      <c r="W942" t="s">
        <v>43</v>
      </c>
      <c r="X942" t="s">
        <v>44</v>
      </c>
      <c r="Y942">
        <v>0</v>
      </c>
      <c r="Z942">
        <v>6</v>
      </c>
      <c r="AA942">
        <v>2</v>
      </c>
      <c r="AB942" t="s">
        <v>54</v>
      </c>
      <c r="AC942">
        <v>5</v>
      </c>
      <c r="AD942" t="str" cm="1">
        <f t="array" ref="AD942">_xlfn.IFS(AC942&lt;=5,"0-5",AC942&lt;=10,"5-10",AC942&lt;=40,"10-40")</f>
        <v>0-5</v>
      </c>
      <c r="AE942">
        <v>2</v>
      </c>
      <c r="AF942">
        <v>0</v>
      </c>
      <c r="AG942">
        <v>3</v>
      </c>
      <c r="AH942">
        <v>941</v>
      </c>
    </row>
    <row r="943" spans="1:34" x14ac:dyDescent="0.3">
      <c r="A943">
        <v>30</v>
      </c>
      <c r="B943" t="str" cm="1">
        <f t="array" ref="B943">_xlfn.IFS(A943&lt;=25,"18-25",A943&lt;=35,"26-35",A943&lt;=45,"36-45",A943&lt;=55,"46-55",A943&gt;55,"55+")</f>
        <v>26-35</v>
      </c>
      <c r="C943">
        <v>0</v>
      </c>
      <c r="D943" t="s">
        <v>32</v>
      </c>
      <c r="E943">
        <v>1138</v>
      </c>
      <c r="F943" t="s">
        <v>48</v>
      </c>
      <c r="G943">
        <v>6</v>
      </c>
      <c r="H943" t="s">
        <v>61</v>
      </c>
      <c r="I943" t="s">
        <v>74</v>
      </c>
      <c r="J943" t="s">
        <v>44</v>
      </c>
      <c r="K943" t="s">
        <v>37</v>
      </c>
      <c r="L943">
        <v>48</v>
      </c>
      <c r="M943" t="s">
        <v>36</v>
      </c>
      <c r="N943" t="s">
        <v>39</v>
      </c>
      <c r="O943" t="s">
        <v>57</v>
      </c>
      <c r="P943" t="s">
        <v>41</v>
      </c>
      <c r="Q943" t="s">
        <v>52</v>
      </c>
      <c r="R943">
        <v>4627</v>
      </c>
      <c r="S943">
        <v>23631</v>
      </c>
      <c r="T943">
        <v>0</v>
      </c>
      <c r="U943" t="s">
        <v>46</v>
      </c>
      <c r="V943">
        <v>12</v>
      </c>
      <c r="W943" t="s">
        <v>43</v>
      </c>
      <c r="X943" t="s">
        <v>44</v>
      </c>
      <c r="Y943">
        <v>1</v>
      </c>
      <c r="Z943">
        <v>10</v>
      </c>
      <c r="AA943">
        <v>6</v>
      </c>
      <c r="AB943" t="s">
        <v>54</v>
      </c>
      <c r="AC943">
        <v>9</v>
      </c>
      <c r="AD943" t="str" cm="1">
        <f t="array" ref="AD943">_xlfn.IFS(AC943&lt;=5,"0-5",AC943&lt;=10,"5-10",AC943&lt;=40,"10-40")</f>
        <v>5-10</v>
      </c>
      <c r="AE943">
        <v>2</v>
      </c>
      <c r="AF943">
        <v>6</v>
      </c>
      <c r="AG943">
        <v>7</v>
      </c>
      <c r="AH943">
        <v>942</v>
      </c>
    </row>
    <row r="944" spans="1:34" x14ac:dyDescent="0.3">
      <c r="A944">
        <v>36</v>
      </c>
      <c r="B944" t="str" cm="1">
        <f t="array" ref="B944">_xlfn.IFS(A944&lt;=25,"18-25",A944&lt;=35,"26-35",A944&lt;=45,"36-45",A944&lt;=55,"46-55",A944&gt;55,"55+")</f>
        <v>36-45</v>
      </c>
      <c r="C944">
        <v>0</v>
      </c>
      <c r="D944" t="s">
        <v>32</v>
      </c>
      <c r="E944">
        <v>325</v>
      </c>
      <c r="F944" t="s">
        <v>48</v>
      </c>
      <c r="G944">
        <v>10</v>
      </c>
      <c r="H944" t="s">
        <v>58</v>
      </c>
      <c r="I944" t="s">
        <v>74</v>
      </c>
      <c r="J944" t="s">
        <v>41</v>
      </c>
      <c r="K944" t="s">
        <v>37</v>
      </c>
      <c r="L944">
        <v>63</v>
      </c>
      <c r="M944" t="s">
        <v>38</v>
      </c>
      <c r="N944" t="s">
        <v>63</v>
      </c>
      <c r="O944" t="s">
        <v>65</v>
      </c>
      <c r="P944" t="s">
        <v>38</v>
      </c>
      <c r="Q944" t="s">
        <v>52</v>
      </c>
      <c r="R944">
        <v>7094</v>
      </c>
      <c r="S944">
        <v>5747</v>
      </c>
      <c r="T944">
        <v>3</v>
      </c>
      <c r="U944" t="s">
        <v>46</v>
      </c>
      <c r="V944">
        <v>12</v>
      </c>
      <c r="W944" t="s">
        <v>43</v>
      </c>
      <c r="X944" t="s">
        <v>44</v>
      </c>
      <c r="Y944">
        <v>0</v>
      </c>
      <c r="Z944">
        <v>10</v>
      </c>
      <c r="AA944">
        <v>0</v>
      </c>
      <c r="AB944" t="s">
        <v>54</v>
      </c>
      <c r="AC944">
        <v>7</v>
      </c>
      <c r="AD944" t="str" cm="1">
        <f t="array" ref="AD944">_xlfn.IFS(AC944&lt;=5,"0-5",AC944&lt;=10,"5-10",AC944&lt;=40,"10-40")</f>
        <v>5-10</v>
      </c>
      <c r="AE944">
        <v>7</v>
      </c>
      <c r="AF944">
        <v>1</v>
      </c>
      <c r="AG944">
        <v>7</v>
      </c>
      <c r="AH944">
        <v>943</v>
      </c>
    </row>
    <row r="945" spans="1:34" x14ac:dyDescent="0.3">
      <c r="A945">
        <v>46</v>
      </c>
      <c r="B945" t="str" cm="1">
        <f t="array" ref="B945">_xlfn.IFS(A945&lt;=25,"18-25",A945&lt;=35,"26-35",A945&lt;=45,"36-45",A945&lt;=55,"46-55",A945&gt;55,"55+")</f>
        <v>46-55</v>
      </c>
      <c r="C945">
        <v>0</v>
      </c>
      <c r="D945" t="s">
        <v>32</v>
      </c>
      <c r="E945">
        <v>991</v>
      </c>
      <c r="F945" t="s">
        <v>76</v>
      </c>
      <c r="G945">
        <v>1</v>
      </c>
      <c r="H945" t="s">
        <v>34</v>
      </c>
      <c r="I945" t="s">
        <v>35</v>
      </c>
      <c r="J945" t="s">
        <v>41</v>
      </c>
      <c r="K945" t="s">
        <v>37</v>
      </c>
      <c r="L945">
        <v>44</v>
      </c>
      <c r="M945" t="s">
        <v>38</v>
      </c>
      <c r="N945" t="s">
        <v>56</v>
      </c>
      <c r="O945" t="s">
        <v>76</v>
      </c>
      <c r="P945" t="s">
        <v>44</v>
      </c>
      <c r="Q945" t="s">
        <v>42</v>
      </c>
      <c r="R945">
        <v>3423</v>
      </c>
      <c r="S945">
        <v>22957</v>
      </c>
      <c r="T945">
        <v>6</v>
      </c>
      <c r="U945" t="s">
        <v>46</v>
      </c>
      <c r="V945">
        <v>12</v>
      </c>
      <c r="W945" t="s">
        <v>43</v>
      </c>
      <c r="X945" t="s">
        <v>38</v>
      </c>
      <c r="Y945">
        <v>0</v>
      </c>
      <c r="Z945">
        <v>10</v>
      </c>
      <c r="AA945">
        <v>3</v>
      </c>
      <c r="AB945" t="s">
        <v>73</v>
      </c>
      <c r="AC945">
        <v>7</v>
      </c>
      <c r="AD945" t="str" cm="1">
        <f t="array" ref="AD945">_xlfn.IFS(AC945&lt;=5,"0-5",AC945&lt;=10,"5-10",AC945&lt;=40,"10-40")</f>
        <v>5-10</v>
      </c>
      <c r="AE945">
        <v>6</v>
      </c>
      <c r="AF945">
        <v>5</v>
      </c>
      <c r="AG945">
        <v>7</v>
      </c>
      <c r="AH945">
        <v>944</v>
      </c>
    </row>
    <row r="946" spans="1:34" x14ac:dyDescent="0.3">
      <c r="A946">
        <v>28</v>
      </c>
      <c r="B946" t="str" cm="1">
        <f t="array" ref="B946">_xlfn.IFS(A946&lt;=25,"18-25",A946&lt;=35,"26-35",A946&lt;=45,"36-45",A946&lt;=55,"46-55",A946&gt;55,"55+")</f>
        <v>26-35</v>
      </c>
      <c r="C946">
        <v>0</v>
      </c>
      <c r="D946" t="s">
        <v>66</v>
      </c>
      <c r="E946">
        <v>1476</v>
      </c>
      <c r="F946" t="s">
        <v>48</v>
      </c>
      <c r="G946">
        <v>1</v>
      </c>
      <c r="H946" t="s">
        <v>61</v>
      </c>
      <c r="I946" t="s">
        <v>35</v>
      </c>
      <c r="J946" t="s">
        <v>38</v>
      </c>
      <c r="K946" t="s">
        <v>37</v>
      </c>
      <c r="L946">
        <v>55</v>
      </c>
      <c r="M946" t="s">
        <v>44</v>
      </c>
      <c r="N946" t="s">
        <v>39</v>
      </c>
      <c r="O946" t="s">
        <v>57</v>
      </c>
      <c r="P946" t="s">
        <v>41</v>
      </c>
      <c r="Q946" t="s">
        <v>52</v>
      </c>
      <c r="R946">
        <v>6674</v>
      </c>
      <c r="S946">
        <v>16392</v>
      </c>
      <c r="T946">
        <v>0</v>
      </c>
      <c r="U946" t="s">
        <v>46</v>
      </c>
      <c r="V946">
        <v>11</v>
      </c>
      <c r="W946" t="s">
        <v>43</v>
      </c>
      <c r="X946" t="s">
        <v>44</v>
      </c>
      <c r="Y946">
        <v>3</v>
      </c>
      <c r="Z946">
        <v>10</v>
      </c>
      <c r="AA946">
        <v>6</v>
      </c>
      <c r="AB946" t="s">
        <v>54</v>
      </c>
      <c r="AC946">
        <v>9</v>
      </c>
      <c r="AD946" t="str" cm="1">
        <f t="array" ref="AD946">_xlfn.IFS(AC946&lt;=5,"0-5",AC946&lt;=10,"5-10",AC946&lt;=40,"10-40")</f>
        <v>5-10</v>
      </c>
      <c r="AE946">
        <v>8</v>
      </c>
      <c r="AF946">
        <v>7</v>
      </c>
      <c r="AG946">
        <v>5</v>
      </c>
      <c r="AH946">
        <v>945</v>
      </c>
    </row>
    <row r="947" spans="1:34" x14ac:dyDescent="0.3">
      <c r="A947">
        <v>50</v>
      </c>
      <c r="B947" t="str" cm="1">
        <f t="array" ref="B947">_xlfn.IFS(A947&lt;=25,"18-25",A947&lt;=35,"26-35",A947&lt;=45,"36-45",A947&lt;=55,"46-55",A947&gt;55,"55+")</f>
        <v>46-55</v>
      </c>
      <c r="C947">
        <v>0</v>
      </c>
      <c r="D947" t="s">
        <v>32</v>
      </c>
      <c r="E947">
        <v>1322</v>
      </c>
      <c r="F947" t="s">
        <v>48</v>
      </c>
      <c r="G947">
        <v>28</v>
      </c>
      <c r="H947" t="s">
        <v>61</v>
      </c>
      <c r="I947" t="s">
        <v>35</v>
      </c>
      <c r="J947" t="s">
        <v>41</v>
      </c>
      <c r="K947" t="s">
        <v>37</v>
      </c>
      <c r="L947">
        <v>43</v>
      </c>
      <c r="M947" t="s">
        <v>38</v>
      </c>
      <c r="N947" t="s">
        <v>67</v>
      </c>
      <c r="O947" t="s">
        <v>70</v>
      </c>
      <c r="P947" t="s">
        <v>44</v>
      </c>
      <c r="Q947" t="s">
        <v>52</v>
      </c>
      <c r="R947">
        <v>16880</v>
      </c>
      <c r="S947">
        <v>22422</v>
      </c>
      <c r="T947">
        <v>4</v>
      </c>
      <c r="U947" t="s">
        <v>31</v>
      </c>
      <c r="V947">
        <v>11</v>
      </c>
      <c r="W947" t="s">
        <v>43</v>
      </c>
      <c r="X947" t="s">
        <v>36</v>
      </c>
      <c r="Y947">
        <v>0</v>
      </c>
      <c r="Z947">
        <v>25</v>
      </c>
      <c r="AA947">
        <v>2</v>
      </c>
      <c r="AB947" t="s">
        <v>54</v>
      </c>
      <c r="AC947">
        <v>3</v>
      </c>
      <c r="AD947" t="str" cm="1">
        <f t="array" ref="AD947">_xlfn.IFS(AC947&lt;=5,"0-5",AC947&lt;=10,"5-10",AC947&lt;=40,"10-40")</f>
        <v>0-5</v>
      </c>
      <c r="AE947">
        <v>2</v>
      </c>
      <c r="AF947">
        <v>1</v>
      </c>
      <c r="AG947">
        <v>2</v>
      </c>
      <c r="AH947">
        <v>946</v>
      </c>
    </row>
    <row r="948" spans="1:34" x14ac:dyDescent="0.3">
      <c r="A948">
        <v>40</v>
      </c>
      <c r="B948" t="str" cm="1">
        <f t="array" ref="B948">_xlfn.IFS(A948&lt;=25,"18-25",A948&lt;=35,"26-35",A948&lt;=45,"36-45",A948&lt;=55,"46-55",A948&gt;55,"55+")</f>
        <v>36-45</v>
      </c>
      <c r="C948">
        <v>1</v>
      </c>
      <c r="D948" t="s">
        <v>32</v>
      </c>
      <c r="E948">
        <v>299</v>
      </c>
      <c r="F948" t="s">
        <v>33</v>
      </c>
      <c r="G948">
        <v>25</v>
      </c>
      <c r="H948" t="s">
        <v>58</v>
      </c>
      <c r="I948" t="s">
        <v>72</v>
      </c>
      <c r="J948" t="s">
        <v>41</v>
      </c>
      <c r="K948" t="s">
        <v>50</v>
      </c>
      <c r="L948">
        <v>57</v>
      </c>
      <c r="M948" t="s">
        <v>36</v>
      </c>
      <c r="N948" t="s">
        <v>63</v>
      </c>
      <c r="O948" t="s">
        <v>40</v>
      </c>
      <c r="P948" t="s">
        <v>36</v>
      </c>
      <c r="Q948" t="s">
        <v>42</v>
      </c>
      <c r="R948">
        <v>9094</v>
      </c>
      <c r="S948">
        <v>17235</v>
      </c>
      <c r="T948">
        <v>2</v>
      </c>
      <c r="U948" t="s">
        <v>31</v>
      </c>
      <c r="V948">
        <v>12</v>
      </c>
      <c r="W948" t="s">
        <v>43</v>
      </c>
      <c r="X948" t="s">
        <v>38</v>
      </c>
      <c r="Y948">
        <v>0</v>
      </c>
      <c r="Z948">
        <v>9</v>
      </c>
      <c r="AA948">
        <v>2</v>
      </c>
      <c r="AB948" t="s">
        <v>54</v>
      </c>
      <c r="AC948">
        <v>5</v>
      </c>
      <c r="AD948" t="str" cm="1">
        <f t="array" ref="AD948">_xlfn.IFS(AC948&lt;=5,"0-5",AC948&lt;=10,"5-10",AC948&lt;=40,"10-40")</f>
        <v>0-5</v>
      </c>
      <c r="AE948">
        <v>4</v>
      </c>
      <c r="AF948">
        <v>1</v>
      </c>
      <c r="AG948">
        <v>0</v>
      </c>
      <c r="AH948">
        <v>947</v>
      </c>
    </row>
    <row r="949" spans="1:34" x14ac:dyDescent="0.3">
      <c r="A949">
        <v>52</v>
      </c>
      <c r="B949" t="str" cm="1">
        <f t="array" ref="B949">_xlfn.IFS(A949&lt;=25,"18-25",A949&lt;=35,"26-35",A949&lt;=45,"36-45",A949&lt;=55,"46-55",A949&gt;55,"55+")</f>
        <v>46-55</v>
      </c>
      <c r="C949">
        <v>1</v>
      </c>
      <c r="D949" t="s">
        <v>32</v>
      </c>
      <c r="E949">
        <v>1030</v>
      </c>
      <c r="F949" t="s">
        <v>33</v>
      </c>
      <c r="G949">
        <v>5</v>
      </c>
      <c r="H949" t="s">
        <v>61</v>
      </c>
      <c r="I949" t="s">
        <v>35</v>
      </c>
      <c r="J949" t="s">
        <v>36</v>
      </c>
      <c r="K949" t="s">
        <v>50</v>
      </c>
      <c r="L949">
        <v>64</v>
      </c>
      <c r="M949" t="s">
        <v>38</v>
      </c>
      <c r="N949" t="s">
        <v>63</v>
      </c>
      <c r="O949" t="s">
        <v>40</v>
      </c>
      <c r="P949" t="s">
        <v>36</v>
      </c>
      <c r="Q949" t="s">
        <v>42</v>
      </c>
      <c r="R949">
        <v>8446</v>
      </c>
      <c r="S949">
        <v>21534</v>
      </c>
      <c r="T949">
        <v>9</v>
      </c>
      <c r="U949" t="s">
        <v>31</v>
      </c>
      <c r="V949">
        <v>19</v>
      </c>
      <c r="W949" t="s">
        <v>43</v>
      </c>
      <c r="X949" t="s">
        <v>38</v>
      </c>
      <c r="Y949">
        <v>0</v>
      </c>
      <c r="Z949">
        <v>10</v>
      </c>
      <c r="AA949">
        <v>2</v>
      </c>
      <c r="AB949" t="s">
        <v>60</v>
      </c>
      <c r="AC949">
        <v>8</v>
      </c>
      <c r="AD949" t="str" cm="1">
        <f t="array" ref="AD949">_xlfn.IFS(AC949&lt;=5,"0-5",AC949&lt;=10,"5-10",AC949&lt;=40,"10-40")</f>
        <v>5-10</v>
      </c>
      <c r="AE949">
        <v>7</v>
      </c>
      <c r="AF949">
        <v>7</v>
      </c>
      <c r="AG949">
        <v>7</v>
      </c>
      <c r="AH949">
        <v>948</v>
      </c>
    </row>
    <row r="950" spans="1:34" x14ac:dyDescent="0.3">
      <c r="A950">
        <v>30</v>
      </c>
      <c r="B950" t="str" cm="1">
        <f t="array" ref="B950">_xlfn.IFS(A950&lt;=25,"18-25",A950&lt;=35,"26-35",A950&lt;=45,"36-45",A950&lt;=55,"46-55",A950&gt;55,"55+")</f>
        <v>26-35</v>
      </c>
      <c r="C950">
        <v>0</v>
      </c>
      <c r="D950" t="s">
        <v>32</v>
      </c>
      <c r="E950">
        <v>634</v>
      </c>
      <c r="F950" t="s">
        <v>48</v>
      </c>
      <c r="G950">
        <v>17</v>
      </c>
      <c r="H950" t="s">
        <v>58</v>
      </c>
      <c r="I950" t="s">
        <v>59</v>
      </c>
      <c r="J950" t="s">
        <v>36</v>
      </c>
      <c r="K950" t="s">
        <v>37</v>
      </c>
      <c r="L950">
        <v>95</v>
      </c>
      <c r="M950" t="s">
        <v>38</v>
      </c>
      <c r="N950" t="s">
        <v>63</v>
      </c>
      <c r="O950" t="s">
        <v>68</v>
      </c>
      <c r="P950" t="s">
        <v>44</v>
      </c>
      <c r="Q950" t="s">
        <v>52</v>
      </c>
      <c r="R950">
        <v>11916</v>
      </c>
      <c r="S950">
        <v>25927</v>
      </c>
      <c r="T950">
        <v>1</v>
      </c>
      <c r="U950" t="s">
        <v>31</v>
      </c>
      <c r="V950">
        <v>23</v>
      </c>
      <c r="W950" t="s">
        <v>53</v>
      </c>
      <c r="X950" t="s">
        <v>41</v>
      </c>
      <c r="Y950">
        <v>2</v>
      </c>
      <c r="Z950">
        <v>9</v>
      </c>
      <c r="AA950">
        <v>2</v>
      </c>
      <c r="AB950" t="s">
        <v>54</v>
      </c>
      <c r="AC950">
        <v>9</v>
      </c>
      <c r="AD950" t="str" cm="1">
        <f t="array" ref="AD950">_xlfn.IFS(AC950&lt;=5,"0-5",AC950&lt;=10,"5-10",AC950&lt;=40,"10-40")</f>
        <v>5-10</v>
      </c>
      <c r="AE950">
        <v>1</v>
      </c>
      <c r="AF950">
        <v>0</v>
      </c>
      <c r="AG950">
        <v>8</v>
      </c>
      <c r="AH950">
        <v>949</v>
      </c>
    </row>
    <row r="951" spans="1:34" x14ac:dyDescent="0.3">
      <c r="A951">
        <v>39</v>
      </c>
      <c r="B951" t="str" cm="1">
        <f t="array" ref="B951">_xlfn.IFS(A951&lt;=25,"18-25",A951&lt;=35,"26-35",A951&lt;=45,"36-45",A951&lt;=55,"46-55",A951&gt;55,"55+")</f>
        <v>36-45</v>
      </c>
      <c r="C951">
        <v>0</v>
      </c>
      <c r="D951" t="s">
        <v>32</v>
      </c>
      <c r="E951">
        <v>524</v>
      </c>
      <c r="F951" t="s">
        <v>48</v>
      </c>
      <c r="G951">
        <v>18</v>
      </c>
      <c r="H951" t="s">
        <v>34</v>
      </c>
      <c r="I951" t="s">
        <v>35</v>
      </c>
      <c r="J951" t="s">
        <v>44</v>
      </c>
      <c r="K951" t="s">
        <v>50</v>
      </c>
      <c r="L951">
        <v>32</v>
      </c>
      <c r="M951" t="s">
        <v>38</v>
      </c>
      <c r="N951" t="s">
        <v>39</v>
      </c>
      <c r="O951" t="s">
        <v>64</v>
      </c>
      <c r="P951" t="s">
        <v>38</v>
      </c>
      <c r="Q951" t="s">
        <v>42</v>
      </c>
      <c r="R951">
        <v>4534</v>
      </c>
      <c r="S951">
        <v>13352</v>
      </c>
      <c r="T951">
        <v>0</v>
      </c>
      <c r="U951" t="s">
        <v>46</v>
      </c>
      <c r="V951">
        <v>11</v>
      </c>
      <c r="W951" t="s">
        <v>43</v>
      </c>
      <c r="X951" t="s">
        <v>44</v>
      </c>
      <c r="Y951">
        <v>0</v>
      </c>
      <c r="Z951">
        <v>9</v>
      </c>
      <c r="AA951">
        <v>6</v>
      </c>
      <c r="AB951" t="s">
        <v>54</v>
      </c>
      <c r="AC951">
        <v>8</v>
      </c>
      <c r="AD951" t="str" cm="1">
        <f t="array" ref="AD951">_xlfn.IFS(AC951&lt;=5,"0-5",AC951&lt;=10,"5-10",AC951&lt;=40,"10-40")</f>
        <v>5-10</v>
      </c>
      <c r="AE951">
        <v>7</v>
      </c>
      <c r="AF951">
        <v>1</v>
      </c>
      <c r="AG951">
        <v>7</v>
      </c>
      <c r="AH951">
        <v>950</v>
      </c>
    </row>
    <row r="952" spans="1:34" x14ac:dyDescent="0.3">
      <c r="A952">
        <v>31</v>
      </c>
      <c r="B952" t="str" cm="1">
        <f t="array" ref="B952">_xlfn.IFS(A952&lt;=25,"18-25",A952&lt;=35,"26-35",A952&lt;=45,"36-45",A952&lt;=55,"46-55",A952&gt;55,"55+")</f>
        <v>26-35</v>
      </c>
      <c r="C952">
        <v>0</v>
      </c>
      <c r="D952" t="s">
        <v>66</v>
      </c>
      <c r="E952">
        <v>587</v>
      </c>
      <c r="F952" t="s">
        <v>33</v>
      </c>
      <c r="G952">
        <v>2</v>
      </c>
      <c r="H952" t="s">
        <v>58</v>
      </c>
      <c r="I952" t="s">
        <v>35</v>
      </c>
      <c r="J952" t="s">
        <v>41</v>
      </c>
      <c r="K952" t="s">
        <v>37</v>
      </c>
      <c r="L952">
        <v>57</v>
      </c>
      <c r="M952" t="s">
        <v>38</v>
      </c>
      <c r="N952" t="s">
        <v>63</v>
      </c>
      <c r="O952" t="s">
        <v>40</v>
      </c>
      <c r="P952" t="s">
        <v>38</v>
      </c>
      <c r="Q952" t="s">
        <v>62</v>
      </c>
      <c r="R952">
        <v>9852</v>
      </c>
      <c r="S952">
        <v>8935</v>
      </c>
      <c r="T952">
        <v>1</v>
      </c>
      <c r="U952" t="s">
        <v>31</v>
      </c>
      <c r="V952">
        <v>19</v>
      </c>
      <c r="W952" t="s">
        <v>43</v>
      </c>
      <c r="X952" t="s">
        <v>44</v>
      </c>
      <c r="Y952">
        <v>1</v>
      </c>
      <c r="Z952">
        <v>10</v>
      </c>
      <c r="AA952">
        <v>5</v>
      </c>
      <c r="AB952" t="s">
        <v>60</v>
      </c>
      <c r="AC952">
        <v>10</v>
      </c>
      <c r="AD952" t="str" cm="1">
        <f t="array" ref="AD952">_xlfn.IFS(AC952&lt;=5,"0-5",AC952&lt;=10,"5-10",AC952&lt;=40,"10-40")</f>
        <v>5-10</v>
      </c>
      <c r="AE952">
        <v>8</v>
      </c>
      <c r="AF952">
        <v>9</v>
      </c>
      <c r="AG952">
        <v>6</v>
      </c>
      <c r="AH952">
        <v>951</v>
      </c>
    </row>
    <row r="953" spans="1:34" x14ac:dyDescent="0.3">
      <c r="A953">
        <v>41</v>
      </c>
      <c r="B953" t="str" cm="1">
        <f t="array" ref="B953">_xlfn.IFS(A953&lt;=25,"18-25",A953&lt;=35,"26-35",A953&lt;=45,"36-45",A953&lt;=55,"46-55",A953&gt;55,"55+")</f>
        <v>36-45</v>
      </c>
      <c r="C953">
        <v>0</v>
      </c>
      <c r="D953" t="s">
        <v>66</v>
      </c>
      <c r="E953">
        <v>256</v>
      </c>
      <c r="F953" t="s">
        <v>33</v>
      </c>
      <c r="G953">
        <v>10</v>
      </c>
      <c r="H953" t="s">
        <v>34</v>
      </c>
      <c r="I953" t="s">
        <v>59</v>
      </c>
      <c r="J953" t="s">
        <v>38</v>
      </c>
      <c r="K953" t="s">
        <v>50</v>
      </c>
      <c r="L953">
        <v>40</v>
      </c>
      <c r="M953" t="s">
        <v>44</v>
      </c>
      <c r="N953" t="s">
        <v>39</v>
      </c>
      <c r="O953" t="s">
        <v>40</v>
      </c>
      <c r="P953" t="s">
        <v>36</v>
      </c>
      <c r="Q953" t="s">
        <v>42</v>
      </c>
      <c r="R953">
        <v>6151</v>
      </c>
      <c r="S953">
        <v>22074</v>
      </c>
      <c r="T953">
        <v>1</v>
      </c>
      <c r="U953" t="s">
        <v>46</v>
      </c>
      <c r="V953">
        <v>13</v>
      </c>
      <c r="W953" t="s">
        <v>43</v>
      </c>
      <c r="X953" t="s">
        <v>44</v>
      </c>
      <c r="Y953">
        <v>0</v>
      </c>
      <c r="Z953">
        <v>19</v>
      </c>
      <c r="AA953">
        <v>4</v>
      </c>
      <c r="AB953" t="s">
        <v>54</v>
      </c>
      <c r="AC953">
        <v>19</v>
      </c>
      <c r="AD953" t="str" cm="1">
        <f t="array" ref="AD953">_xlfn.IFS(AC953&lt;=5,"0-5",AC953&lt;=10,"5-10",AC953&lt;=40,"10-40")</f>
        <v>10-40</v>
      </c>
      <c r="AE953">
        <v>2</v>
      </c>
      <c r="AF953">
        <v>11</v>
      </c>
      <c r="AG953">
        <v>9</v>
      </c>
      <c r="AH953">
        <v>952</v>
      </c>
    </row>
    <row r="954" spans="1:34" x14ac:dyDescent="0.3">
      <c r="A954">
        <v>31</v>
      </c>
      <c r="B954" t="str" cm="1">
        <f t="array" ref="B954">_xlfn.IFS(A954&lt;=25,"18-25",A954&lt;=35,"26-35",A954&lt;=45,"36-45",A954&lt;=55,"46-55",A954&gt;55,"55+")</f>
        <v>26-35</v>
      </c>
      <c r="C954">
        <v>1</v>
      </c>
      <c r="D954" t="s">
        <v>47</v>
      </c>
      <c r="E954">
        <v>1060</v>
      </c>
      <c r="F954" t="s">
        <v>33</v>
      </c>
      <c r="G954">
        <v>1</v>
      </c>
      <c r="H954" t="s">
        <v>61</v>
      </c>
      <c r="I954" t="s">
        <v>35</v>
      </c>
      <c r="J954" t="s">
        <v>41</v>
      </c>
      <c r="K954" t="s">
        <v>37</v>
      </c>
      <c r="L954">
        <v>54</v>
      </c>
      <c r="M954" t="s">
        <v>38</v>
      </c>
      <c r="N954" t="s">
        <v>56</v>
      </c>
      <c r="O954" t="s">
        <v>69</v>
      </c>
      <c r="P954" t="s">
        <v>36</v>
      </c>
      <c r="Q954" t="s">
        <v>42</v>
      </c>
      <c r="R954">
        <v>2302</v>
      </c>
      <c r="S954">
        <v>8319</v>
      </c>
      <c r="T954">
        <v>1</v>
      </c>
      <c r="U954" t="s">
        <v>31</v>
      </c>
      <c r="V954">
        <v>11</v>
      </c>
      <c r="W954" t="s">
        <v>43</v>
      </c>
      <c r="X954" t="s">
        <v>44</v>
      </c>
      <c r="Y954">
        <v>0</v>
      </c>
      <c r="Z954">
        <v>3</v>
      </c>
      <c r="AA954">
        <v>2</v>
      </c>
      <c r="AB954" t="s">
        <v>73</v>
      </c>
      <c r="AC954">
        <v>3</v>
      </c>
      <c r="AD954" t="str" cm="1">
        <f t="array" ref="AD954">_xlfn.IFS(AC954&lt;=5,"0-5",AC954&lt;=10,"5-10",AC954&lt;=40,"10-40")</f>
        <v>0-5</v>
      </c>
      <c r="AE954">
        <v>2</v>
      </c>
      <c r="AF954">
        <v>2</v>
      </c>
      <c r="AG954">
        <v>2</v>
      </c>
      <c r="AH954">
        <v>953</v>
      </c>
    </row>
    <row r="955" spans="1:34" x14ac:dyDescent="0.3">
      <c r="A955">
        <v>44</v>
      </c>
      <c r="B955" t="str" cm="1">
        <f t="array" ref="B955">_xlfn.IFS(A955&lt;=25,"18-25",A955&lt;=35,"26-35",A955&lt;=45,"36-45",A955&lt;=55,"46-55",A955&gt;55,"55+")</f>
        <v>36-45</v>
      </c>
      <c r="C955">
        <v>1</v>
      </c>
      <c r="D955" t="s">
        <v>32</v>
      </c>
      <c r="E955">
        <v>935</v>
      </c>
      <c r="F955" t="s">
        <v>48</v>
      </c>
      <c r="G955">
        <v>3</v>
      </c>
      <c r="H955" t="s">
        <v>61</v>
      </c>
      <c r="I955" t="s">
        <v>35</v>
      </c>
      <c r="J955" t="s">
        <v>44</v>
      </c>
      <c r="K955" t="s">
        <v>50</v>
      </c>
      <c r="L955">
        <v>89</v>
      </c>
      <c r="M955" t="s">
        <v>38</v>
      </c>
      <c r="N955" t="s">
        <v>56</v>
      </c>
      <c r="O955" t="s">
        <v>57</v>
      </c>
      <c r="P955" t="s">
        <v>44</v>
      </c>
      <c r="Q955" t="s">
        <v>52</v>
      </c>
      <c r="R955">
        <v>2362</v>
      </c>
      <c r="S955">
        <v>14669</v>
      </c>
      <c r="T955">
        <v>4</v>
      </c>
      <c r="U955" t="s">
        <v>46</v>
      </c>
      <c r="V955">
        <v>12</v>
      </c>
      <c r="W955" t="s">
        <v>43</v>
      </c>
      <c r="X955" t="s">
        <v>38</v>
      </c>
      <c r="Y955">
        <v>0</v>
      </c>
      <c r="Z955">
        <v>10</v>
      </c>
      <c r="AA955">
        <v>4</v>
      </c>
      <c r="AB955" t="s">
        <v>73</v>
      </c>
      <c r="AC955">
        <v>3</v>
      </c>
      <c r="AD955" t="str" cm="1">
        <f t="array" ref="AD955">_xlfn.IFS(AC955&lt;=5,"0-5",AC955&lt;=10,"5-10",AC955&lt;=40,"10-40")</f>
        <v>0-5</v>
      </c>
      <c r="AE955">
        <v>2</v>
      </c>
      <c r="AF955">
        <v>1</v>
      </c>
      <c r="AG955">
        <v>2</v>
      </c>
      <c r="AH955">
        <v>954</v>
      </c>
    </row>
    <row r="956" spans="1:34" x14ac:dyDescent="0.3">
      <c r="A956">
        <v>42</v>
      </c>
      <c r="B956" t="str" cm="1">
        <f t="array" ref="B956">_xlfn.IFS(A956&lt;=25,"18-25",A956&lt;=35,"26-35",A956&lt;=45,"36-45",A956&lt;=55,"46-55",A956&gt;55,"55+")</f>
        <v>36-45</v>
      </c>
      <c r="C956">
        <v>0</v>
      </c>
      <c r="D956" t="s">
        <v>66</v>
      </c>
      <c r="E956">
        <v>495</v>
      </c>
      <c r="F956" t="s">
        <v>48</v>
      </c>
      <c r="G956">
        <v>2</v>
      </c>
      <c r="H956" t="s">
        <v>49</v>
      </c>
      <c r="I956" t="s">
        <v>35</v>
      </c>
      <c r="J956" t="s">
        <v>38</v>
      </c>
      <c r="K956" t="s">
        <v>50</v>
      </c>
      <c r="L956">
        <v>37</v>
      </c>
      <c r="M956" t="s">
        <v>38</v>
      </c>
      <c r="N956" t="s">
        <v>67</v>
      </c>
      <c r="O956" t="s">
        <v>68</v>
      </c>
      <c r="P956" t="s">
        <v>38</v>
      </c>
      <c r="Q956" t="s">
        <v>52</v>
      </c>
      <c r="R956">
        <v>17861</v>
      </c>
      <c r="S956">
        <v>26582</v>
      </c>
      <c r="T956">
        <v>0</v>
      </c>
      <c r="U956" t="s">
        <v>31</v>
      </c>
      <c r="V956">
        <v>13</v>
      </c>
      <c r="W956" t="s">
        <v>43</v>
      </c>
      <c r="X956" t="s">
        <v>41</v>
      </c>
      <c r="Y956">
        <v>0</v>
      </c>
      <c r="Z956">
        <v>21</v>
      </c>
      <c r="AA956">
        <v>3</v>
      </c>
      <c r="AB956" t="s">
        <v>60</v>
      </c>
      <c r="AC956">
        <v>20</v>
      </c>
      <c r="AD956" t="str" cm="1">
        <f t="array" ref="AD956">_xlfn.IFS(AC956&lt;=5,"0-5",AC956&lt;=10,"5-10",AC956&lt;=40,"10-40")</f>
        <v>10-40</v>
      </c>
      <c r="AE956">
        <v>8</v>
      </c>
      <c r="AF956">
        <v>2</v>
      </c>
      <c r="AG956">
        <v>10</v>
      </c>
      <c r="AH956">
        <v>955</v>
      </c>
    </row>
    <row r="957" spans="1:34" x14ac:dyDescent="0.3">
      <c r="A957">
        <v>55</v>
      </c>
      <c r="B957" t="str" cm="1">
        <f t="array" ref="B957">_xlfn.IFS(A957&lt;=25,"18-25",A957&lt;=35,"26-35",A957&lt;=45,"36-45",A957&lt;=55,"46-55",A957&gt;55,"55+")</f>
        <v>46-55</v>
      </c>
      <c r="C957">
        <v>0</v>
      </c>
      <c r="D957" t="s">
        <v>32</v>
      </c>
      <c r="E957">
        <v>282</v>
      </c>
      <c r="F957" t="s">
        <v>48</v>
      </c>
      <c r="G957">
        <v>2</v>
      </c>
      <c r="H957" t="s">
        <v>34</v>
      </c>
      <c r="I957" t="s">
        <v>59</v>
      </c>
      <c r="J957" t="s">
        <v>41</v>
      </c>
      <c r="K957" t="s">
        <v>37</v>
      </c>
      <c r="L957">
        <v>58</v>
      </c>
      <c r="M957" t="s">
        <v>44</v>
      </c>
      <c r="N957" t="s">
        <v>71</v>
      </c>
      <c r="O957" t="s">
        <v>68</v>
      </c>
      <c r="P957" t="s">
        <v>38</v>
      </c>
      <c r="Q957" t="s">
        <v>52</v>
      </c>
      <c r="R957">
        <v>19187</v>
      </c>
      <c r="S957">
        <v>6992</v>
      </c>
      <c r="T957">
        <v>4</v>
      </c>
      <c r="U957" t="s">
        <v>46</v>
      </c>
      <c r="V957">
        <v>14</v>
      </c>
      <c r="W957" t="s">
        <v>43</v>
      </c>
      <c r="X957" t="s">
        <v>41</v>
      </c>
      <c r="Y957">
        <v>1</v>
      </c>
      <c r="Z957">
        <v>23</v>
      </c>
      <c r="AA957">
        <v>5</v>
      </c>
      <c r="AB957" t="s">
        <v>54</v>
      </c>
      <c r="AC957">
        <v>19</v>
      </c>
      <c r="AD957" t="str" cm="1">
        <f t="array" ref="AD957">_xlfn.IFS(AC957&lt;=5,"0-5",AC957&lt;=10,"5-10",AC957&lt;=40,"10-40")</f>
        <v>10-40</v>
      </c>
      <c r="AE957">
        <v>9</v>
      </c>
      <c r="AF957">
        <v>9</v>
      </c>
      <c r="AG957">
        <v>11</v>
      </c>
      <c r="AH957">
        <v>956</v>
      </c>
    </row>
    <row r="958" spans="1:34" x14ac:dyDescent="0.3">
      <c r="A958">
        <v>56</v>
      </c>
      <c r="B958" t="str" cm="1">
        <f t="array" ref="B958">_xlfn.IFS(A958&lt;=25,"18-25",A958&lt;=35,"26-35",A958&lt;=45,"36-45",A958&lt;=55,"46-55",A958&gt;55,"55+")</f>
        <v>55+</v>
      </c>
      <c r="C958">
        <v>0</v>
      </c>
      <c r="D958" t="s">
        <v>32</v>
      </c>
      <c r="E958">
        <v>206</v>
      </c>
      <c r="F958" t="s">
        <v>76</v>
      </c>
      <c r="G958">
        <v>8</v>
      </c>
      <c r="H958" t="s">
        <v>58</v>
      </c>
      <c r="I958" t="s">
        <v>35</v>
      </c>
      <c r="J958" t="s">
        <v>41</v>
      </c>
      <c r="K958" t="s">
        <v>50</v>
      </c>
      <c r="L958">
        <v>99</v>
      </c>
      <c r="M958" t="s">
        <v>38</v>
      </c>
      <c r="N958" t="s">
        <v>71</v>
      </c>
      <c r="O958" t="s">
        <v>68</v>
      </c>
      <c r="P958" t="s">
        <v>36</v>
      </c>
      <c r="Q958" t="s">
        <v>42</v>
      </c>
      <c r="R958">
        <v>19717</v>
      </c>
      <c r="S958">
        <v>4022</v>
      </c>
      <c r="T958">
        <v>6</v>
      </c>
      <c r="U958" t="s">
        <v>46</v>
      </c>
      <c r="V958">
        <v>14</v>
      </c>
      <c r="W958" t="s">
        <v>43</v>
      </c>
      <c r="X958" t="s">
        <v>44</v>
      </c>
      <c r="Y958">
        <v>0</v>
      </c>
      <c r="Z958">
        <v>36</v>
      </c>
      <c r="AA958">
        <v>4</v>
      </c>
      <c r="AB958" t="s">
        <v>54</v>
      </c>
      <c r="AC958">
        <v>7</v>
      </c>
      <c r="AD958" t="str" cm="1">
        <f t="array" ref="AD958">_xlfn.IFS(AC958&lt;=5,"0-5",AC958&lt;=10,"5-10",AC958&lt;=40,"10-40")</f>
        <v>5-10</v>
      </c>
      <c r="AE958">
        <v>3</v>
      </c>
      <c r="AF958">
        <v>7</v>
      </c>
      <c r="AG958">
        <v>7</v>
      </c>
      <c r="AH958">
        <v>957</v>
      </c>
    </row>
    <row r="959" spans="1:34" x14ac:dyDescent="0.3">
      <c r="A959">
        <v>40</v>
      </c>
      <c r="B959" t="str" cm="1">
        <f t="array" ref="B959">_xlfn.IFS(A959&lt;=25,"18-25",A959&lt;=35,"26-35",A959&lt;=45,"36-45",A959&lt;=55,"46-55",A959&gt;55,"55+")</f>
        <v>36-45</v>
      </c>
      <c r="C959">
        <v>0</v>
      </c>
      <c r="D959" t="s">
        <v>66</v>
      </c>
      <c r="E959">
        <v>458</v>
      </c>
      <c r="F959" t="s">
        <v>48</v>
      </c>
      <c r="G959">
        <v>16</v>
      </c>
      <c r="H959" t="s">
        <v>34</v>
      </c>
      <c r="I959" t="s">
        <v>35</v>
      </c>
      <c r="J959" t="s">
        <v>38</v>
      </c>
      <c r="K959" t="s">
        <v>50</v>
      </c>
      <c r="L959">
        <v>74</v>
      </c>
      <c r="M959" t="s">
        <v>38</v>
      </c>
      <c r="N959" t="s">
        <v>56</v>
      </c>
      <c r="O959" t="s">
        <v>51</v>
      </c>
      <c r="P959" t="s">
        <v>38</v>
      </c>
      <c r="Q959" t="s">
        <v>62</v>
      </c>
      <c r="R959">
        <v>3544</v>
      </c>
      <c r="S959">
        <v>8532</v>
      </c>
      <c r="T959">
        <v>9</v>
      </c>
      <c r="U959" t="s">
        <v>46</v>
      </c>
      <c r="V959">
        <v>16</v>
      </c>
      <c r="W959" t="s">
        <v>43</v>
      </c>
      <c r="X959" t="s">
        <v>36</v>
      </c>
      <c r="Y959">
        <v>1</v>
      </c>
      <c r="Z959">
        <v>6</v>
      </c>
      <c r="AA959">
        <v>0</v>
      </c>
      <c r="AB959" t="s">
        <v>54</v>
      </c>
      <c r="AC959">
        <v>4</v>
      </c>
      <c r="AD959" t="str" cm="1">
        <f t="array" ref="AD959">_xlfn.IFS(AC959&lt;=5,"0-5",AC959&lt;=10,"5-10",AC959&lt;=40,"10-40")</f>
        <v>0-5</v>
      </c>
      <c r="AE959">
        <v>2</v>
      </c>
      <c r="AF959">
        <v>0</v>
      </c>
      <c r="AG959">
        <v>0</v>
      </c>
      <c r="AH959">
        <v>958</v>
      </c>
    </row>
    <row r="960" spans="1:34" x14ac:dyDescent="0.3">
      <c r="A960">
        <v>34</v>
      </c>
      <c r="B960" t="str" cm="1">
        <f t="array" ref="B960">_xlfn.IFS(A960&lt;=25,"18-25",A960&lt;=35,"26-35",A960&lt;=45,"36-45",A960&lt;=55,"46-55",A960&gt;55,"55+")</f>
        <v>26-35</v>
      </c>
      <c r="C960">
        <v>0</v>
      </c>
      <c r="D960" t="s">
        <v>32</v>
      </c>
      <c r="E960">
        <v>943</v>
      </c>
      <c r="F960" t="s">
        <v>48</v>
      </c>
      <c r="G960">
        <v>9</v>
      </c>
      <c r="H960" t="s">
        <v>61</v>
      </c>
      <c r="I960" t="s">
        <v>35</v>
      </c>
      <c r="J960" t="s">
        <v>41</v>
      </c>
      <c r="K960" t="s">
        <v>50</v>
      </c>
      <c r="L960">
        <v>86</v>
      </c>
      <c r="M960" t="s">
        <v>38</v>
      </c>
      <c r="N960" t="s">
        <v>63</v>
      </c>
      <c r="O960" t="s">
        <v>65</v>
      </c>
      <c r="P960" t="s">
        <v>41</v>
      </c>
      <c r="Q960" t="s">
        <v>62</v>
      </c>
      <c r="R960">
        <v>8500</v>
      </c>
      <c r="S960">
        <v>5494</v>
      </c>
      <c r="T960">
        <v>0</v>
      </c>
      <c r="U960" t="s">
        <v>46</v>
      </c>
      <c r="V960">
        <v>11</v>
      </c>
      <c r="W960" t="s">
        <v>43</v>
      </c>
      <c r="X960" t="s">
        <v>41</v>
      </c>
      <c r="Y960">
        <v>1</v>
      </c>
      <c r="Z960">
        <v>10</v>
      </c>
      <c r="AA960">
        <v>0</v>
      </c>
      <c r="AB960" t="s">
        <v>60</v>
      </c>
      <c r="AC960">
        <v>9</v>
      </c>
      <c r="AD960" t="str" cm="1">
        <f t="array" ref="AD960">_xlfn.IFS(AC960&lt;=5,"0-5",AC960&lt;=10,"5-10",AC960&lt;=40,"10-40")</f>
        <v>5-10</v>
      </c>
      <c r="AE960">
        <v>7</v>
      </c>
      <c r="AF960">
        <v>1</v>
      </c>
      <c r="AG960">
        <v>6</v>
      </c>
      <c r="AH960">
        <v>959</v>
      </c>
    </row>
    <row r="961" spans="1:34" x14ac:dyDescent="0.3">
      <c r="A961">
        <v>40</v>
      </c>
      <c r="B961" t="str" cm="1">
        <f t="array" ref="B961">_xlfn.IFS(A961&lt;=25,"18-25",A961&lt;=35,"26-35",A961&lt;=45,"36-45",A961&lt;=55,"46-55",A961&gt;55,"55+")</f>
        <v>36-45</v>
      </c>
      <c r="C961">
        <v>0</v>
      </c>
      <c r="D961" t="s">
        <v>32</v>
      </c>
      <c r="E961">
        <v>523</v>
      </c>
      <c r="F961" t="s">
        <v>48</v>
      </c>
      <c r="G961">
        <v>2</v>
      </c>
      <c r="H961" t="s">
        <v>61</v>
      </c>
      <c r="I961" t="s">
        <v>35</v>
      </c>
      <c r="J961" t="s">
        <v>38</v>
      </c>
      <c r="K961" t="s">
        <v>50</v>
      </c>
      <c r="L961">
        <v>98</v>
      </c>
      <c r="M961" t="s">
        <v>38</v>
      </c>
      <c r="N961" t="s">
        <v>39</v>
      </c>
      <c r="O961" t="s">
        <v>51</v>
      </c>
      <c r="P961" t="s">
        <v>41</v>
      </c>
      <c r="Q961" t="s">
        <v>42</v>
      </c>
      <c r="R961">
        <v>4661</v>
      </c>
      <c r="S961">
        <v>22455</v>
      </c>
      <c r="T961">
        <v>1</v>
      </c>
      <c r="U961" t="s">
        <v>46</v>
      </c>
      <c r="V961">
        <v>13</v>
      </c>
      <c r="W961" t="s">
        <v>43</v>
      </c>
      <c r="X961" t="s">
        <v>38</v>
      </c>
      <c r="Y961">
        <v>0</v>
      </c>
      <c r="Z961">
        <v>9</v>
      </c>
      <c r="AA961">
        <v>4</v>
      </c>
      <c r="AB961" t="s">
        <v>54</v>
      </c>
      <c r="AC961">
        <v>9</v>
      </c>
      <c r="AD961" t="str" cm="1">
        <f t="array" ref="AD961">_xlfn.IFS(AC961&lt;=5,"0-5",AC961&lt;=10,"5-10",AC961&lt;=40,"10-40")</f>
        <v>5-10</v>
      </c>
      <c r="AE961">
        <v>8</v>
      </c>
      <c r="AF961">
        <v>8</v>
      </c>
      <c r="AG961">
        <v>8</v>
      </c>
      <c r="AH961">
        <v>960</v>
      </c>
    </row>
    <row r="962" spans="1:34" x14ac:dyDescent="0.3">
      <c r="A962">
        <v>41</v>
      </c>
      <c r="B962" t="str" cm="1">
        <f t="array" ref="B962">_xlfn.IFS(A962&lt;=25,"18-25",A962&lt;=35,"26-35",A962&lt;=45,"36-45",A962&lt;=55,"46-55",A962&gt;55,"55+")</f>
        <v>36-45</v>
      </c>
      <c r="C962">
        <v>0</v>
      </c>
      <c r="D962" t="s">
        <v>47</v>
      </c>
      <c r="E962">
        <v>1018</v>
      </c>
      <c r="F962" t="s">
        <v>33</v>
      </c>
      <c r="G962">
        <v>1</v>
      </c>
      <c r="H962" t="s">
        <v>61</v>
      </c>
      <c r="I962" t="s">
        <v>72</v>
      </c>
      <c r="J962" t="s">
        <v>38</v>
      </c>
      <c r="K962" t="s">
        <v>37</v>
      </c>
      <c r="L962">
        <v>66</v>
      </c>
      <c r="M962" t="s">
        <v>38</v>
      </c>
      <c r="N962" t="s">
        <v>39</v>
      </c>
      <c r="O962" t="s">
        <v>40</v>
      </c>
      <c r="P962" t="s">
        <v>44</v>
      </c>
      <c r="Q962" t="s">
        <v>62</v>
      </c>
      <c r="R962">
        <v>4103</v>
      </c>
      <c r="S962">
        <v>4297</v>
      </c>
      <c r="T962">
        <v>0</v>
      </c>
      <c r="U962" t="s">
        <v>46</v>
      </c>
      <c r="V962">
        <v>17</v>
      </c>
      <c r="W962" t="s">
        <v>43</v>
      </c>
      <c r="X962" t="s">
        <v>41</v>
      </c>
      <c r="Y962">
        <v>1</v>
      </c>
      <c r="Z962">
        <v>10</v>
      </c>
      <c r="AA962">
        <v>2</v>
      </c>
      <c r="AB962" t="s">
        <v>54</v>
      </c>
      <c r="AC962">
        <v>9</v>
      </c>
      <c r="AD962" t="str" cm="1">
        <f t="array" ref="AD962">_xlfn.IFS(AC962&lt;=5,"0-5",AC962&lt;=10,"5-10",AC962&lt;=40,"10-40")</f>
        <v>5-10</v>
      </c>
      <c r="AE962">
        <v>3</v>
      </c>
      <c r="AF962">
        <v>1</v>
      </c>
      <c r="AG962">
        <v>7</v>
      </c>
      <c r="AH962">
        <v>961</v>
      </c>
    </row>
    <row r="963" spans="1:34" x14ac:dyDescent="0.3">
      <c r="A963">
        <v>35</v>
      </c>
      <c r="B963" t="str" cm="1">
        <f t="array" ref="B963">_xlfn.IFS(A963&lt;=25,"18-25",A963&lt;=35,"26-35",A963&lt;=45,"36-45",A963&lt;=55,"46-55",A963&gt;55,"55+")</f>
        <v>26-35</v>
      </c>
      <c r="C963">
        <v>0</v>
      </c>
      <c r="D963" t="s">
        <v>47</v>
      </c>
      <c r="E963">
        <v>482</v>
      </c>
      <c r="F963" t="s">
        <v>48</v>
      </c>
      <c r="G963">
        <v>4</v>
      </c>
      <c r="H963" t="s">
        <v>58</v>
      </c>
      <c r="I963" t="s">
        <v>35</v>
      </c>
      <c r="J963" t="s">
        <v>38</v>
      </c>
      <c r="K963" t="s">
        <v>50</v>
      </c>
      <c r="L963">
        <v>87</v>
      </c>
      <c r="M963" t="s">
        <v>38</v>
      </c>
      <c r="N963" t="s">
        <v>39</v>
      </c>
      <c r="O963" t="s">
        <v>51</v>
      </c>
      <c r="P963" t="s">
        <v>38</v>
      </c>
      <c r="Q963" t="s">
        <v>42</v>
      </c>
      <c r="R963">
        <v>4249</v>
      </c>
      <c r="S963">
        <v>2690</v>
      </c>
      <c r="T963">
        <v>1</v>
      </c>
      <c r="U963" t="s">
        <v>31</v>
      </c>
      <c r="V963">
        <v>11</v>
      </c>
      <c r="W963" t="s">
        <v>43</v>
      </c>
      <c r="X963" t="s">
        <v>36</v>
      </c>
      <c r="Y963">
        <v>0</v>
      </c>
      <c r="Z963">
        <v>9</v>
      </c>
      <c r="AA963">
        <v>3</v>
      </c>
      <c r="AB963" t="s">
        <v>54</v>
      </c>
      <c r="AC963">
        <v>9</v>
      </c>
      <c r="AD963" t="str" cm="1">
        <f t="array" ref="AD963">_xlfn.IFS(AC963&lt;=5,"0-5",AC963&lt;=10,"5-10",AC963&lt;=40,"10-40")</f>
        <v>5-10</v>
      </c>
      <c r="AE963">
        <v>6</v>
      </c>
      <c r="AF963">
        <v>1</v>
      </c>
      <c r="AG963">
        <v>1</v>
      </c>
      <c r="AH963">
        <v>962</v>
      </c>
    </row>
    <row r="964" spans="1:34" x14ac:dyDescent="0.3">
      <c r="A964">
        <v>51</v>
      </c>
      <c r="B964" t="str" cm="1">
        <f t="array" ref="B964">_xlfn.IFS(A964&lt;=25,"18-25",A964&lt;=35,"26-35",A964&lt;=45,"36-45",A964&lt;=55,"46-55",A964&gt;55,"55+")</f>
        <v>46-55</v>
      </c>
      <c r="C964">
        <v>0</v>
      </c>
      <c r="D964" t="s">
        <v>32</v>
      </c>
      <c r="E964">
        <v>770</v>
      </c>
      <c r="F964" t="s">
        <v>76</v>
      </c>
      <c r="G964">
        <v>5</v>
      </c>
      <c r="H964" t="s">
        <v>61</v>
      </c>
      <c r="I964" t="s">
        <v>35</v>
      </c>
      <c r="J964" t="s">
        <v>38</v>
      </c>
      <c r="K964" t="s">
        <v>50</v>
      </c>
      <c r="L964">
        <v>84</v>
      </c>
      <c r="M964" t="s">
        <v>38</v>
      </c>
      <c r="N964" t="s">
        <v>67</v>
      </c>
      <c r="O964" t="s">
        <v>68</v>
      </c>
      <c r="P964" t="s">
        <v>36</v>
      </c>
      <c r="Q964" t="s">
        <v>62</v>
      </c>
      <c r="R964">
        <v>14026</v>
      </c>
      <c r="S964">
        <v>17588</v>
      </c>
      <c r="T964">
        <v>1</v>
      </c>
      <c r="U964" t="s">
        <v>31</v>
      </c>
      <c r="V964">
        <v>11</v>
      </c>
      <c r="W964" t="s">
        <v>43</v>
      </c>
      <c r="X964" t="s">
        <v>36</v>
      </c>
      <c r="Y964">
        <v>1</v>
      </c>
      <c r="Z964">
        <v>33</v>
      </c>
      <c r="AA964">
        <v>2</v>
      </c>
      <c r="AB964" t="s">
        <v>54</v>
      </c>
      <c r="AC964">
        <v>33</v>
      </c>
      <c r="AD964" t="str" cm="1">
        <f t="array" ref="AD964">_xlfn.IFS(AC964&lt;=5,"0-5",AC964&lt;=10,"5-10",AC964&lt;=40,"10-40")</f>
        <v>10-40</v>
      </c>
      <c r="AE964">
        <v>9</v>
      </c>
      <c r="AF964">
        <v>0</v>
      </c>
      <c r="AG964">
        <v>10</v>
      </c>
      <c r="AH964">
        <v>963</v>
      </c>
    </row>
    <row r="965" spans="1:34" x14ac:dyDescent="0.3">
      <c r="A965">
        <v>38</v>
      </c>
      <c r="B965" t="str" cm="1">
        <f t="array" ref="B965">_xlfn.IFS(A965&lt;=25,"18-25",A965&lt;=35,"26-35",A965&lt;=45,"36-45",A965&lt;=55,"46-55",A965&gt;55,"55+")</f>
        <v>36-45</v>
      </c>
      <c r="C965">
        <v>0</v>
      </c>
      <c r="D965" t="s">
        <v>32</v>
      </c>
      <c r="E965">
        <v>1009</v>
      </c>
      <c r="F965" t="s">
        <v>33</v>
      </c>
      <c r="G965">
        <v>2</v>
      </c>
      <c r="H965" t="s">
        <v>34</v>
      </c>
      <c r="I965" t="s">
        <v>35</v>
      </c>
      <c r="J965" t="s">
        <v>36</v>
      </c>
      <c r="K965" t="s">
        <v>37</v>
      </c>
      <c r="L965">
        <v>31</v>
      </c>
      <c r="M965" t="s">
        <v>38</v>
      </c>
      <c r="N965" t="s">
        <v>39</v>
      </c>
      <c r="O965" t="s">
        <v>40</v>
      </c>
      <c r="P965" t="s">
        <v>44</v>
      </c>
      <c r="Q965" t="s">
        <v>62</v>
      </c>
      <c r="R965">
        <v>6893</v>
      </c>
      <c r="S965">
        <v>19461</v>
      </c>
      <c r="T965">
        <v>3</v>
      </c>
      <c r="U965" t="s">
        <v>46</v>
      </c>
      <c r="V965">
        <v>15</v>
      </c>
      <c r="W965" t="s">
        <v>43</v>
      </c>
      <c r="X965" t="s">
        <v>41</v>
      </c>
      <c r="Y965">
        <v>1</v>
      </c>
      <c r="Z965">
        <v>11</v>
      </c>
      <c r="AA965">
        <v>3</v>
      </c>
      <c r="AB965" t="s">
        <v>54</v>
      </c>
      <c r="AC965">
        <v>7</v>
      </c>
      <c r="AD965" t="str" cm="1">
        <f t="array" ref="AD965">_xlfn.IFS(AC965&lt;=5,"0-5",AC965&lt;=10,"5-10",AC965&lt;=40,"10-40")</f>
        <v>5-10</v>
      </c>
      <c r="AE965">
        <v>7</v>
      </c>
      <c r="AF965">
        <v>1</v>
      </c>
      <c r="AG965">
        <v>7</v>
      </c>
      <c r="AH965">
        <v>964</v>
      </c>
    </row>
    <row r="966" spans="1:34" x14ac:dyDescent="0.3">
      <c r="A966">
        <v>34</v>
      </c>
      <c r="B966" t="str" cm="1">
        <f t="array" ref="B966">_xlfn.IFS(A966&lt;=25,"18-25",A966&lt;=35,"26-35",A966&lt;=45,"36-45",A966&lt;=55,"46-55",A966&gt;55,"55+")</f>
        <v>26-35</v>
      </c>
      <c r="C966">
        <v>0</v>
      </c>
      <c r="D966" t="s">
        <v>32</v>
      </c>
      <c r="E966">
        <v>507</v>
      </c>
      <c r="F966" t="s">
        <v>33</v>
      </c>
      <c r="G966">
        <v>15</v>
      </c>
      <c r="H966" t="s">
        <v>34</v>
      </c>
      <c r="I966" t="s">
        <v>59</v>
      </c>
      <c r="J966" t="s">
        <v>38</v>
      </c>
      <c r="K966" t="s">
        <v>37</v>
      </c>
      <c r="L966">
        <v>66</v>
      </c>
      <c r="M966" t="s">
        <v>38</v>
      </c>
      <c r="N966" t="s">
        <v>39</v>
      </c>
      <c r="O966" t="s">
        <v>40</v>
      </c>
      <c r="P966" t="s">
        <v>44</v>
      </c>
      <c r="Q966" t="s">
        <v>42</v>
      </c>
      <c r="R966">
        <v>6125</v>
      </c>
      <c r="S966">
        <v>23553</v>
      </c>
      <c r="T966">
        <v>1</v>
      </c>
      <c r="U966" t="s">
        <v>46</v>
      </c>
      <c r="V966">
        <v>12</v>
      </c>
      <c r="W966" t="s">
        <v>43</v>
      </c>
      <c r="X966" t="s">
        <v>41</v>
      </c>
      <c r="Y966">
        <v>0</v>
      </c>
      <c r="Z966">
        <v>10</v>
      </c>
      <c r="AA966">
        <v>6</v>
      </c>
      <c r="AB966" t="s">
        <v>73</v>
      </c>
      <c r="AC966">
        <v>10</v>
      </c>
      <c r="AD966" t="str" cm="1">
        <f t="array" ref="AD966">_xlfn.IFS(AC966&lt;=5,"0-5",AC966&lt;=10,"5-10",AC966&lt;=40,"10-40")</f>
        <v>5-10</v>
      </c>
      <c r="AE966">
        <v>8</v>
      </c>
      <c r="AF966">
        <v>9</v>
      </c>
      <c r="AG966">
        <v>6</v>
      </c>
      <c r="AH966">
        <v>965</v>
      </c>
    </row>
    <row r="967" spans="1:34" x14ac:dyDescent="0.3">
      <c r="A967">
        <v>25</v>
      </c>
      <c r="B967" t="str" cm="1">
        <f t="array" ref="B967">_xlfn.IFS(A967&lt;=25,"18-25",A967&lt;=35,"26-35",A967&lt;=45,"36-45",A967&lt;=55,"46-55",A967&gt;55,"55+")</f>
        <v>18-25</v>
      </c>
      <c r="C967">
        <v>0</v>
      </c>
      <c r="D967" t="s">
        <v>32</v>
      </c>
      <c r="E967">
        <v>882</v>
      </c>
      <c r="F967" t="s">
        <v>48</v>
      </c>
      <c r="G967">
        <v>19</v>
      </c>
      <c r="H967" t="s">
        <v>49</v>
      </c>
      <c r="I967" t="s">
        <v>59</v>
      </c>
      <c r="J967" t="s">
        <v>41</v>
      </c>
      <c r="K967" t="s">
        <v>50</v>
      </c>
      <c r="L967">
        <v>67</v>
      </c>
      <c r="M967" t="s">
        <v>38</v>
      </c>
      <c r="N967" t="s">
        <v>56</v>
      </c>
      <c r="O967" t="s">
        <v>57</v>
      </c>
      <c r="P967" t="s">
        <v>41</v>
      </c>
      <c r="Q967" t="s">
        <v>52</v>
      </c>
      <c r="R967">
        <v>3669</v>
      </c>
      <c r="S967">
        <v>9075</v>
      </c>
      <c r="T967">
        <v>3</v>
      </c>
      <c r="U967" t="s">
        <v>46</v>
      </c>
      <c r="V967">
        <v>11</v>
      </c>
      <c r="W967" t="s">
        <v>43</v>
      </c>
      <c r="X967" t="s">
        <v>38</v>
      </c>
      <c r="Y967">
        <v>3</v>
      </c>
      <c r="Z967">
        <v>7</v>
      </c>
      <c r="AA967">
        <v>6</v>
      </c>
      <c r="AB967" t="s">
        <v>60</v>
      </c>
      <c r="AC967">
        <v>3</v>
      </c>
      <c r="AD967" t="str" cm="1">
        <f t="array" ref="AD967">_xlfn.IFS(AC967&lt;=5,"0-5",AC967&lt;=10,"5-10",AC967&lt;=40,"10-40")</f>
        <v>0-5</v>
      </c>
      <c r="AE967">
        <v>2</v>
      </c>
      <c r="AF967">
        <v>1</v>
      </c>
      <c r="AG967">
        <v>2</v>
      </c>
      <c r="AH967">
        <v>966</v>
      </c>
    </row>
    <row r="968" spans="1:34" x14ac:dyDescent="0.3">
      <c r="A968">
        <v>58</v>
      </c>
      <c r="B968" t="str" cm="1">
        <f t="array" ref="B968">_xlfn.IFS(A968&lt;=25,"18-25",A968&lt;=35,"26-35",A968&lt;=45,"36-45",A968&lt;=55,"46-55",A968&gt;55,"55+")</f>
        <v>55+</v>
      </c>
      <c r="C968">
        <v>1</v>
      </c>
      <c r="D968" t="s">
        <v>32</v>
      </c>
      <c r="E968">
        <v>601</v>
      </c>
      <c r="F968" t="s">
        <v>48</v>
      </c>
      <c r="G968">
        <v>7</v>
      </c>
      <c r="H968" t="s">
        <v>58</v>
      </c>
      <c r="I968" t="s">
        <v>59</v>
      </c>
      <c r="J968" t="s">
        <v>38</v>
      </c>
      <c r="K968" t="s">
        <v>37</v>
      </c>
      <c r="L968">
        <v>53</v>
      </c>
      <c r="M968" t="s">
        <v>36</v>
      </c>
      <c r="N968" t="s">
        <v>63</v>
      </c>
      <c r="O968" t="s">
        <v>64</v>
      </c>
      <c r="P968" t="s">
        <v>44</v>
      </c>
      <c r="Q968" t="s">
        <v>52</v>
      </c>
      <c r="R968">
        <v>10008</v>
      </c>
      <c r="S968">
        <v>12023</v>
      </c>
      <c r="T968">
        <v>7</v>
      </c>
      <c r="U968" t="s">
        <v>31</v>
      </c>
      <c r="V968">
        <v>14</v>
      </c>
      <c r="W968" t="s">
        <v>43</v>
      </c>
      <c r="X968" t="s">
        <v>41</v>
      </c>
      <c r="Y968">
        <v>0</v>
      </c>
      <c r="Z968">
        <v>31</v>
      </c>
      <c r="AA968">
        <v>0</v>
      </c>
      <c r="AB968" t="s">
        <v>60</v>
      </c>
      <c r="AC968">
        <v>10</v>
      </c>
      <c r="AD968" t="str" cm="1">
        <f t="array" ref="AD968">_xlfn.IFS(AC968&lt;=5,"0-5",AC968&lt;=10,"5-10",AC968&lt;=40,"10-40")</f>
        <v>5-10</v>
      </c>
      <c r="AE968">
        <v>9</v>
      </c>
      <c r="AF968">
        <v>5</v>
      </c>
      <c r="AG968">
        <v>9</v>
      </c>
      <c r="AH968">
        <v>967</v>
      </c>
    </row>
    <row r="969" spans="1:34" x14ac:dyDescent="0.3">
      <c r="A969">
        <v>40</v>
      </c>
      <c r="B969" t="str" cm="1">
        <f t="array" ref="B969">_xlfn.IFS(A969&lt;=25,"18-25",A969&lt;=35,"26-35",A969&lt;=45,"36-45",A969&lt;=55,"46-55",A969&gt;55,"55+")</f>
        <v>36-45</v>
      </c>
      <c r="C969">
        <v>0</v>
      </c>
      <c r="D969" t="s">
        <v>32</v>
      </c>
      <c r="E969">
        <v>329</v>
      </c>
      <c r="F969" t="s">
        <v>48</v>
      </c>
      <c r="G969">
        <v>1</v>
      </c>
      <c r="H969" t="s">
        <v>58</v>
      </c>
      <c r="I969" t="s">
        <v>35</v>
      </c>
      <c r="J969" t="s">
        <v>36</v>
      </c>
      <c r="K969" t="s">
        <v>50</v>
      </c>
      <c r="L969">
        <v>88</v>
      </c>
      <c r="M969" t="s">
        <v>38</v>
      </c>
      <c r="N969" t="s">
        <v>56</v>
      </c>
      <c r="O969" t="s">
        <v>57</v>
      </c>
      <c r="P969" t="s">
        <v>36</v>
      </c>
      <c r="Q969" t="s">
        <v>52</v>
      </c>
      <c r="R969">
        <v>2387</v>
      </c>
      <c r="S969">
        <v>6762</v>
      </c>
      <c r="T969">
        <v>3</v>
      </c>
      <c r="U969" t="s">
        <v>46</v>
      </c>
      <c r="V969">
        <v>22</v>
      </c>
      <c r="W969" t="s">
        <v>53</v>
      </c>
      <c r="X969" t="s">
        <v>38</v>
      </c>
      <c r="Y969">
        <v>1</v>
      </c>
      <c r="Z969">
        <v>7</v>
      </c>
      <c r="AA969">
        <v>3</v>
      </c>
      <c r="AB969" t="s">
        <v>54</v>
      </c>
      <c r="AC969">
        <v>4</v>
      </c>
      <c r="AD969" t="str" cm="1">
        <f t="array" ref="AD969">_xlfn.IFS(AC969&lt;=5,"0-5",AC969&lt;=10,"5-10",AC969&lt;=40,"10-40")</f>
        <v>0-5</v>
      </c>
      <c r="AE969">
        <v>2</v>
      </c>
      <c r="AF969">
        <v>0</v>
      </c>
      <c r="AG969">
        <v>3</v>
      </c>
      <c r="AH969">
        <v>968</v>
      </c>
    </row>
    <row r="970" spans="1:34" x14ac:dyDescent="0.3">
      <c r="A970">
        <v>36</v>
      </c>
      <c r="B970" t="str" cm="1">
        <f t="array" ref="B970">_xlfn.IFS(A970&lt;=25,"18-25",A970&lt;=35,"26-35",A970&lt;=45,"36-45",A970&lt;=55,"46-55",A970&gt;55,"55+")</f>
        <v>36-45</v>
      </c>
      <c r="C970">
        <v>0</v>
      </c>
      <c r="D970" t="s">
        <v>47</v>
      </c>
      <c r="E970">
        <v>607</v>
      </c>
      <c r="F970" t="s">
        <v>33</v>
      </c>
      <c r="G970">
        <v>7</v>
      </c>
      <c r="H970" t="s">
        <v>61</v>
      </c>
      <c r="I970" t="s">
        <v>72</v>
      </c>
      <c r="J970" t="s">
        <v>44</v>
      </c>
      <c r="K970" t="s">
        <v>37</v>
      </c>
      <c r="L970">
        <v>83</v>
      </c>
      <c r="M970" t="s">
        <v>41</v>
      </c>
      <c r="N970" t="s">
        <v>39</v>
      </c>
      <c r="O970" t="s">
        <v>40</v>
      </c>
      <c r="P970" t="s">
        <v>44</v>
      </c>
      <c r="Q970" t="s">
        <v>52</v>
      </c>
      <c r="R970">
        <v>4639</v>
      </c>
      <c r="S970">
        <v>2261</v>
      </c>
      <c r="T970">
        <v>2</v>
      </c>
      <c r="U970" t="s">
        <v>46</v>
      </c>
      <c r="V970">
        <v>16</v>
      </c>
      <c r="W970" t="s">
        <v>43</v>
      </c>
      <c r="X970" t="s">
        <v>41</v>
      </c>
      <c r="Y970">
        <v>1</v>
      </c>
      <c r="Z970">
        <v>17</v>
      </c>
      <c r="AA970">
        <v>2</v>
      </c>
      <c r="AB970" t="s">
        <v>60</v>
      </c>
      <c r="AC970">
        <v>15</v>
      </c>
      <c r="AD970" t="str" cm="1">
        <f t="array" ref="AD970">_xlfn.IFS(AC970&lt;=5,"0-5",AC970&lt;=10,"5-10",AC970&lt;=40,"10-40")</f>
        <v>10-40</v>
      </c>
      <c r="AE970">
        <v>7</v>
      </c>
      <c r="AF970">
        <v>6</v>
      </c>
      <c r="AG970">
        <v>13</v>
      </c>
      <c r="AH970">
        <v>969</v>
      </c>
    </row>
    <row r="971" spans="1:34" x14ac:dyDescent="0.3">
      <c r="A971">
        <v>48</v>
      </c>
      <c r="B971" t="str" cm="1">
        <f t="array" ref="B971">_xlfn.IFS(A971&lt;=25,"18-25",A971&lt;=35,"26-35",A971&lt;=45,"36-45",A971&lt;=55,"46-55",A971&gt;55,"55+")</f>
        <v>46-55</v>
      </c>
      <c r="C971">
        <v>0</v>
      </c>
      <c r="D971" t="s">
        <v>32</v>
      </c>
      <c r="E971">
        <v>855</v>
      </c>
      <c r="F971" t="s">
        <v>48</v>
      </c>
      <c r="G971">
        <v>4</v>
      </c>
      <c r="H971" t="s">
        <v>61</v>
      </c>
      <c r="I971" t="s">
        <v>35</v>
      </c>
      <c r="J971" t="s">
        <v>41</v>
      </c>
      <c r="K971" t="s">
        <v>50</v>
      </c>
      <c r="L971">
        <v>54</v>
      </c>
      <c r="M971" t="s">
        <v>38</v>
      </c>
      <c r="N971" t="s">
        <v>63</v>
      </c>
      <c r="O971" t="s">
        <v>64</v>
      </c>
      <c r="P971" t="s">
        <v>41</v>
      </c>
      <c r="Q971" t="s">
        <v>42</v>
      </c>
      <c r="R971">
        <v>7898</v>
      </c>
      <c r="S971">
        <v>18706</v>
      </c>
      <c r="T971">
        <v>1</v>
      </c>
      <c r="U971" t="s">
        <v>46</v>
      </c>
      <c r="V971">
        <v>11</v>
      </c>
      <c r="W971" t="s">
        <v>43</v>
      </c>
      <c r="X971" t="s">
        <v>38</v>
      </c>
      <c r="Y971">
        <v>0</v>
      </c>
      <c r="Z971">
        <v>11</v>
      </c>
      <c r="AA971">
        <v>2</v>
      </c>
      <c r="AB971" t="s">
        <v>54</v>
      </c>
      <c r="AC971">
        <v>10</v>
      </c>
      <c r="AD971" t="str" cm="1">
        <f t="array" ref="AD971">_xlfn.IFS(AC971&lt;=5,"0-5",AC971&lt;=10,"5-10",AC971&lt;=40,"10-40")</f>
        <v>5-10</v>
      </c>
      <c r="AE971">
        <v>9</v>
      </c>
      <c r="AF971">
        <v>0</v>
      </c>
      <c r="AG971">
        <v>8</v>
      </c>
      <c r="AH971">
        <v>970</v>
      </c>
    </row>
    <row r="972" spans="1:34" x14ac:dyDescent="0.3">
      <c r="A972">
        <v>27</v>
      </c>
      <c r="B972" t="str" cm="1">
        <f t="array" ref="B972">_xlfn.IFS(A972&lt;=25,"18-25",A972&lt;=35,"26-35",A972&lt;=45,"36-45",A972&lt;=55,"46-55",A972&gt;55,"55+")</f>
        <v>26-35</v>
      </c>
      <c r="C972">
        <v>0</v>
      </c>
      <c r="D972" t="s">
        <v>32</v>
      </c>
      <c r="E972">
        <v>1291</v>
      </c>
      <c r="F972" t="s">
        <v>33</v>
      </c>
      <c r="G972">
        <v>11</v>
      </c>
      <c r="H972" t="s">
        <v>61</v>
      </c>
      <c r="I972" t="s">
        <v>59</v>
      </c>
      <c r="J972" t="s">
        <v>38</v>
      </c>
      <c r="K972" t="s">
        <v>37</v>
      </c>
      <c r="L972">
        <v>98</v>
      </c>
      <c r="M972" t="s">
        <v>41</v>
      </c>
      <c r="N972" t="s">
        <v>56</v>
      </c>
      <c r="O972" t="s">
        <v>69</v>
      </c>
      <c r="P972" t="s">
        <v>41</v>
      </c>
      <c r="Q972" t="s">
        <v>52</v>
      </c>
      <c r="R972">
        <v>2534</v>
      </c>
      <c r="S972">
        <v>6527</v>
      </c>
      <c r="T972">
        <v>8</v>
      </c>
      <c r="U972" t="s">
        <v>46</v>
      </c>
      <c r="V972">
        <v>14</v>
      </c>
      <c r="W972" t="s">
        <v>43</v>
      </c>
      <c r="X972" t="s">
        <v>36</v>
      </c>
      <c r="Y972">
        <v>1</v>
      </c>
      <c r="Z972">
        <v>5</v>
      </c>
      <c r="AA972">
        <v>4</v>
      </c>
      <c r="AB972" t="s">
        <v>54</v>
      </c>
      <c r="AC972">
        <v>1</v>
      </c>
      <c r="AD972" t="str" cm="1">
        <f t="array" ref="AD972">_xlfn.IFS(AC972&lt;=5,"0-5",AC972&lt;=10,"5-10",AC972&lt;=40,"10-40")</f>
        <v>0-5</v>
      </c>
      <c r="AE972">
        <v>0</v>
      </c>
      <c r="AF972">
        <v>0</v>
      </c>
      <c r="AG972">
        <v>0</v>
      </c>
      <c r="AH972">
        <v>971</v>
      </c>
    </row>
    <row r="973" spans="1:34" x14ac:dyDescent="0.3">
      <c r="A973">
        <v>51</v>
      </c>
      <c r="B973" t="str" cm="1">
        <f t="array" ref="B973">_xlfn.IFS(A973&lt;=25,"18-25",A973&lt;=35,"26-35",A973&lt;=45,"36-45",A973&lt;=55,"46-55",A973&gt;55,"55+")</f>
        <v>46-55</v>
      </c>
      <c r="C973">
        <v>0</v>
      </c>
      <c r="D973" t="s">
        <v>32</v>
      </c>
      <c r="E973">
        <v>1405</v>
      </c>
      <c r="F973" t="s">
        <v>48</v>
      </c>
      <c r="G973">
        <v>11</v>
      </c>
      <c r="H973" t="s">
        <v>34</v>
      </c>
      <c r="I973" t="s">
        <v>74</v>
      </c>
      <c r="J973" t="s">
        <v>41</v>
      </c>
      <c r="K973" t="s">
        <v>37</v>
      </c>
      <c r="L973">
        <v>82</v>
      </c>
      <c r="M973" t="s">
        <v>36</v>
      </c>
      <c r="N973" t="s">
        <v>67</v>
      </c>
      <c r="O973" t="s">
        <v>64</v>
      </c>
      <c r="P973" t="s">
        <v>36</v>
      </c>
      <c r="Q973" t="s">
        <v>42</v>
      </c>
      <c r="R973">
        <v>13142</v>
      </c>
      <c r="S973">
        <v>24439</v>
      </c>
      <c r="T973">
        <v>3</v>
      </c>
      <c r="U973" t="s">
        <v>46</v>
      </c>
      <c r="V973">
        <v>16</v>
      </c>
      <c r="W973" t="s">
        <v>43</v>
      </c>
      <c r="X973" t="s">
        <v>36</v>
      </c>
      <c r="Y973">
        <v>0</v>
      </c>
      <c r="Z973">
        <v>29</v>
      </c>
      <c r="AA973">
        <v>1</v>
      </c>
      <c r="AB973" t="s">
        <v>60</v>
      </c>
      <c r="AC973">
        <v>5</v>
      </c>
      <c r="AD973" t="str" cm="1">
        <f t="array" ref="AD973">_xlfn.IFS(AC973&lt;=5,"0-5",AC973&lt;=10,"5-10",AC973&lt;=40,"10-40")</f>
        <v>0-5</v>
      </c>
      <c r="AE973">
        <v>2</v>
      </c>
      <c r="AF973">
        <v>0</v>
      </c>
      <c r="AG973">
        <v>3</v>
      </c>
      <c r="AH973">
        <v>972</v>
      </c>
    </row>
    <row r="974" spans="1:34" x14ac:dyDescent="0.3">
      <c r="A974">
        <v>18</v>
      </c>
      <c r="B974" t="str" cm="1">
        <f t="array" ref="B974">_xlfn.IFS(A974&lt;=25,"18-25",A974&lt;=35,"26-35",A974&lt;=45,"36-45",A974&lt;=55,"46-55",A974&gt;55,"55+")</f>
        <v>18-25</v>
      </c>
      <c r="C974">
        <v>0</v>
      </c>
      <c r="D974" t="s">
        <v>66</v>
      </c>
      <c r="E974">
        <v>1124</v>
      </c>
      <c r="F974" t="s">
        <v>48</v>
      </c>
      <c r="G974">
        <v>1</v>
      </c>
      <c r="H974" t="s">
        <v>61</v>
      </c>
      <c r="I974" t="s">
        <v>35</v>
      </c>
      <c r="J974" t="s">
        <v>41</v>
      </c>
      <c r="K974" t="s">
        <v>37</v>
      </c>
      <c r="L974">
        <v>97</v>
      </c>
      <c r="M974" t="s">
        <v>38</v>
      </c>
      <c r="N974" t="s">
        <v>56</v>
      </c>
      <c r="O974" t="s">
        <v>57</v>
      </c>
      <c r="P974" t="s">
        <v>41</v>
      </c>
      <c r="Q974" t="s">
        <v>42</v>
      </c>
      <c r="R974">
        <v>1611</v>
      </c>
      <c r="S974">
        <v>19305</v>
      </c>
      <c r="T974">
        <v>1</v>
      </c>
      <c r="U974" t="s">
        <v>46</v>
      </c>
      <c r="V974">
        <v>15</v>
      </c>
      <c r="W974" t="s">
        <v>43</v>
      </c>
      <c r="X974" t="s">
        <v>38</v>
      </c>
      <c r="Y974">
        <v>0</v>
      </c>
      <c r="Z974">
        <v>0</v>
      </c>
      <c r="AA974">
        <v>5</v>
      </c>
      <c r="AB974" t="s">
        <v>73</v>
      </c>
      <c r="AC974">
        <v>0</v>
      </c>
      <c r="AD974" t="str" cm="1">
        <f t="array" ref="AD974">_xlfn.IFS(AC974&lt;=5,"0-5",AC974&lt;=10,"5-10",AC974&lt;=40,"10-40")</f>
        <v>0-5</v>
      </c>
      <c r="AE974">
        <v>0</v>
      </c>
      <c r="AF974">
        <v>0</v>
      </c>
      <c r="AG974">
        <v>0</v>
      </c>
      <c r="AH974">
        <v>973</v>
      </c>
    </row>
    <row r="975" spans="1:34" x14ac:dyDescent="0.3">
      <c r="A975">
        <v>35</v>
      </c>
      <c r="B975" t="str" cm="1">
        <f t="array" ref="B975">_xlfn.IFS(A975&lt;=25,"18-25",A975&lt;=35,"26-35",A975&lt;=45,"36-45",A975&lt;=55,"46-55",A975&gt;55,"55+")</f>
        <v>26-35</v>
      </c>
      <c r="C975">
        <v>0</v>
      </c>
      <c r="D975" t="s">
        <v>32</v>
      </c>
      <c r="E975">
        <v>817</v>
      </c>
      <c r="F975" t="s">
        <v>48</v>
      </c>
      <c r="G975">
        <v>1</v>
      </c>
      <c r="H975" t="s">
        <v>61</v>
      </c>
      <c r="I975" t="s">
        <v>59</v>
      </c>
      <c r="J975" t="s">
        <v>41</v>
      </c>
      <c r="K975" t="s">
        <v>37</v>
      </c>
      <c r="L975">
        <v>60</v>
      </c>
      <c r="M975" t="s">
        <v>36</v>
      </c>
      <c r="N975" t="s">
        <v>39</v>
      </c>
      <c r="O975" t="s">
        <v>57</v>
      </c>
      <c r="P975" t="s">
        <v>41</v>
      </c>
      <c r="Q975" t="s">
        <v>52</v>
      </c>
      <c r="R975">
        <v>5363</v>
      </c>
      <c r="S975">
        <v>10846</v>
      </c>
      <c r="T975">
        <v>0</v>
      </c>
      <c r="U975" t="s">
        <v>46</v>
      </c>
      <c r="V975">
        <v>12</v>
      </c>
      <c r="W975" t="s">
        <v>43</v>
      </c>
      <c r="X975" t="s">
        <v>36</v>
      </c>
      <c r="Y975">
        <v>1</v>
      </c>
      <c r="Z975">
        <v>10</v>
      </c>
      <c r="AA975">
        <v>0</v>
      </c>
      <c r="AB975" t="s">
        <v>54</v>
      </c>
      <c r="AC975">
        <v>9</v>
      </c>
      <c r="AD975" t="str" cm="1">
        <f t="array" ref="AD975">_xlfn.IFS(AC975&lt;=5,"0-5",AC975&lt;=10,"5-10",AC975&lt;=40,"10-40")</f>
        <v>5-10</v>
      </c>
      <c r="AE975">
        <v>7</v>
      </c>
      <c r="AF975">
        <v>0</v>
      </c>
      <c r="AG975">
        <v>0</v>
      </c>
      <c r="AH975">
        <v>974</v>
      </c>
    </row>
    <row r="976" spans="1:34" x14ac:dyDescent="0.3">
      <c r="A976">
        <v>27</v>
      </c>
      <c r="B976" t="str" cm="1">
        <f t="array" ref="B976">_xlfn.IFS(A976&lt;=25,"18-25",A976&lt;=35,"26-35",A976&lt;=45,"36-45",A976&lt;=55,"46-55",A976&gt;55,"55+")</f>
        <v>26-35</v>
      </c>
      <c r="C976">
        <v>0</v>
      </c>
      <c r="D976" t="s">
        <v>47</v>
      </c>
      <c r="E976">
        <v>793</v>
      </c>
      <c r="F976" t="s">
        <v>33</v>
      </c>
      <c r="G976">
        <v>2</v>
      </c>
      <c r="H976" t="s">
        <v>49</v>
      </c>
      <c r="I976" t="s">
        <v>35</v>
      </c>
      <c r="J976" t="s">
        <v>41</v>
      </c>
      <c r="K976" t="s">
        <v>50</v>
      </c>
      <c r="L976">
        <v>43</v>
      </c>
      <c r="M976" t="s">
        <v>44</v>
      </c>
      <c r="N976" t="s">
        <v>39</v>
      </c>
      <c r="O976" t="s">
        <v>40</v>
      </c>
      <c r="P976" t="s">
        <v>41</v>
      </c>
      <c r="Q976" t="s">
        <v>42</v>
      </c>
      <c r="R976">
        <v>5071</v>
      </c>
      <c r="S976">
        <v>20392</v>
      </c>
      <c r="T976">
        <v>3</v>
      </c>
      <c r="U976" t="s">
        <v>46</v>
      </c>
      <c r="V976">
        <v>20</v>
      </c>
      <c r="W976" t="s">
        <v>53</v>
      </c>
      <c r="X976" t="s">
        <v>36</v>
      </c>
      <c r="Y976">
        <v>0</v>
      </c>
      <c r="Z976">
        <v>8</v>
      </c>
      <c r="AA976">
        <v>3</v>
      </c>
      <c r="AB976" t="s">
        <v>54</v>
      </c>
      <c r="AC976">
        <v>6</v>
      </c>
      <c r="AD976" t="str" cm="1">
        <f t="array" ref="AD976">_xlfn.IFS(AC976&lt;=5,"0-5",AC976&lt;=10,"5-10",AC976&lt;=40,"10-40")</f>
        <v>5-10</v>
      </c>
      <c r="AE976">
        <v>2</v>
      </c>
      <c r="AF976">
        <v>0</v>
      </c>
      <c r="AG976">
        <v>0</v>
      </c>
      <c r="AH976">
        <v>975</v>
      </c>
    </row>
    <row r="977" spans="1:34" x14ac:dyDescent="0.3">
      <c r="A977">
        <v>55</v>
      </c>
      <c r="B977" t="str" cm="1">
        <f t="array" ref="B977">_xlfn.IFS(A977&lt;=25,"18-25",A977&lt;=35,"26-35",A977&lt;=45,"36-45",A977&lt;=55,"46-55",A977&gt;55,"55+")</f>
        <v>46-55</v>
      </c>
      <c r="C977">
        <v>1</v>
      </c>
      <c r="D977" t="s">
        <v>32</v>
      </c>
      <c r="E977">
        <v>267</v>
      </c>
      <c r="F977" t="s">
        <v>33</v>
      </c>
      <c r="G977">
        <v>13</v>
      </c>
      <c r="H977" t="s">
        <v>58</v>
      </c>
      <c r="I977" t="s">
        <v>72</v>
      </c>
      <c r="J977" t="s">
        <v>44</v>
      </c>
      <c r="K977" t="s">
        <v>50</v>
      </c>
      <c r="L977">
        <v>85</v>
      </c>
      <c r="M977" t="s">
        <v>41</v>
      </c>
      <c r="N977" t="s">
        <v>67</v>
      </c>
      <c r="O977" t="s">
        <v>40</v>
      </c>
      <c r="P977" t="s">
        <v>38</v>
      </c>
      <c r="Q977" t="s">
        <v>42</v>
      </c>
      <c r="R977">
        <v>13695</v>
      </c>
      <c r="S977">
        <v>9277</v>
      </c>
      <c r="T977">
        <v>6</v>
      </c>
      <c r="U977" t="s">
        <v>31</v>
      </c>
      <c r="V977">
        <v>17</v>
      </c>
      <c r="W977" t="s">
        <v>43</v>
      </c>
      <c r="X977" t="s">
        <v>38</v>
      </c>
      <c r="Y977">
        <v>0</v>
      </c>
      <c r="Z977">
        <v>24</v>
      </c>
      <c r="AA977">
        <v>2</v>
      </c>
      <c r="AB977" t="s">
        <v>60</v>
      </c>
      <c r="AC977">
        <v>19</v>
      </c>
      <c r="AD977" t="str" cm="1">
        <f t="array" ref="AD977">_xlfn.IFS(AC977&lt;=5,"0-5",AC977&lt;=10,"5-10",AC977&lt;=40,"10-40")</f>
        <v>10-40</v>
      </c>
      <c r="AE977">
        <v>7</v>
      </c>
      <c r="AF977">
        <v>3</v>
      </c>
      <c r="AG977">
        <v>8</v>
      </c>
      <c r="AH977">
        <v>976</v>
      </c>
    </row>
    <row r="978" spans="1:34" x14ac:dyDescent="0.3">
      <c r="A978">
        <v>56</v>
      </c>
      <c r="B978" t="str" cm="1">
        <f t="array" ref="B978">_xlfn.IFS(A978&lt;=25,"18-25",A978&lt;=35,"26-35",A978&lt;=45,"36-45",A978&lt;=55,"46-55",A978&gt;55,"55+")</f>
        <v>55+</v>
      </c>
      <c r="C978">
        <v>0</v>
      </c>
      <c r="D978" t="s">
        <v>32</v>
      </c>
      <c r="E978">
        <v>1369</v>
      </c>
      <c r="F978" t="s">
        <v>48</v>
      </c>
      <c r="G978">
        <v>23</v>
      </c>
      <c r="H978" t="s">
        <v>61</v>
      </c>
      <c r="I978" t="s">
        <v>35</v>
      </c>
      <c r="J978" t="s">
        <v>41</v>
      </c>
      <c r="K978" t="s">
        <v>50</v>
      </c>
      <c r="L978">
        <v>68</v>
      </c>
      <c r="M978" t="s">
        <v>38</v>
      </c>
      <c r="N978" t="s">
        <v>67</v>
      </c>
      <c r="O978" t="s">
        <v>64</v>
      </c>
      <c r="P978" t="s">
        <v>36</v>
      </c>
      <c r="Q978" t="s">
        <v>52</v>
      </c>
      <c r="R978">
        <v>13402</v>
      </c>
      <c r="S978">
        <v>18235</v>
      </c>
      <c r="T978">
        <v>4</v>
      </c>
      <c r="U978" t="s">
        <v>31</v>
      </c>
      <c r="V978">
        <v>12</v>
      </c>
      <c r="W978" t="s">
        <v>43</v>
      </c>
      <c r="X978" t="s">
        <v>44</v>
      </c>
      <c r="Y978">
        <v>1</v>
      </c>
      <c r="Z978">
        <v>33</v>
      </c>
      <c r="AA978">
        <v>0</v>
      </c>
      <c r="AB978" t="s">
        <v>54</v>
      </c>
      <c r="AC978">
        <v>19</v>
      </c>
      <c r="AD978" t="str" cm="1">
        <f t="array" ref="AD978">_xlfn.IFS(AC978&lt;=5,"0-5",AC978&lt;=10,"5-10",AC978&lt;=40,"10-40")</f>
        <v>10-40</v>
      </c>
      <c r="AE978">
        <v>16</v>
      </c>
      <c r="AF978">
        <v>15</v>
      </c>
      <c r="AG978">
        <v>9</v>
      </c>
      <c r="AH978">
        <v>977</v>
      </c>
    </row>
    <row r="979" spans="1:34" x14ac:dyDescent="0.3">
      <c r="A979">
        <v>34</v>
      </c>
      <c r="B979" t="str" cm="1">
        <f t="array" ref="B979">_xlfn.IFS(A979&lt;=25,"18-25",A979&lt;=35,"26-35",A979&lt;=45,"36-45",A979&lt;=55,"46-55",A979&gt;55,"55+")</f>
        <v>26-35</v>
      </c>
      <c r="C979">
        <v>0</v>
      </c>
      <c r="D979" t="s">
        <v>66</v>
      </c>
      <c r="E979">
        <v>999</v>
      </c>
      <c r="F979" t="s">
        <v>48</v>
      </c>
      <c r="G979">
        <v>26</v>
      </c>
      <c r="H979" t="s">
        <v>49</v>
      </c>
      <c r="I979" t="s">
        <v>74</v>
      </c>
      <c r="J979" t="s">
        <v>44</v>
      </c>
      <c r="K979" t="s">
        <v>37</v>
      </c>
      <c r="L979">
        <v>92</v>
      </c>
      <c r="M979" t="s">
        <v>36</v>
      </c>
      <c r="N979" t="s">
        <v>56</v>
      </c>
      <c r="O979" t="s">
        <v>51</v>
      </c>
      <c r="P979" t="s">
        <v>38</v>
      </c>
      <c r="Q979" t="s">
        <v>62</v>
      </c>
      <c r="R979">
        <v>2029</v>
      </c>
      <c r="S979">
        <v>15891</v>
      </c>
      <c r="T979">
        <v>1</v>
      </c>
      <c r="U979" t="s">
        <v>46</v>
      </c>
      <c r="V979">
        <v>20</v>
      </c>
      <c r="W979" t="s">
        <v>53</v>
      </c>
      <c r="X979" t="s">
        <v>38</v>
      </c>
      <c r="Y979">
        <v>3</v>
      </c>
      <c r="Z979">
        <v>5</v>
      </c>
      <c r="AA979">
        <v>2</v>
      </c>
      <c r="AB979" t="s">
        <v>54</v>
      </c>
      <c r="AC979">
        <v>5</v>
      </c>
      <c r="AD979" t="str" cm="1">
        <f t="array" ref="AD979">_xlfn.IFS(AC979&lt;=5,"0-5",AC979&lt;=10,"5-10",AC979&lt;=40,"10-40")</f>
        <v>0-5</v>
      </c>
      <c r="AE979">
        <v>4</v>
      </c>
      <c r="AF979">
        <v>0</v>
      </c>
      <c r="AG979">
        <v>0</v>
      </c>
      <c r="AH979">
        <v>978</v>
      </c>
    </row>
    <row r="980" spans="1:34" x14ac:dyDescent="0.3">
      <c r="A980">
        <v>40</v>
      </c>
      <c r="B980" t="str" cm="1">
        <f t="array" ref="B980">_xlfn.IFS(A980&lt;=25,"18-25",A980&lt;=35,"26-35",A980&lt;=45,"36-45",A980&lt;=55,"46-55",A980&gt;55,"55+")</f>
        <v>36-45</v>
      </c>
      <c r="C980">
        <v>0</v>
      </c>
      <c r="D980" t="s">
        <v>32</v>
      </c>
      <c r="E980">
        <v>1202</v>
      </c>
      <c r="F980" t="s">
        <v>48</v>
      </c>
      <c r="G980">
        <v>2</v>
      </c>
      <c r="H980" t="s">
        <v>49</v>
      </c>
      <c r="I980" t="s">
        <v>59</v>
      </c>
      <c r="J980" t="s">
        <v>36</v>
      </c>
      <c r="K980" t="s">
        <v>37</v>
      </c>
      <c r="L980">
        <v>89</v>
      </c>
      <c r="M980" t="s">
        <v>41</v>
      </c>
      <c r="N980" t="s">
        <v>39</v>
      </c>
      <c r="O980" t="s">
        <v>65</v>
      </c>
      <c r="P980" t="s">
        <v>38</v>
      </c>
      <c r="Q980" t="s">
        <v>62</v>
      </c>
      <c r="R980">
        <v>6377</v>
      </c>
      <c r="S980">
        <v>13888</v>
      </c>
      <c r="T980">
        <v>5</v>
      </c>
      <c r="U980" t="s">
        <v>46</v>
      </c>
      <c r="V980">
        <v>20</v>
      </c>
      <c r="W980" t="s">
        <v>53</v>
      </c>
      <c r="X980" t="s">
        <v>36</v>
      </c>
      <c r="Y980">
        <v>3</v>
      </c>
      <c r="Z980">
        <v>15</v>
      </c>
      <c r="AA980">
        <v>0</v>
      </c>
      <c r="AB980" t="s">
        <v>54</v>
      </c>
      <c r="AC980">
        <v>12</v>
      </c>
      <c r="AD980" t="str" cm="1">
        <f t="array" ref="AD980">_xlfn.IFS(AC980&lt;=5,"0-5",AC980&lt;=10,"5-10",AC980&lt;=40,"10-40")</f>
        <v>10-40</v>
      </c>
      <c r="AE980">
        <v>11</v>
      </c>
      <c r="AF980">
        <v>11</v>
      </c>
      <c r="AG980">
        <v>8</v>
      </c>
      <c r="AH980">
        <v>979</v>
      </c>
    </row>
    <row r="981" spans="1:34" x14ac:dyDescent="0.3">
      <c r="A981">
        <v>34</v>
      </c>
      <c r="B981" t="str" cm="1">
        <f t="array" ref="B981">_xlfn.IFS(A981&lt;=25,"18-25",A981&lt;=35,"26-35",A981&lt;=45,"36-45",A981&lt;=55,"46-55",A981&gt;55,"55+")</f>
        <v>26-35</v>
      </c>
      <c r="C981">
        <v>0</v>
      </c>
      <c r="D981" t="s">
        <v>32</v>
      </c>
      <c r="E981">
        <v>285</v>
      </c>
      <c r="F981" t="s">
        <v>48</v>
      </c>
      <c r="G981">
        <v>29</v>
      </c>
      <c r="H981" t="s">
        <v>61</v>
      </c>
      <c r="I981" t="s">
        <v>59</v>
      </c>
      <c r="J981" t="s">
        <v>36</v>
      </c>
      <c r="K981" t="s">
        <v>50</v>
      </c>
      <c r="L981">
        <v>86</v>
      </c>
      <c r="M981" t="s">
        <v>38</v>
      </c>
      <c r="N981" t="s">
        <v>39</v>
      </c>
      <c r="O981" t="s">
        <v>57</v>
      </c>
      <c r="P981" t="s">
        <v>38</v>
      </c>
      <c r="Q981" t="s">
        <v>52</v>
      </c>
      <c r="R981">
        <v>5429</v>
      </c>
      <c r="S981">
        <v>17491</v>
      </c>
      <c r="T981">
        <v>4</v>
      </c>
      <c r="U981" t="s">
        <v>46</v>
      </c>
      <c r="V981">
        <v>13</v>
      </c>
      <c r="W981" t="s">
        <v>43</v>
      </c>
      <c r="X981" t="s">
        <v>44</v>
      </c>
      <c r="Y981">
        <v>2</v>
      </c>
      <c r="Z981">
        <v>10</v>
      </c>
      <c r="AA981">
        <v>1</v>
      </c>
      <c r="AB981" t="s">
        <v>54</v>
      </c>
      <c r="AC981">
        <v>8</v>
      </c>
      <c r="AD981" t="str" cm="1">
        <f t="array" ref="AD981">_xlfn.IFS(AC981&lt;=5,"0-5",AC981&lt;=10,"5-10",AC981&lt;=40,"10-40")</f>
        <v>5-10</v>
      </c>
      <c r="AE981">
        <v>7</v>
      </c>
      <c r="AF981">
        <v>7</v>
      </c>
      <c r="AG981">
        <v>7</v>
      </c>
      <c r="AH981">
        <v>980</v>
      </c>
    </row>
    <row r="982" spans="1:34" x14ac:dyDescent="0.3">
      <c r="A982">
        <v>31</v>
      </c>
      <c r="B982" t="str" cm="1">
        <f t="array" ref="B982">_xlfn.IFS(A982&lt;=25,"18-25",A982&lt;=35,"26-35",A982&lt;=45,"36-45",A982&lt;=55,"46-55",A982&gt;55,"55+")</f>
        <v>26-35</v>
      </c>
      <c r="C982">
        <v>1</v>
      </c>
      <c r="D982" t="s">
        <v>47</v>
      </c>
      <c r="E982">
        <v>703</v>
      </c>
      <c r="F982" t="s">
        <v>33</v>
      </c>
      <c r="G982">
        <v>2</v>
      </c>
      <c r="H982" t="s">
        <v>61</v>
      </c>
      <c r="I982" t="s">
        <v>35</v>
      </c>
      <c r="J982" t="s">
        <v>38</v>
      </c>
      <c r="K982" t="s">
        <v>37</v>
      </c>
      <c r="L982">
        <v>90</v>
      </c>
      <c r="M982" t="s">
        <v>36</v>
      </c>
      <c r="N982" t="s">
        <v>56</v>
      </c>
      <c r="O982" t="s">
        <v>69</v>
      </c>
      <c r="P982" t="s">
        <v>41</v>
      </c>
      <c r="Q982" t="s">
        <v>42</v>
      </c>
      <c r="R982">
        <v>2785</v>
      </c>
      <c r="S982">
        <v>11882</v>
      </c>
      <c r="T982">
        <v>7</v>
      </c>
      <c r="U982" t="s">
        <v>46</v>
      </c>
      <c r="V982">
        <v>14</v>
      </c>
      <c r="W982" t="s">
        <v>43</v>
      </c>
      <c r="X982" t="s">
        <v>38</v>
      </c>
      <c r="Y982">
        <v>0</v>
      </c>
      <c r="Z982">
        <v>3</v>
      </c>
      <c r="AA982">
        <v>3</v>
      </c>
      <c r="AB982" t="s">
        <v>73</v>
      </c>
      <c r="AC982">
        <v>1</v>
      </c>
      <c r="AD982" t="str" cm="1">
        <f t="array" ref="AD982">_xlfn.IFS(AC982&lt;=5,"0-5",AC982&lt;=10,"5-10",AC982&lt;=40,"10-40")</f>
        <v>0-5</v>
      </c>
      <c r="AE982">
        <v>0</v>
      </c>
      <c r="AF982">
        <v>0</v>
      </c>
      <c r="AG982">
        <v>0</v>
      </c>
      <c r="AH982">
        <v>981</v>
      </c>
    </row>
    <row r="983" spans="1:34" x14ac:dyDescent="0.3">
      <c r="A983">
        <v>35</v>
      </c>
      <c r="B983" t="str" cm="1">
        <f t="array" ref="B983">_xlfn.IFS(A983&lt;=25,"18-25",A983&lt;=35,"26-35",A983&lt;=45,"36-45",A983&lt;=55,"46-55",A983&gt;55,"55+")</f>
        <v>26-35</v>
      </c>
      <c r="C983">
        <v>1</v>
      </c>
      <c r="D983" t="s">
        <v>47</v>
      </c>
      <c r="E983">
        <v>662</v>
      </c>
      <c r="F983" t="s">
        <v>33</v>
      </c>
      <c r="G983">
        <v>18</v>
      </c>
      <c r="H983" t="s">
        <v>58</v>
      </c>
      <c r="I983" t="s">
        <v>72</v>
      </c>
      <c r="J983" t="s">
        <v>41</v>
      </c>
      <c r="K983" t="s">
        <v>37</v>
      </c>
      <c r="L983">
        <v>67</v>
      </c>
      <c r="M983" t="s">
        <v>38</v>
      </c>
      <c r="N983" t="s">
        <v>39</v>
      </c>
      <c r="O983" t="s">
        <v>40</v>
      </c>
      <c r="P983" t="s">
        <v>38</v>
      </c>
      <c r="Q983" t="s">
        <v>52</v>
      </c>
      <c r="R983">
        <v>4614</v>
      </c>
      <c r="S983">
        <v>23288</v>
      </c>
      <c r="T983">
        <v>0</v>
      </c>
      <c r="U983" t="s">
        <v>31</v>
      </c>
      <c r="V983">
        <v>18</v>
      </c>
      <c r="W983" t="s">
        <v>43</v>
      </c>
      <c r="X983" t="s">
        <v>38</v>
      </c>
      <c r="Y983">
        <v>1</v>
      </c>
      <c r="Z983">
        <v>5</v>
      </c>
      <c r="AA983">
        <v>0</v>
      </c>
      <c r="AB983" t="s">
        <v>60</v>
      </c>
      <c r="AC983">
        <v>4</v>
      </c>
      <c r="AD983" t="str" cm="1">
        <f t="array" ref="AD983">_xlfn.IFS(AC983&lt;=5,"0-5",AC983&lt;=10,"5-10",AC983&lt;=40,"10-40")</f>
        <v>0-5</v>
      </c>
      <c r="AE983">
        <v>2</v>
      </c>
      <c r="AF983">
        <v>3</v>
      </c>
      <c r="AG983">
        <v>2</v>
      </c>
      <c r="AH983">
        <v>982</v>
      </c>
    </row>
    <row r="984" spans="1:34" x14ac:dyDescent="0.3">
      <c r="A984">
        <v>38</v>
      </c>
      <c r="B984" t="str" cm="1">
        <f t="array" ref="B984">_xlfn.IFS(A984&lt;=25,"18-25",A984&lt;=35,"26-35",A984&lt;=45,"36-45",A984&lt;=55,"46-55",A984&gt;55,"55+")</f>
        <v>36-45</v>
      </c>
      <c r="C984">
        <v>0</v>
      </c>
      <c r="D984" t="s">
        <v>47</v>
      </c>
      <c r="E984">
        <v>693</v>
      </c>
      <c r="F984" t="s">
        <v>48</v>
      </c>
      <c r="G984">
        <v>7</v>
      </c>
      <c r="H984" t="s">
        <v>61</v>
      </c>
      <c r="I984" t="s">
        <v>35</v>
      </c>
      <c r="J984" t="s">
        <v>41</v>
      </c>
      <c r="K984" t="s">
        <v>50</v>
      </c>
      <c r="L984">
        <v>57</v>
      </c>
      <c r="M984" t="s">
        <v>41</v>
      </c>
      <c r="N984" t="s">
        <v>56</v>
      </c>
      <c r="O984" t="s">
        <v>51</v>
      </c>
      <c r="P984" t="s">
        <v>38</v>
      </c>
      <c r="Q984" t="s">
        <v>62</v>
      </c>
      <c r="R984">
        <v>2610</v>
      </c>
      <c r="S984">
        <v>15748</v>
      </c>
      <c r="T984">
        <v>1</v>
      </c>
      <c r="U984" t="s">
        <v>46</v>
      </c>
      <c r="V984">
        <v>11</v>
      </c>
      <c r="W984" t="s">
        <v>43</v>
      </c>
      <c r="X984" t="s">
        <v>41</v>
      </c>
      <c r="Y984">
        <v>3</v>
      </c>
      <c r="Z984">
        <v>4</v>
      </c>
      <c r="AA984">
        <v>2</v>
      </c>
      <c r="AB984" t="s">
        <v>54</v>
      </c>
      <c r="AC984">
        <v>4</v>
      </c>
      <c r="AD984" t="str" cm="1">
        <f t="array" ref="AD984">_xlfn.IFS(AC984&lt;=5,"0-5",AC984&lt;=10,"5-10",AC984&lt;=40,"10-40")</f>
        <v>0-5</v>
      </c>
      <c r="AE984">
        <v>2</v>
      </c>
      <c r="AF984">
        <v>0</v>
      </c>
      <c r="AG984">
        <v>3</v>
      </c>
      <c r="AH984">
        <v>983</v>
      </c>
    </row>
    <row r="985" spans="1:34" x14ac:dyDescent="0.3">
      <c r="A985">
        <v>34</v>
      </c>
      <c r="B985" t="str" cm="1">
        <f t="array" ref="B985">_xlfn.IFS(A985&lt;=25,"18-25",A985&lt;=35,"26-35",A985&lt;=45,"36-45",A985&lt;=55,"46-55",A985&gt;55,"55+")</f>
        <v>26-35</v>
      </c>
      <c r="C985">
        <v>0</v>
      </c>
      <c r="D985" t="s">
        <v>32</v>
      </c>
      <c r="E985">
        <v>404</v>
      </c>
      <c r="F985" t="s">
        <v>48</v>
      </c>
      <c r="G985">
        <v>2</v>
      </c>
      <c r="H985" t="s">
        <v>58</v>
      </c>
      <c r="I985" t="s">
        <v>74</v>
      </c>
      <c r="J985" t="s">
        <v>38</v>
      </c>
      <c r="K985" t="s">
        <v>37</v>
      </c>
      <c r="L985">
        <v>98</v>
      </c>
      <c r="M985" t="s">
        <v>38</v>
      </c>
      <c r="N985" t="s">
        <v>39</v>
      </c>
      <c r="O985" t="s">
        <v>65</v>
      </c>
      <c r="P985" t="s">
        <v>41</v>
      </c>
      <c r="Q985" t="s">
        <v>42</v>
      </c>
      <c r="R985">
        <v>6687</v>
      </c>
      <c r="S985">
        <v>6163</v>
      </c>
      <c r="T985">
        <v>1</v>
      </c>
      <c r="U985" t="s">
        <v>46</v>
      </c>
      <c r="V985">
        <v>11</v>
      </c>
      <c r="W985" t="s">
        <v>43</v>
      </c>
      <c r="X985" t="s">
        <v>41</v>
      </c>
      <c r="Y985">
        <v>0</v>
      </c>
      <c r="Z985">
        <v>14</v>
      </c>
      <c r="AA985">
        <v>2</v>
      </c>
      <c r="AB985" t="s">
        <v>73</v>
      </c>
      <c r="AC985">
        <v>14</v>
      </c>
      <c r="AD985" t="str" cm="1">
        <f t="array" ref="AD985">_xlfn.IFS(AC985&lt;=5,"0-5",AC985&lt;=10,"5-10",AC985&lt;=40,"10-40")</f>
        <v>10-40</v>
      </c>
      <c r="AE985">
        <v>11</v>
      </c>
      <c r="AF985">
        <v>4</v>
      </c>
      <c r="AG985">
        <v>11</v>
      </c>
      <c r="AH985">
        <v>984</v>
      </c>
    </row>
    <row r="986" spans="1:34" x14ac:dyDescent="0.3">
      <c r="A986">
        <v>28</v>
      </c>
      <c r="B986" t="str" cm="1">
        <f t="array" ref="B986">_xlfn.IFS(A986&lt;=25,"18-25",A986&lt;=35,"26-35",A986&lt;=45,"36-45",A986&lt;=55,"46-55",A986&gt;55,"55+")</f>
        <v>26-35</v>
      </c>
      <c r="C986">
        <v>0</v>
      </c>
      <c r="D986" t="s">
        <v>32</v>
      </c>
      <c r="E986">
        <v>736</v>
      </c>
      <c r="F986" t="s">
        <v>33</v>
      </c>
      <c r="G986">
        <v>26</v>
      </c>
      <c r="H986" t="s">
        <v>61</v>
      </c>
      <c r="I986" t="s">
        <v>35</v>
      </c>
      <c r="J986" t="s">
        <v>38</v>
      </c>
      <c r="K986" t="s">
        <v>50</v>
      </c>
      <c r="L986">
        <v>48</v>
      </c>
      <c r="M986" t="s">
        <v>36</v>
      </c>
      <c r="N986" t="s">
        <v>39</v>
      </c>
      <c r="O986" t="s">
        <v>40</v>
      </c>
      <c r="P986" t="s">
        <v>44</v>
      </c>
      <c r="Q986" t="s">
        <v>52</v>
      </c>
      <c r="R986">
        <v>4724</v>
      </c>
      <c r="S986">
        <v>24232</v>
      </c>
      <c r="T986">
        <v>1</v>
      </c>
      <c r="U986" t="s">
        <v>46</v>
      </c>
      <c r="V986">
        <v>11</v>
      </c>
      <c r="W986" t="s">
        <v>43</v>
      </c>
      <c r="X986" t="s">
        <v>38</v>
      </c>
      <c r="Y986">
        <v>1</v>
      </c>
      <c r="Z986">
        <v>5</v>
      </c>
      <c r="AA986">
        <v>0</v>
      </c>
      <c r="AB986" t="s">
        <v>54</v>
      </c>
      <c r="AC986">
        <v>5</v>
      </c>
      <c r="AD986" t="str" cm="1">
        <f t="array" ref="AD986">_xlfn.IFS(AC986&lt;=5,"0-5",AC986&lt;=10,"5-10",AC986&lt;=40,"10-40")</f>
        <v>0-5</v>
      </c>
      <c r="AE986">
        <v>3</v>
      </c>
      <c r="AF986">
        <v>0</v>
      </c>
      <c r="AG986">
        <v>4</v>
      </c>
      <c r="AH986">
        <v>985</v>
      </c>
    </row>
    <row r="987" spans="1:34" x14ac:dyDescent="0.3">
      <c r="A987">
        <v>31</v>
      </c>
      <c r="B987" t="str" cm="1">
        <f t="array" ref="B987">_xlfn.IFS(A987&lt;=25,"18-25",A987&lt;=35,"26-35",A987&lt;=45,"36-45",A987&lt;=55,"46-55",A987&gt;55,"55+")</f>
        <v>26-35</v>
      </c>
      <c r="C987">
        <v>1</v>
      </c>
      <c r="D987" t="s">
        <v>32</v>
      </c>
      <c r="E987">
        <v>330</v>
      </c>
      <c r="F987" t="s">
        <v>48</v>
      </c>
      <c r="G987">
        <v>22</v>
      </c>
      <c r="H987" t="s">
        <v>58</v>
      </c>
      <c r="I987" t="s">
        <v>59</v>
      </c>
      <c r="J987" t="s">
        <v>41</v>
      </c>
      <c r="K987" t="s">
        <v>50</v>
      </c>
      <c r="L987">
        <v>98</v>
      </c>
      <c r="M987" t="s">
        <v>38</v>
      </c>
      <c r="N987" t="s">
        <v>39</v>
      </c>
      <c r="O987" t="s">
        <v>64</v>
      </c>
      <c r="P987" t="s">
        <v>38</v>
      </c>
      <c r="Q987" t="s">
        <v>52</v>
      </c>
      <c r="R987">
        <v>6179</v>
      </c>
      <c r="S987">
        <v>21057</v>
      </c>
      <c r="T987">
        <v>1</v>
      </c>
      <c r="U987" t="s">
        <v>31</v>
      </c>
      <c r="V987">
        <v>15</v>
      </c>
      <c r="W987" t="s">
        <v>43</v>
      </c>
      <c r="X987" t="s">
        <v>41</v>
      </c>
      <c r="Y987">
        <v>2</v>
      </c>
      <c r="Z987">
        <v>10</v>
      </c>
      <c r="AA987">
        <v>3</v>
      </c>
      <c r="AB987" t="s">
        <v>60</v>
      </c>
      <c r="AC987">
        <v>10</v>
      </c>
      <c r="AD987" t="str" cm="1">
        <f t="array" ref="AD987">_xlfn.IFS(AC987&lt;=5,"0-5",AC987&lt;=10,"5-10",AC987&lt;=40,"10-40")</f>
        <v>5-10</v>
      </c>
      <c r="AE987">
        <v>2</v>
      </c>
      <c r="AF987">
        <v>6</v>
      </c>
      <c r="AG987">
        <v>7</v>
      </c>
      <c r="AH987">
        <v>986</v>
      </c>
    </row>
    <row r="988" spans="1:34" x14ac:dyDescent="0.3">
      <c r="A988">
        <v>39</v>
      </c>
      <c r="B988" t="str" cm="1">
        <f t="array" ref="B988">_xlfn.IFS(A988&lt;=25,"18-25",A988&lt;=35,"26-35",A988&lt;=45,"36-45",A988&lt;=55,"46-55",A988&gt;55,"55+")</f>
        <v>36-45</v>
      </c>
      <c r="C988">
        <v>0</v>
      </c>
      <c r="D988" t="s">
        <v>32</v>
      </c>
      <c r="E988">
        <v>1498</v>
      </c>
      <c r="F988" t="s">
        <v>33</v>
      </c>
      <c r="G988">
        <v>21</v>
      </c>
      <c r="H988" t="s">
        <v>58</v>
      </c>
      <c r="I988" t="s">
        <v>35</v>
      </c>
      <c r="J988" t="s">
        <v>44</v>
      </c>
      <c r="K988" t="s">
        <v>50</v>
      </c>
      <c r="L988">
        <v>44</v>
      </c>
      <c r="M988" t="s">
        <v>36</v>
      </c>
      <c r="N988" t="s">
        <v>39</v>
      </c>
      <c r="O988" t="s">
        <v>40</v>
      </c>
      <c r="P988" t="s">
        <v>41</v>
      </c>
      <c r="Q988" t="s">
        <v>52</v>
      </c>
      <c r="R988">
        <v>6120</v>
      </c>
      <c r="S988">
        <v>3567</v>
      </c>
      <c r="T988">
        <v>3</v>
      </c>
      <c r="U988" t="s">
        <v>31</v>
      </c>
      <c r="V988">
        <v>12</v>
      </c>
      <c r="W988" t="s">
        <v>43</v>
      </c>
      <c r="X988" t="s">
        <v>41</v>
      </c>
      <c r="Y988">
        <v>2</v>
      </c>
      <c r="Z988">
        <v>8</v>
      </c>
      <c r="AA988">
        <v>2</v>
      </c>
      <c r="AB988" t="s">
        <v>73</v>
      </c>
      <c r="AC988">
        <v>5</v>
      </c>
      <c r="AD988" t="str" cm="1">
        <f t="array" ref="AD988">_xlfn.IFS(AC988&lt;=5,"0-5",AC988&lt;=10,"5-10",AC988&lt;=40,"10-40")</f>
        <v>0-5</v>
      </c>
      <c r="AE988">
        <v>4</v>
      </c>
      <c r="AF988">
        <v>1</v>
      </c>
      <c r="AG988">
        <v>4</v>
      </c>
      <c r="AH988">
        <v>987</v>
      </c>
    </row>
    <row r="989" spans="1:34" x14ac:dyDescent="0.3">
      <c r="A989">
        <v>51</v>
      </c>
      <c r="B989" t="str" cm="1">
        <f t="array" ref="B989">_xlfn.IFS(A989&lt;=25,"18-25",A989&lt;=35,"26-35",A989&lt;=45,"36-45",A989&lt;=55,"46-55",A989&gt;55,"55+")</f>
        <v>46-55</v>
      </c>
      <c r="C989">
        <v>0</v>
      </c>
      <c r="D989" t="s">
        <v>47</v>
      </c>
      <c r="E989">
        <v>541</v>
      </c>
      <c r="F989" t="s">
        <v>33</v>
      </c>
      <c r="G989">
        <v>2</v>
      </c>
      <c r="H989" t="s">
        <v>61</v>
      </c>
      <c r="I989" t="s">
        <v>72</v>
      </c>
      <c r="J989" t="s">
        <v>36</v>
      </c>
      <c r="K989" t="s">
        <v>50</v>
      </c>
      <c r="L989">
        <v>52</v>
      </c>
      <c r="M989" t="s">
        <v>38</v>
      </c>
      <c r="N989" t="s">
        <v>63</v>
      </c>
      <c r="O989" t="s">
        <v>40</v>
      </c>
      <c r="P989" t="s">
        <v>36</v>
      </c>
      <c r="Q989" t="s">
        <v>52</v>
      </c>
      <c r="R989">
        <v>10596</v>
      </c>
      <c r="S989">
        <v>15395</v>
      </c>
      <c r="T989">
        <v>2</v>
      </c>
      <c r="U989" t="s">
        <v>46</v>
      </c>
      <c r="V989">
        <v>11</v>
      </c>
      <c r="W989" t="s">
        <v>43</v>
      </c>
      <c r="X989" t="s">
        <v>36</v>
      </c>
      <c r="Y989">
        <v>0</v>
      </c>
      <c r="Z989">
        <v>14</v>
      </c>
      <c r="AA989">
        <v>5</v>
      </c>
      <c r="AB989" t="s">
        <v>54</v>
      </c>
      <c r="AC989">
        <v>4</v>
      </c>
      <c r="AD989" t="str" cm="1">
        <f t="array" ref="AD989">_xlfn.IFS(AC989&lt;=5,"0-5",AC989&lt;=10,"5-10",AC989&lt;=40,"10-40")</f>
        <v>0-5</v>
      </c>
      <c r="AE989">
        <v>2</v>
      </c>
      <c r="AF989">
        <v>3</v>
      </c>
      <c r="AG989">
        <v>2</v>
      </c>
      <c r="AH989">
        <v>988</v>
      </c>
    </row>
    <row r="990" spans="1:34" x14ac:dyDescent="0.3">
      <c r="A990">
        <v>41</v>
      </c>
      <c r="B990" t="str" cm="1">
        <f t="array" ref="B990">_xlfn.IFS(A990&lt;=25,"18-25",A990&lt;=35,"26-35",A990&lt;=45,"36-45",A990&lt;=55,"46-55",A990&gt;55,"55+")</f>
        <v>36-45</v>
      </c>
      <c r="C990">
        <v>0</v>
      </c>
      <c r="D990" t="s">
        <v>47</v>
      </c>
      <c r="E990">
        <v>1200</v>
      </c>
      <c r="F990" t="s">
        <v>48</v>
      </c>
      <c r="G990">
        <v>22</v>
      </c>
      <c r="H990" t="s">
        <v>61</v>
      </c>
      <c r="I990" t="s">
        <v>35</v>
      </c>
      <c r="J990" t="s">
        <v>41</v>
      </c>
      <c r="K990" t="s">
        <v>37</v>
      </c>
      <c r="L990">
        <v>75</v>
      </c>
      <c r="M990" t="s">
        <v>38</v>
      </c>
      <c r="N990" t="s">
        <v>39</v>
      </c>
      <c r="O990" t="s">
        <v>51</v>
      </c>
      <c r="P990" t="s">
        <v>41</v>
      </c>
      <c r="Q990" t="s">
        <v>62</v>
      </c>
      <c r="R990">
        <v>5467</v>
      </c>
      <c r="S990">
        <v>13953</v>
      </c>
      <c r="T990">
        <v>3</v>
      </c>
      <c r="U990" t="s">
        <v>31</v>
      </c>
      <c r="V990">
        <v>14</v>
      </c>
      <c r="W990" t="s">
        <v>43</v>
      </c>
      <c r="X990" t="s">
        <v>44</v>
      </c>
      <c r="Y990">
        <v>2</v>
      </c>
      <c r="Z990">
        <v>12</v>
      </c>
      <c r="AA990">
        <v>4</v>
      </c>
      <c r="AB990" t="s">
        <v>60</v>
      </c>
      <c r="AC990">
        <v>6</v>
      </c>
      <c r="AD990" t="str" cm="1">
        <f t="array" ref="AD990">_xlfn.IFS(AC990&lt;=5,"0-5",AC990&lt;=10,"5-10",AC990&lt;=40,"10-40")</f>
        <v>5-10</v>
      </c>
      <c r="AE990">
        <v>2</v>
      </c>
      <c r="AF990">
        <v>3</v>
      </c>
      <c r="AG990">
        <v>3</v>
      </c>
      <c r="AH990">
        <v>989</v>
      </c>
    </row>
    <row r="991" spans="1:34" x14ac:dyDescent="0.3">
      <c r="A991">
        <v>37</v>
      </c>
      <c r="B991" t="str" cm="1">
        <f t="array" ref="B991">_xlfn.IFS(A991&lt;=25,"18-25",A991&lt;=35,"26-35",A991&lt;=45,"36-45",A991&lt;=55,"46-55",A991&gt;55,"55+")</f>
        <v>36-45</v>
      </c>
      <c r="C991">
        <v>0</v>
      </c>
      <c r="D991" t="s">
        <v>32</v>
      </c>
      <c r="E991">
        <v>1439</v>
      </c>
      <c r="F991" t="s">
        <v>48</v>
      </c>
      <c r="G991">
        <v>4</v>
      </c>
      <c r="H991" t="s">
        <v>49</v>
      </c>
      <c r="I991" t="s">
        <v>35</v>
      </c>
      <c r="J991" t="s">
        <v>38</v>
      </c>
      <c r="K991" t="s">
        <v>50</v>
      </c>
      <c r="L991">
        <v>54</v>
      </c>
      <c r="M991" t="s">
        <v>38</v>
      </c>
      <c r="N991" t="s">
        <v>56</v>
      </c>
      <c r="O991" t="s">
        <v>51</v>
      </c>
      <c r="P991" t="s">
        <v>38</v>
      </c>
      <c r="Q991" t="s">
        <v>52</v>
      </c>
      <c r="R991">
        <v>2996</v>
      </c>
      <c r="S991">
        <v>5182</v>
      </c>
      <c r="T991">
        <v>7</v>
      </c>
      <c r="U991" t="s">
        <v>31</v>
      </c>
      <c r="V991">
        <v>15</v>
      </c>
      <c r="W991" t="s">
        <v>43</v>
      </c>
      <c r="X991" t="s">
        <v>41</v>
      </c>
      <c r="Y991">
        <v>0</v>
      </c>
      <c r="Z991">
        <v>8</v>
      </c>
      <c r="AA991">
        <v>2</v>
      </c>
      <c r="AB991" t="s">
        <v>54</v>
      </c>
      <c r="AC991">
        <v>6</v>
      </c>
      <c r="AD991" t="str" cm="1">
        <f t="array" ref="AD991">_xlfn.IFS(AC991&lt;=5,"0-5",AC991&lt;=10,"5-10",AC991&lt;=40,"10-40")</f>
        <v>5-10</v>
      </c>
      <c r="AE991">
        <v>4</v>
      </c>
      <c r="AF991">
        <v>1</v>
      </c>
      <c r="AG991">
        <v>3</v>
      </c>
      <c r="AH991">
        <v>990</v>
      </c>
    </row>
    <row r="992" spans="1:34" x14ac:dyDescent="0.3">
      <c r="A992">
        <v>33</v>
      </c>
      <c r="B992" t="str" cm="1">
        <f t="array" ref="B992">_xlfn.IFS(A992&lt;=25,"18-25",A992&lt;=35,"26-35",A992&lt;=45,"36-45",A992&lt;=55,"46-55",A992&gt;55,"55+")</f>
        <v>26-35</v>
      </c>
      <c r="C992">
        <v>0</v>
      </c>
      <c r="D992" t="s">
        <v>47</v>
      </c>
      <c r="E992">
        <v>1111</v>
      </c>
      <c r="F992" t="s">
        <v>33</v>
      </c>
      <c r="G992">
        <v>5</v>
      </c>
      <c r="H992" t="s">
        <v>49</v>
      </c>
      <c r="I992" t="s">
        <v>35</v>
      </c>
      <c r="J992" t="s">
        <v>36</v>
      </c>
      <c r="K992" t="s">
        <v>50</v>
      </c>
      <c r="L992">
        <v>61</v>
      </c>
      <c r="M992" t="s">
        <v>38</v>
      </c>
      <c r="N992" t="s">
        <v>39</v>
      </c>
      <c r="O992" t="s">
        <v>40</v>
      </c>
      <c r="P992" t="s">
        <v>41</v>
      </c>
      <c r="Q992" t="s">
        <v>52</v>
      </c>
      <c r="R992">
        <v>9998</v>
      </c>
      <c r="S992">
        <v>19293</v>
      </c>
      <c r="T992">
        <v>6</v>
      </c>
      <c r="U992" t="s">
        <v>46</v>
      </c>
      <c r="V992">
        <v>13</v>
      </c>
      <c r="W992" t="s">
        <v>43</v>
      </c>
      <c r="X992" t="s">
        <v>44</v>
      </c>
      <c r="Y992">
        <v>0</v>
      </c>
      <c r="Z992">
        <v>8</v>
      </c>
      <c r="AA992">
        <v>2</v>
      </c>
      <c r="AB992" t="s">
        <v>73</v>
      </c>
      <c r="AC992">
        <v>5</v>
      </c>
      <c r="AD992" t="str" cm="1">
        <f t="array" ref="AD992">_xlfn.IFS(AC992&lt;=5,"0-5",AC992&lt;=10,"5-10",AC992&lt;=40,"10-40")</f>
        <v>0-5</v>
      </c>
      <c r="AE992">
        <v>4</v>
      </c>
      <c r="AF992">
        <v>1</v>
      </c>
      <c r="AG992">
        <v>2</v>
      </c>
      <c r="AH992">
        <v>991</v>
      </c>
    </row>
    <row r="993" spans="1:34" x14ac:dyDescent="0.3">
      <c r="A993">
        <v>32</v>
      </c>
      <c r="B993" t="str" cm="1">
        <f t="array" ref="B993">_xlfn.IFS(A993&lt;=25,"18-25",A993&lt;=35,"26-35",A993&lt;=45,"36-45",A993&lt;=55,"46-55",A993&gt;55,"55+")</f>
        <v>26-35</v>
      </c>
      <c r="C993">
        <v>0</v>
      </c>
      <c r="D993" t="s">
        <v>32</v>
      </c>
      <c r="E993">
        <v>499</v>
      </c>
      <c r="F993" t="s">
        <v>33</v>
      </c>
      <c r="G993">
        <v>2</v>
      </c>
      <c r="H993" t="s">
        <v>49</v>
      </c>
      <c r="I993" t="s">
        <v>72</v>
      </c>
      <c r="J993" t="s">
        <v>38</v>
      </c>
      <c r="K993" t="s">
        <v>50</v>
      </c>
      <c r="L993">
        <v>36</v>
      </c>
      <c r="M993" t="s">
        <v>38</v>
      </c>
      <c r="N993" t="s">
        <v>39</v>
      </c>
      <c r="O993" t="s">
        <v>40</v>
      </c>
      <c r="P993" t="s">
        <v>36</v>
      </c>
      <c r="Q993" t="s">
        <v>52</v>
      </c>
      <c r="R993">
        <v>4078</v>
      </c>
      <c r="S993">
        <v>20497</v>
      </c>
      <c r="T993">
        <v>0</v>
      </c>
      <c r="U993" t="s">
        <v>31</v>
      </c>
      <c r="V993">
        <v>13</v>
      </c>
      <c r="W993" t="s">
        <v>43</v>
      </c>
      <c r="X993" t="s">
        <v>44</v>
      </c>
      <c r="Y993">
        <v>3</v>
      </c>
      <c r="Z993">
        <v>4</v>
      </c>
      <c r="AA993">
        <v>3</v>
      </c>
      <c r="AB993" t="s">
        <v>60</v>
      </c>
      <c r="AC993">
        <v>3</v>
      </c>
      <c r="AD993" t="str" cm="1">
        <f t="array" ref="AD993">_xlfn.IFS(AC993&lt;=5,"0-5",AC993&lt;=10,"5-10",AC993&lt;=40,"10-40")</f>
        <v>0-5</v>
      </c>
      <c r="AE993">
        <v>2</v>
      </c>
      <c r="AF993">
        <v>1</v>
      </c>
      <c r="AG993">
        <v>2</v>
      </c>
      <c r="AH993">
        <v>992</v>
      </c>
    </row>
    <row r="994" spans="1:34" x14ac:dyDescent="0.3">
      <c r="A994">
        <v>39</v>
      </c>
      <c r="B994" t="str" cm="1">
        <f t="array" ref="B994">_xlfn.IFS(A994&lt;=25,"18-25",A994&lt;=35,"26-35",A994&lt;=45,"36-45",A994&lt;=55,"46-55",A994&gt;55,"55+")</f>
        <v>36-45</v>
      </c>
      <c r="C994">
        <v>0</v>
      </c>
      <c r="D994" t="s">
        <v>66</v>
      </c>
      <c r="E994">
        <v>1485</v>
      </c>
      <c r="F994" t="s">
        <v>48</v>
      </c>
      <c r="G994">
        <v>25</v>
      </c>
      <c r="H994" t="s">
        <v>34</v>
      </c>
      <c r="I994" t="s">
        <v>35</v>
      </c>
      <c r="J994" t="s">
        <v>38</v>
      </c>
      <c r="K994" t="s">
        <v>50</v>
      </c>
      <c r="L994">
        <v>71</v>
      </c>
      <c r="M994" t="s">
        <v>38</v>
      </c>
      <c r="N994" t="s">
        <v>63</v>
      </c>
      <c r="O994" t="s">
        <v>65</v>
      </c>
      <c r="P994" t="s">
        <v>38</v>
      </c>
      <c r="Q994" t="s">
        <v>52</v>
      </c>
      <c r="R994">
        <v>10920</v>
      </c>
      <c r="S994">
        <v>3449</v>
      </c>
      <c r="T994">
        <v>3</v>
      </c>
      <c r="U994" t="s">
        <v>46</v>
      </c>
      <c r="V994">
        <v>21</v>
      </c>
      <c r="W994" t="s">
        <v>53</v>
      </c>
      <c r="X994" t="s">
        <v>36</v>
      </c>
      <c r="Y994">
        <v>1</v>
      </c>
      <c r="Z994">
        <v>13</v>
      </c>
      <c r="AA994">
        <v>2</v>
      </c>
      <c r="AB994" t="s">
        <v>54</v>
      </c>
      <c r="AC994">
        <v>6</v>
      </c>
      <c r="AD994" t="str" cm="1">
        <f t="array" ref="AD994">_xlfn.IFS(AC994&lt;=5,"0-5",AC994&lt;=10,"5-10",AC994&lt;=40,"10-40")</f>
        <v>5-10</v>
      </c>
      <c r="AE994">
        <v>4</v>
      </c>
      <c r="AF994">
        <v>0</v>
      </c>
      <c r="AG994">
        <v>5</v>
      </c>
      <c r="AH994">
        <v>993</v>
      </c>
    </row>
    <row r="995" spans="1:34" x14ac:dyDescent="0.3">
      <c r="A995">
        <v>25</v>
      </c>
      <c r="B995" t="str" cm="1">
        <f t="array" ref="B995">_xlfn.IFS(A995&lt;=25,"18-25",A995&lt;=35,"26-35",A995&lt;=45,"36-45",A995&lt;=55,"46-55",A995&gt;55,"55+")</f>
        <v>18-25</v>
      </c>
      <c r="C995">
        <v>0</v>
      </c>
      <c r="D995" t="s">
        <v>32</v>
      </c>
      <c r="E995">
        <v>1372</v>
      </c>
      <c r="F995" t="s">
        <v>33</v>
      </c>
      <c r="G995">
        <v>18</v>
      </c>
      <c r="H995" t="s">
        <v>49</v>
      </c>
      <c r="I995" t="s">
        <v>35</v>
      </c>
      <c r="J995" t="s">
        <v>44</v>
      </c>
      <c r="K995" t="s">
        <v>50</v>
      </c>
      <c r="L995">
        <v>93</v>
      </c>
      <c r="M995" t="s">
        <v>41</v>
      </c>
      <c r="N995" t="s">
        <v>39</v>
      </c>
      <c r="O995" t="s">
        <v>40</v>
      </c>
      <c r="P995" t="s">
        <v>38</v>
      </c>
      <c r="Q995" t="s">
        <v>52</v>
      </c>
      <c r="R995">
        <v>6232</v>
      </c>
      <c r="S995">
        <v>12477</v>
      </c>
      <c r="T995">
        <v>2</v>
      </c>
      <c r="U995" t="s">
        <v>46</v>
      </c>
      <c r="V995">
        <v>11</v>
      </c>
      <c r="W995" t="s">
        <v>43</v>
      </c>
      <c r="X995" t="s">
        <v>36</v>
      </c>
      <c r="Y995">
        <v>0</v>
      </c>
      <c r="Z995">
        <v>6</v>
      </c>
      <c r="AA995">
        <v>3</v>
      </c>
      <c r="AB995" t="s">
        <v>60</v>
      </c>
      <c r="AC995">
        <v>3</v>
      </c>
      <c r="AD995" t="str" cm="1">
        <f t="array" ref="AD995">_xlfn.IFS(AC995&lt;=5,"0-5",AC995&lt;=10,"5-10",AC995&lt;=40,"10-40")</f>
        <v>0-5</v>
      </c>
      <c r="AE995">
        <v>2</v>
      </c>
      <c r="AF995">
        <v>1</v>
      </c>
      <c r="AG995">
        <v>2</v>
      </c>
      <c r="AH995">
        <v>994</v>
      </c>
    </row>
    <row r="996" spans="1:34" x14ac:dyDescent="0.3">
      <c r="A996">
        <v>52</v>
      </c>
      <c r="B996" t="str" cm="1">
        <f t="array" ref="B996">_xlfn.IFS(A996&lt;=25,"18-25",A996&lt;=35,"26-35",A996&lt;=45,"36-45",A996&lt;=55,"46-55",A996&gt;55,"55+")</f>
        <v>46-55</v>
      </c>
      <c r="C996">
        <v>0</v>
      </c>
      <c r="D996" t="s">
        <v>47</v>
      </c>
      <c r="E996">
        <v>322</v>
      </c>
      <c r="F996" t="s">
        <v>48</v>
      </c>
      <c r="G996">
        <v>28</v>
      </c>
      <c r="H996" t="s">
        <v>34</v>
      </c>
      <c r="I996" t="s">
        <v>59</v>
      </c>
      <c r="J996" t="s">
        <v>41</v>
      </c>
      <c r="K996" t="s">
        <v>37</v>
      </c>
      <c r="L996">
        <v>59</v>
      </c>
      <c r="M996" t="s">
        <v>41</v>
      </c>
      <c r="N996" t="s">
        <v>67</v>
      </c>
      <c r="O996" t="s">
        <v>64</v>
      </c>
      <c r="P996" t="s">
        <v>38</v>
      </c>
      <c r="Q996" t="s">
        <v>52</v>
      </c>
      <c r="R996">
        <v>13247</v>
      </c>
      <c r="S996">
        <v>9731</v>
      </c>
      <c r="T996">
        <v>2</v>
      </c>
      <c r="U996" t="s">
        <v>31</v>
      </c>
      <c r="V996">
        <v>11</v>
      </c>
      <c r="W996" t="s">
        <v>43</v>
      </c>
      <c r="X996" t="s">
        <v>36</v>
      </c>
      <c r="Y996">
        <v>1</v>
      </c>
      <c r="Z996">
        <v>24</v>
      </c>
      <c r="AA996">
        <v>3</v>
      </c>
      <c r="AB996" t="s">
        <v>60</v>
      </c>
      <c r="AC996">
        <v>5</v>
      </c>
      <c r="AD996" t="str" cm="1">
        <f t="array" ref="AD996">_xlfn.IFS(AC996&lt;=5,"0-5",AC996&lt;=10,"5-10",AC996&lt;=40,"10-40")</f>
        <v>0-5</v>
      </c>
      <c r="AE996">
        <v>3</v>
      </c>
      <c r="AF996">
        <v>0</v>
      </c>
      <c r="AG996">
        <v>2</v>
      </c>
      <c r="AH996">
        <v>995</v>
      </c>
    </row>
    <row r="997" spans="1:34" x14ac:dyDescent="0.3">
      <c r="A997">
        <v>43</v>
      </c>
      <c r="B997" t="str" cm="1">
        <f t="array" ref="B997">_xlfn.IFS(A997&lt;=25,"18-25",A997&lt;=35,"26-35",A997&lt;=45,"36-45",A997&lt;=55,"46-55",A997&gt;55,"55+")</f>
        <v>36-45</v>
      </c>
      <c r="C997">
        <v>0</v>
      </c>
      <c r="D997" t="s">
        <v>32</v>
      </c>
      <c r="E997">
        <v>930</v>
      </c>
      <c r="F997" t="s">
        <v>48</v>
      </c>
      <c r="G997">
        <v>6</v>
      </c>
      <c r="H997" t="s">
        <v>61</v>
      </c>
      <c r="I997" t="s">
        <v>59</v>
      </c>
      <c r="J997" t="s">
        <v>44</v>
      </c>
      <c r="K997" t="s">
        <v>37</v>
      </c>
      <c r="L997">
        <v>73</v>
      </c>
      <c r="M997" t="s">
        <v>36</v>
      </c>
      <c r="N997" t="s">
        <v>39</v>
      </c>
      <c r="O997" t="s">
        <v>51</v>
      </c>
      <c r="P997" t="s">
        <v>38</v>
      </c>
      <c r="Q997" t="s">
        <v>42</v>
      </c>
      <c r="R997">
        <v>4081</v>
      </c>
      <c r="S997">
        <v>20003</v>
      </c>
      <c r="T997">
        <v>1</v>
      </c>
      <c r="U997" t="s">
        <v>31</v>
      </c>
      <c r="V997">
        <v>14</v>
      </c>
      <c r="W997" t="s">
        <v>43</v>
      </c>
      <c r="X997" t="s">
        <v>44</v>
      </c>
      <c r="Y997">
        <v>0</v>
      </c>
      <c r="Z997">
        <v>20</v>
      </c>
      <c r="AA997">
        <v>3</v>
      </c>
      <c r="AB997" t="s">
        <v>45</v>
      </c>
      <c r="AC997">
        <v>20</v>
      </c>
      <c r="AD997" t="str" cm="1">
        <f t="array" ref="AD997">_xlfn.IFS(AC997&lt;=5,"0-5",AC997&lt;=10,"5-10",AC997&lt;=40,"10-40")</f>
        <v>10-40</v>
      </c>
      <c r="AE997">
        <v>7</v>
      </c>
      <c r="AF997">
        <v>1</v>
      </c>
      <c r="AG997">
        <v>8</v>
      </c>
      <c r="AH997">
        <v>996</v>
      </c>
    </row>
    <row r="998" spans="1:34" x14ac:dyDescent="0.3">
      <c r="A998">
        <v>27</v>
      </c>
      <c r="B998" t="str" cm="1">
        <f t="array" ref="B998">_xlfn.IFS(A998&lt;=25,"18-25",A998&lt;=35,"26-35",A998&lt;=45,"36-45",A998&lt;=55,"46-55",A998&gt;55,"55+")</f>
        <v>26-35</v>
      </c>
      <c r="C998">
        <v>0</v>
      </c>
      <c r="D998" t="s">
        <v>32</v>
      </c>
      <c r="E998">
        <v>205</v>
      </c>
      <c r="F998" t="s">
        <v>33</v>
      </c>
      <c r="G998">
        <v>10</v>
      </c>
      <c r="H998" t="s">
        <v>61</v>
      </c>
      <c r="I998" t="s">
        <v>72</v>
      </c>
      <c r="J998" t="s">
        <v>41</v>
      </c>
      <c r="K998" t="s">
        <v>37</v>
      </c>
      <c r="L998">
        <v>98</v>
      </c>
      <c r="M998" t="s">
        <v>36</v>
      </c>
      <c r="N998" t="s">
        <v>39</v>
      </c>
      <c r="O998" t="s">
        <v>40</v>
      </c>
      <c r="P998" t="s">
        <v>41</v>
      </c>
      <c r="Q998" t="s">
        <v>52</v>
      </c>
      <c r="R998">
        <v>5769</v>
      </c>
      <c r="S998">
        <v>7100</v>
      </c>
      <c r="T998">
        <v>1</v>
      </c>
      <c r="U998" t="s">
        <v>31</v>
      </c>
      <c r="V998">
        <v>11</v>
      </c>
      <c r="W998" t="s">
        <v>43</v>
      </c>
      <c r="X998" t="s">
        <v>41</v>
      </c>
      <c r="Y998">
        <v>0</v>
      </c>
      <c r="Z998">
        <v>6</v>
      </c>
      <c r="AA998">
        <v>3</v>
      </c>
      <c r="AB998" t="s">
        <v>54</v>
      </c>
      <c r="AC998">
        <v>6</v>
      </c>
      <c r="AD998" t="str" cm="1">
        <f t="array" ref="AD998">_xlfn.IFS(AC998&lt;=5,"0-5",AC998&lt;=10,"5-10",AC998&lt;=40,"10-40")</f>
        <v>5-10</v>
      </c>
      <c r="AE998">
        <v>2</v>
      </c>
      <c r="AF998">
        <v>4</v>
      </c>
      <c r="AG998">
        <v>4</v>
      </c>
      <c r="AH998">
        <v>997</v>
      </c>
    </row>
    <row r="999" spans="1:34" x14ac:dyDescent="0.3">
      <c r="A999">
        <v>27</v>
      </c>
      <c r="B999" t="str" cm="1">
        <f t="array" ref="B999">_xlfn.IFS(A999&lt;=25,"18-25",A999&lt;=35,"26-35",A999&lt;=45,"36-45",A999&lt;=55,"46-55",A999&gt;55,"55+")</f>
        <v>26-35</v>
      </c>
      <c r="C999">
        <v>1</v>
      </c>
      <c r="D999" t="s">
        <v>32</v>
      </c>
      <c r="E999">
        <v>135</v>
      </c>
      <c r="F999" t="s">
        <v>48</v>
      </c>
      <c r="G999">
        <v>17</v>
      </c>
      <c r="H999" t="s">
        <v>58</v>
      </c>
      <c r="I999" t="s">
        <v>35</v>
      </c>
      <c r="J999" t="s">
        <v>41</v>
      </c>
      <c r="K999" t="s">
        <v>37</v>
      </c>
      <c r="L999">
        <v>51</v>
      </c>
      <c r="M999" t="s">
        <v>38</v>
      </c>
      <c r="N999" t="s">
        <v>56</v>
      </c>
      <c r="O999" t="s">
        <v>51</v>
      </c>
      <c r="P999" t="s">
        <v>38</v>
      </c>
      <c r="Q999" t="s">
        <v>42</v>
      </c>
      <c r="R999">
        <v>2394</v>
      </c>
      <c r="S999">
        <v>25681</v>
      </c>
      <c r="T999">
        <v>1</v>
      </c>
      <c r="U999" t="s">
        <v>31</v>
      </c>
      <c r="V999">
        <v>13</v>
      </c>
      <c r="W999" t="s">
        <v>43</v>
      </c>
      <c r="X999" t="s">
        <v>41</v>
      </c>
      <c r="Y999">
        <v>0</v>
      </c>
      <c r="Z999">
        <v>8</v>
      </c>
      <c r="AA999">
        <v>2</v>
      </c>
      <c r="AB999" t="s">
        <v>54</v>
      </c>
      <c r="AC999">
        <v>8</v>
      </c>
      <c r="AD999" t="str" cm="1">
        <f t="array" ref="AD999">_xlfn.IFS(AC999&lt;=5,"0-5",AC999&lt;=10,"5-10",AC999&lt;=40,"10-40")</f>
        <v>5-10</v>
      </c>
      <c r="AE999">
        <v>2</v>
      </c>
      <c r="AF999">
        <v>7</v>
      </c>
      <c r="AG999">
        <v>7</v>
      </c>
      <c r="AH999">
        <v>998</v>
      </c>
    </row>
    <row r="1000" spans="1:34" x14ac:dyDescent="0.3">
      <c r="A1000">
        <v>26</v>
      </c>
      <c r="B1000" t="str" cm="1">
        <f t="array" ref="B1000">_xlfn.IFS(A1000&lt;=25,"18-25",A1000&lt;=35,"26-35",A1000&lt;=45,"36-45",A1000&lt;=55,"46-55",A1000&gt;55,"55+")</f>
        <v>26-35</v>
      </c>
      <c r="C1000">
        <v>0</v>
      </c>
      <c r="D1000" t="s">
        <v>32</v>
      </c>
      <c r="E1000">
        <v>683</v>
      </c>
      <c r="F1000" t="s">
        <v>48</v>
      </c>
      <c r="G1000">
        <v>2</v>
      </c>
      <c r="H1000" t="s">
        <v>49</v>
      </c>
      <c r="I1000" t="s">
        <v>59</v>
      </c>
      <c r="J1000" t="s">
        <v>44</v>
      </c>
      <c r="K1000" t="s">
        <v>50</v>
      </c>
      <c r="L1000">
        <v>36</v>
      </c>
      <c r="M1000" t="s">
        <v>36</v>
      </c>
      <c r="N1000" t="s">
        <v>56</v>
      </c>
      <c r="O1000" t="s">
        <v>51</v>
      </c>
      <c r="P1000" t="s">
        <v>41</v>
      </c>
      <c r="Q1000" t="s">
        <v>42</v>
      </c>
      <c r="R1000">
        <v>3904</v>
      </c>
      <c r="S1000">
        <v>4050</v>
      </c>
      <c r="T1000">
        <v>0</v>
      </c>
      <c r="U1000" t="s">
        <v>46</v>
      </c>
      <c r="V1000">
        <v>12</v>
      </c>
      <c r="W1000" t="s">
        <v>43</v>
      </c>
      <c r="X1000" t="s">
        <v>41</v>
      </c>
      <c r="Y1000">
        <v>0</v>
      </c>
      <c r="Z1000">
        <v>5</v>
      </c>
      <c r="AA1000">
        <v>2</v>
      </c>
      <c r="AB1000" t="s">
        <v>54</v>
      </c>
      <c r="AC1000">
        <v>4</v>
      </c>
      <c r="AD1000" t="str" cm="1">
        <f t="array" ref="AD1000">_xlfn.IFS(AC1000&lt;=5,"0-5",AC1000&lt;=10,"5-10",AC1000&lt;=40,"10-40")</f>
        <v>0-5</v>
      </c>
      <c r="AE1000">
        <v>3</v>
      </c>
      <c r="AF1000">
        <v>1</v>
      </c>
      <c r="AG1000">
        <v>1</v>
      </c>
      <c r="AH1000">
        <v>999</v>
      </c>
    </row>
    <row r="1001" spans="1:34" x14ac:dyDescent="0.3">
      <c r="A1001">
        <v>42</v>
      </c>
      <c r="B1001" t="str" cm="1">
        <f t="array" ref="B1001">_xlfn.IFS(A1001&lt;=25,"18-25",A1001&lt;=35,"26-35",A1001&lt;=45,"36-45",A1001&lt;=55,"46-55",A1001&gt;55,"55+")</f>
        <v>36-45</v>
      </c>
      <c r="C1001">
        <v>0</v>
      </c>
      <c r="D1001" t="s">
        <v>32</v>
      </c>
      <c r="E1001">
        <v>1147</v>
      </c>
      <c r="F1001" t="s">
        <v>76</v>
      </c>
      <c r="G1001">
        <v>10</v>
      </c>
      <c r="H1001" t="s">
        <v>61</v>
      </c>
      <c r="I1001" t="s">
        <v>76</v>
      </c>
      <c r="J1001" t="s">
        <v>38</v>
      </c>
      <c r="K1001" t="s">
        <v>37</v>
      </c>
      <c r="L1001">
        <v>31</v>
      </c>
      <c r="M1001" t="s">
        <v>38</v>
      </c>
      <c r="N1001" t="s">
        <v>67</v>
      </c>
      <c r="O1001" t="s">
        <v>68</v>
      </c>
      <c r="P1001" t="s">
        <v>44</v>
      </c>
      <c r="Q1001" t="s">
        <v>52</v>
      </c>
      <c r="R1001">
        <v>16799</v>
      </c>
      <c r="S1001">
        <v>16616</v>
      </c>
      <c r="T1001">
        <v>0</v>
      </c>
      <c r="U1001" t="s">
        <v>46</v>
      </c>
      <c r="V1001">
        <v>14</v>
      </c>
      <c r="W1001" t="s">
        <v>43</v>
      </c>
      <c r="X1001" t="s">
        <v>38</v>
      </c>
      <c r="Y1001">
        <v>1</v>
      </c>
      <c r="Z1001">
        <v>21</v>
      </c>
      <c r="AA1001">
        <v>5</v>
      </c>
      <c r="AB1001" t="s">
        <v>54</v>
      </c>
      <c r="AC1001">
        <v>20</v>
      </c>
      <c r="AD1001" t="str" cm="1">
        <f t="array" ref="AD1001">_xlfn.IFS(AC1001&lt;=5,"0-5",AC1001&lt;=10,"5-10",AC1001&lt;=40,"10-40")</f>
        <v>10-40</v>
      </c>
      <c r="AE1001">
        <v>7</v>
      </c>
      <c r="AF1001">
        <v>0</v>
      </c>
      <c r="AG1001">
        <v>9</v>
      </c>
      <c r="AH1001">
        <v>1000</v>
      </c>
    </row>
    <row r="1002" spans="1:34" x14ac:dyDescent="0.3">
      <c r="A1002">
        <v>52</v>
      </c>
      <c r="B1002" t="str" cm="1">
        <f t="array" ref="B1002">_xlfn.IFS(A1002&lt;=25,"18-25",A1002&lt;=35,"26-35",A1002&lt;=45,"36-45",A1002&lt;=55,"46-55",A1002&gt;55,"55+")</f>
        <v>46-55</v>
      </c>
      <c r="C1002">
        <v>0</v>
      </c>
      <c r="D1002" t="s">
        <v>32</v>
      </c>
      <c r="E1002">
        <v>258</v>
      </c>
      <c r="F1002" t="s">
        <v>48</v>
      </c>
      <c r="G1002">
        <v>8</v>
      </c>
      <c r="H1002" t="s">
        <v>58</v>
      </c>
      <c r="I1002" t="s">
        <v>55</v>
      </c>
      <c r="J1002" t="s">
        <v>38</v>
      </c>
      <c r="K1002" t="s">
        <v>37</v>
      </c>
      <c r="L1002">
        <v>54</v>
      </c>
      <c r="M1002" t="s">
        <v>38</v>
      </c>
      <c r="N1002" t="s">
        <v>56</v>
      </c>
      <c r="O1002" t="s">
        <v>57</v>
      </c>
      <c r="P1002" t="s">
        <v>44</v>
      </c>
      <c r="Q1002" t="s">
        <v>52</v>
      </c>
      <c r="R1002">
        <v>2950</v>
      </c>
      <c r="S1002">
        <v>17363</v>
      </c>
      <c r="T1002">
        <v>9</v>
      </c>
      <c r="U1002" t="s">
        <v>46</v>
      </c>
      <c r="V1002">
        <v>13</v>
      </c>
      <c r="W1002" t="s">
        <v>43</v>
      </c>
      <c r="X1002" t="s">
        <v>38</v>
      </c>
      <c r="Y1002">
        <v>0</v>
      </c>
      <c r="Z1002">
        <v>12</v>
      </c>
      <c r="AA1002">
        <v>2</v>
      </c>
      <c r="AB1002" t="s">
        <v>45</v>
      </c>
      <c r="AC1002">
        <v>5</v>
      </c>
      <c r="AD1002" t="str" cm="1">
        <f t="array" ref="AD1002">_xlfn.IFS(AC1002&lt;=5,"0-5",AC1002&lt;=10,"5-10",AC1002&lt;=40,"10-40")</f>
        <v>0-5</v>
      </c>
      <c r="AE1002">
        <v>4</v>
      </c>
      <c r="AF1002">
        <v>0</v>
      </c>
      <c r="AG1002">
        <v>4</v>
      </c>
      <c r="AH1002">
        <v>1001</v>
      </c>
    </row>
    <row r="1003" spans="1:34" x14ac:dyDescent="0.3">
      <c r="A1003">
        <v>37</v>
      </c>
      <c r="B1003" t="str" cm="1">
        <f t="array" ref="B1003">_xlfn.IFS(A1003&lt;=25,"18-25",A1003&lt;=35,"26-35",A1003&lt;=45,"36-45",A1003&lt;=55,"46-55",A1003&gt;55,"55+")</f>
        <v>36-45</v>
      </c>
      <c r="C1003">
        <v>0</v>
      </c>
      <c r="D1003" t="s">
        <v>32</v>
      </c>
      <c r="E1003">
        <v>1462</v>
      </c>
      <c r="F1003" t="s">
        <v>48</v>
      </c>
      <c r="G1003">
        <v>11</v>
      </c>
      <c r="H1003" t="s">
        <v>61</v>
      </c>
      <c r="I1003" t="s">
        <v>59</v>
      </c>
      <c r="J1003" t="s">
        <v>44</v>
      </c>
      <c r="K1003" t="s">
        <v>37</v>
      </c>
      <c r="L1003">
        <v>94</v>
      </c>
      <c r="M1003" t="s">
        <v>38</v>
      </c>
      <c r="N1003" t="s">
        <v>56</v>
      </c>
      <c r="O1003" t="s">
        <v>57</v>
      </c>
      <c r="P1003" t="s">
        <v>38</v>
      </c>
      <c r="Q1003" t="s">
        <v>42</v>
      </c>
      <c r="R1003">
        <v>3629</v>
      </c>
      <c r="S1003">
        <v>19106</v>
      </c>
      <c r="T1003">
        <v>4</v>
      </c>
      <c r="U1003" t="s">
        <v>46</v>
      </c>
      <c r="V1003">
        <v>18</v>
      </c>
      <c r="W1003" t="s">
        <v>43</v>
      </c>
      <c r="X1003" t="s">
        <v>44</v>
      </c>
      <c r="Y1003">
        <v>0</v>
      </c>
      <c r="Z1003">
        <v>8</v>
      </c>
      <c r="AA1003">
        <v>6</v>
      </c>
      <c r="AB1003" t="s">
        <v>54</v>
      </c>
      <c r="AC1003">
        <v>3</v>
      </c>
      <c r="AD1003" t="str" cm="1">
        <f t="array" ref="AD1003">_xlfn.IFS(AC1003&lt;=5,"0-5",AC1003&lt;=10,"5-10",AC1003&lt;=40,"10-40")</f>
        <v>0-5</v>
      </c>
      <c r="AE1003">
        <v>2</v>
      </c>
      <c r="AF1003">
        <v>0</v>
      </c>
      <c r="AG1003">
        <v>2</v>
      </c>
      <c r="AH1003">
        <v>1002</v>
      </c>
    </row>
    <row r="1004" spans="1:34" x14ac:dyDescent="0.3">
      <c r="A1004">
        <v>35</v>
      </c>
      <c r="B1004" t="str" cm="1">
        <f t="array" ref="B1004">_xlfn.IFS(A1004&lt;=25,"18-25",A1004&lt;=35,"26-35",A1004&lt;=45,"36-45",A1004&lt;=55,"46-55",A1004&gt;55,"55+")</f>
        <v>26-35</v>
      </c>
      <c r="C1004">
        <v>0</v>
      </c>
      <c r="D1004" t="s">
        <v>47</v>
      </c>
      <c r="E1004">
        <v>200</v>
      </c>
      <c r="F1004" t="s">
        <v>48</v>
      </c>
      <c r="G1004">
        <v>18</v>
      </c>
      <c r="H1004" t="s">
        <v>34</v>
      </c>
      <c r="I1004" t="s">
        <v>35</v>
      </c>
      <c r="J1004" t="s">
        <v>38</v>
      </c>
      <c r="K1004" t="s">
        <v>50</v>
      </c>
      <c r="L1004">
        <v>60</v>
      </c>
      <c r="M1004" t="s">
        <v>38</v>
      </c>
      <c r="N1004" t="s">
        <v>63</v>
      </c>
      <c r="O1004" t="s">
        <v>64</v>
      </c>
      <c r="P1004" t="s">
        <v>41</v>
      </c>
      <c r="Q1004" t="s">
        <v>42</v>
      </c>
      <c r="R1004">
        <v>9362</v>
      </c>
      <c r="S1004">
        <v>19944</v>
      </c>
      <c r="T1004">
        <v>2</v>
      </c>
      <c r="U1004" t="s">
        <v>46</v>
      </c>
      <c r="V1004">
        <v>11</v>
      </c>
      <c r="W1004" t="s">
        <v>43</v>
      </c>
      <c r="X1004" t="s">
        <v>38</v>
      </c>
      <c r="Y1004">
        <v>0</v>
      </c>
      <c r="Z1004">
        <v>10</v>
      </c>
      <c r="AA1004">
        <v>2</v>
      </c>
      <c r="AB1004" t="s">
        <v>54</v>
      </c>
      <c r="AC1004">
        <v>2</v>
      </c>
      <c r="AD1004" t="str" cm="1">
        <f t="array" ref="AD1004">_xlfn.IFS(AC1004&lt;=5,"0-5",AC1004&lt;=10,"5-10",AC1004&lt;=40,"10-40")</f>
        <v>0-5</v>
      </c>
      <c r="AE1004">
        <v>2</v>
      </c>
      <c r="AF1004">
        <v>2</v>
      </c>
      <c r="AG1004">
        <v>2</v>
      </c>
      <c r="AH1004">
        <v>1003</v>
      </c>
    </row>
    <row r="1005" spans="1:34" x14ac:dyDescent="0.3">
      <c r="A1005">
        <v>25</v>
      </c>
      <c r="B1005" t="str" cm="1">
        <f t="array" ref="B1005">_xlfn.IFS(A1005&lt;=25,"18-25",A1005&lt;=35,"26-35",A1005&lt;=45,"36-45",A1005&lt;=55,"46-55",A1005&gt;55,"55+")</f>
        <v>18-25</v>
      </c>
      <c r="C1005">
        <v>0</v>
      </c>
      <c r="D1005" t="s">
        <v>32</v>
      </c>
      <c r="E1005">
        <v>949</v>
      </c>
      <c r="F1005" t="s">
        <v>48</v>
      </c>
      <c r="G1005">
        <v>1</v>
      </c>
      <c r="H1005" t="s">
        <v>61</v>
      </c>
      <c r="I1005" t="s">
        <v>74</v>
      </c>
      <c r="J1005" t="s">
        <v>44</v>
      </c>
      <c r="K1005" t="s">
        <v>50</v>
      </c>
      <c r="L1005">
        <v>81</v>
      </c>
      <c r="M1005" t="s">
        <v>38</v>
      </c>
      <c r="N1005" t="s">
        <v>56</v>
      </c>
      <c r="O1005" t="s">
        <v>57</v>
      </c>
      <c r="P1005" t="s">
        <v>41</v>
      </c>
      <c r="Q1005" t="s">
        <v>52</v>
      </c>
      <c r="R1005">
        <v>3229</v>
      </c>
      <c r="S1005">
        <v>4910</v>
      </c>
      <c r="T1005">
        <v>4</v>
      </c>
      <c r="U1005" t="s">
        <v>46</v>
      </c>
      <c r="V1005">
        <v>11</v>
      </c>
      <c r="W1005" t="s">
        <v>43</v>
      </c>
      <c r="X1005" t="s">
        <v>36</v>
      </c>
      <c r="Y1005">
        <v>1</v>
      </c>
      <c r="Z1005">
        <v>7</v>
      </c>
      <c r="AA1005">
        <v>2</v>
      </c>
      <c r="AB1005" t="s">
        <v>60</v>
      </c>
      <c r="AC1005">
        <v>3</v>
      </c>
      <c r="AD1005" t="str" cm="1">
        <f t="array" ref="AD1005">_xlfn.IFS(AC1005&lt;=5,"0-5",AC1005&lt;=10,"5-10",AC1005&lt;=40,"10-40")</f>
        <v>0-5</v>
      </c>
      <c r="AE1005">
        <v>2</v>
      </c>
      <c r="AF1005">
        <v>0</v>
      </c>
      <c r="AG1005">
        <v>2</v>
      </c>
      <c r="AH1005">
        <v>1004</v>
      </c>
    </row>
    <row r="1006" spans="1:34" x14ac:dyDescent="0.3">
      <c r="A1006">
        <v>26</v>
      </c>
      <c r="B1006" t="str" cm="1">
        <f t="array" ref="B1006">_xlfn.IFS(A1006&lt;=25,"18-25",A1006&lt;=35,"26-35",A1006&lt;=45,"36-45",A1006&lt;=55,"46-55",A1006&gt;55,"55+")</f>
        <v>26-35</v>
      </c>
      <c r="C1006">
        <v>0</v>
      </c>
      <c r="D1006" t="s">
        <v>32</v>
      </c>
      <c r="E1006">
        <v>652</v>
      </c>
      <c r="F1006" t="s">
        <v>48</v>
      </c>
      <c r="G1006">
        <v>7</v>
      </c>
      <c r="H1006" t="s">
        <v>61</v>
      </c>
      <c r="I1006" t="s">
        <v>55</v>
      </c>
      <c r="J1006" t="s">
        <v>38</v>
      </c>
      <c r="K1006" t="s">
        <v>50</v>
      </c>
      <c r="L1006">
        <v>100</v>
      </c>
      <c r="M1006" t="s">
        <v>41</v>
      </c>
      <c r="N1006" t="s">
        <v>56</v>
      </c>
      <c r="O1006" t="s">
        <v>57</v>
      </c>
      <c r="P1006" t="s">
        <v>44</v>
      </c>
      <c r="Q1006" t="s">
        <v>42</v>
      </c>
      <c r="R1006">
        <v>3578</v>
      </c>
      <c r="S1006">
        <v>23577</v>
      </c>
      <c r="T1006">
        <v>0</v>
      </c>
      <c r="U1006" t="s">
        <v>46</v>
      </c>
      <c r="V1006">
        <v>12</v>
      </c>
      <c r="W1006" t="s">
        <v>43</v>
      </c>
      <c r="X1006" t="s">
        <v>41</v>
      </c>
      <c r="Y1006">
        <v>0</v>
      </c>
      <c r="Z1006">
        <v>8</v>
      </c>
      <c r="AA1006">
        <v>2</v>
      </c>
      <c r="AB1006" t="s">
        <v>54</v>
      </c>
      <c r="AC1006">
        <v>7</v>
      </c>
      <c r="AD1006" t="str" cm="1">
        <f t="array" ref="AD1006">_xlfn.IFS(AC1006&lt;=5,"0-5",AC1006&lt;=10,"5-10",AC1006&lt;=40,"10-40")</f>
        <v>5-10</v>
      </c>
      <c r="AE1006">
        <v>7</v>
      </c>
      <c r="AF1006">
        <v>0</v>
      </c>
      <c r="AG1006">
        <v>7</v>
      </c>
      <c r="AH1006">
        <v>1005</v>
      </c>
    </row>
    <row r="1007" spans="1:34" x14ac:dyDescent="0.3">
      <c r="A1007">
        <v>29</v>
      </c>
      <c r="B1007" t="str" cm="1">
        <f t="array" ref="B1007">_xlfn.IFS(A1007&lt;=25,"18-25",A1007&lt;=35,"26-35",A1007&lt;=45,"36-45",A1007&lt;=55,"46-55",A1007&gt;55,"55+")</f>
        <v>26-35</v>
      </c>
      <c r="C1007">
        <v>0</v>
      </c>
      <c r="D1007" t="s">
        <v>32</v>
      </c>
      <c r="E1007">
        <v>332</v>
      </c>
      <c r="F1007" t="s">
        <v>76</v>
      </c>
      <c r="G1007">
        <v>17</v>
      </c>
      <c r="H1007" t="s">
        <v>61</v>
      </c>
      <c r="I1007" t="s">
        <v>55</v>
      </c>
      <c r="J1007" t="s">
        <v>36</v>
      </c>
      <c r="K1007" t="s">
        <v>50</v>
      </c>
      <c r="L1007">
        <v>51</v>
      </c>
      <c r="M1007" t="s">
        <v>36</v>
      </c>
      <c r="N1007" t="s">
        <v>63</v>
      </c>
      <c r="O1007" t="s">
        <v>76</v>
      </c>
      <c r="P1007" t="s">
        <v>44</v>
      </c>
      <c r="Q1007" t="s">
        <v>42</v>
      </c>
      <c r="R1007">
        <v>7988</v>
      </c>
      <c r="S1007">
        <v>9769</v>
      </c>
      <c r="T1007">
        <v>1</v>
      </c>
      <c r="U1007" t="s">
        <v>46</v>
      </c>
      <c r="V1007">
        <v>13</v>
      </c>
      <c r="W1007" t="s">
        <v>43</v>
      </c>
      <c r="X1007" t="s">
        <v>44</v>
      </c>
      <c r="Y1007">
        <v>0</v>
      </c>
      <c r="Z1007">
        <v>10</v>
      </c>
      <c r="AA1007">
        <v>3</v>
      </c>
      <c r="AB1007" t="s">
        <v>60</v>
      </c>
      <c r="AC1007">
        <v>10</v>
      </c>
      <c r="AD1007" t="str" cm="1">
        <f t="array" ref="AD1007">_xlfn.IFS(AC1007&lt;=5,"0-5",AC1007&lt;=10,"5-10",AC1007&lt;=40,"10-40")</f>
        <v>5-10</v>
      </c>
      <c r="AE1007">
        <v>9</v>
      </c>
      <c r="AF1007">
        <v>0</v>
      </c>
      <c r="AG1007">
        <v>9</v>
      </c>
      <c r="AH1007">
        <v>1006</v>
      </c>
    </row>
    <row r="1008" spans="1:34" x14ac:dyDescent="0.3">
      <c r="A1008">
        <v>49</v>
      </c>
      <c r="B1008" t="str" cm="1">
        <f t="array" ref="B1008">_xlfn.IFS(A1008&lt;=25,"18-25",A1008&lt;=35,"26-35",A1008&lt;=45,"36-45",A1008&lt;=55,"46-55",A1008&gt;55,"55+")</f>
        <v>46-55</v>
      </c>
      <c r="C1008">
        <v>1</v>
      </c>
      <c r="D1008" t="s">
        <v>47</v>
      </c>
      <c r="E1008">
        <v>1475</v>
      </c>
      <c r="F1008" t="s">
        <v>48</v>
      </c>
      <c r="G1008">
        <v>28</v>
      </c>
      <c r="H1008" t="s">
        <v>34</v>
      </c>
      <c r="I1008" t="s">
        <v>35</v>
      </c>
      <c r="J1008" t="s">
        <v>44</v>
      </c>
      <c r="K1008" t="s">
        <v>50</v>
      </c>
      <c r="L1008">
        <v>97</v>
      </c>
      <c r="M1008" t="s">
        <v>36</v>
      </c>
      <c r="N1008" t="s">
        <v>39</v>
      </c>
      <c r="O1008" t="s">
        <v>57</v>
      </c>
      <c r="P1008" t="s">
        <v>44</v>
      </c>
      <c r="Q1008" t="s">
        <v>42</v>
      </c>
      <c r="R1008">
        <v>4284</v>
      </c>
      <c r="S1008">
        <v>22710</v>
      </c>
      <c r="T1008">
        <v>3</v>
      </c>
      <c r="U1008" t="s">
        <v>46</v>
      </c>
      <c r="V1008">
        <v>20</v>
      </c>
      <c r="W1008" t="s">
        <v>53</v>
      </c>
      <c r="X1008" t="s">
        <v>44</v>
      </c>
      <c r="Y1008">
        <v>0</v>
      </c>
      <c r="Z1008">
        <v>20</v>
      </c>
      <c r="AA1008">
        <v>2</v>
      </c>
      <c r="AB1008" t="s">
        <v>54</v>
      </c>
      <c r="AC1008">
        <v>4</v>
      </c>
      <c r="AD1008" t="str" cm="1">
        <f t="array" ref="AD1008">_xlfn.IFS(AC1008&lt;=5,"0-5",AC1008&lt;=10,"5-10",AC1008&lt;=40,"10-40")</f>
        <v>0-5</v>
      </c>
      <c r="AE1008">
        <v>3</v>
      </c>
      <c r="AF1008">
        <v>1</v>
      </c>
      <c r="AG1008">
        <v>3</v>
      </c>
      <c r="AH1008">
        <v>1007</v>
      </c>
    </row>
    <row r="1009" spans="1:34" x14ac:dyDescent="0.3">
      <c r="A1009">
        <v>29</v>
      </c>
      <c r="B1009" t="str" cm="1">
        <f t="array" ref="B1009">_xlfn.IFS(A1009&lt;=25,"18-25",A1009&lt;=35,"26-35",A1009&lt;=45,"36-45",A1009&lt;=55,"46-55",A1009&gt;55,"55+")</f>
        <v>26-35</v>
      </c>
      <c r="C1009">
        <v>1</v>
      </c>
      <c r="D1009" t="s">
        <v>47</v>
      </c>
      <c r="E1009">
        <v>337</v>
      </c>
      <c r="F1009" t="s">
        <v>48</v>
      </c>
      <c r="G1009">
        <v>14</v>
      </c>
      <c r="H1009" t="s">
        <v>49</v>
      </c>
      <c r="I1009" t="s">
        <v>55</v>
      </c>
      <c r="J1009" t="s">
        <v>38</v>
      </c>
      <c r="K1009" t="s">
        <v>37</v>
      </c>
      <c r="L1009">
        <v>84</v>
      </c>
      <c r="M1009" t="s">
        <v>38</v>
      </c>
      <c r="N1009" t="s">
        <v>63</v>
      </c>
      <c r="O1009" t="s">
        <v>65</v>
      </c>
      <c r="P1009" t="s">
        <v>41</v>
      </c>
      <c r="Q1009" t="s">
        <v>42</v>
      </c>
      <c r="R1009">
        <v>7553</v>
      </c>
      <c r="S1009">
        <v>22930</v>
      </c>
      <c r="T1009">
        <v>0</v>
      </c>
      <c r="U1009" t="s">
        <v>31</v>
      </c>
      <c r="V1009">
        <v>12</v>
      </c>
      <c r="W1009" t="s">
        <v>43</v>
      </c>
      <c r="X1009" t="s">
        <v>44</v>
      </c>
      <c r="Y1009">
        <v>0</v>
      </c>
      <c r="Z1009">
        <v>9</v>
      </c>
      <c r="AA1009">
        <v>1</v>
      </c>
      <c r="AB1009" t="s">
        <v>54</v>
      </c>
      <c r="AC1009">
        <v>8</v>
      </c>
      <c r="AD1009" t="str" cm="1">
        <f t="array" ref="AD1009">_xlfn.IFS(AC1009&lt;=5,"0-5",AC1009&lt;=10,"5-10",AC1009&lt;=40,"10-40")</f>
        <v>5-10</v>
      </c>
      <c r="AE1009">
        <v>7</v>
      </c>
      <c r="AF1009">
        <v>7</v>
      </c>
      <c r="AG1009">
        <v>7</v>
      </c>
      <c r="AH1009">
        <v>1008</v>
      </c>
    </row>
    <row r="1010" spans="1:34" x14ac:dyDescent="0.3">
      <c r="A1010">
        <v>54</v>
      </c>
      <c r="B1010" t="str" cm="1">
        <f t="array" ref="B1010">_xlfn.IFS(A1010&lt;=25,"18-25",A1010&lt;=35,"26-35",A1010&lt;=45,"36-45",A1010&lt;=55,"46-55",A1010&gt;55,"55+")</f>
        <v>46-55</v>
      </c>
      <c r="C1010">
        <v>0</v>
      </c>
      <c r="D1010" t="s">
        <v>32</v>
      </c>
      <c r="E1010">
        <v>971</v>
      </c>
      <c r="F1010" t="s">
        <v>48</v>
      </c>
      <c r="G1010">
        <v>1</v>
      </c>
      <c r="H1010" t="s">
        <v>61</v>
      </c>
      <c r="I1010" t="s">
        <v>59</v>
      </c>
      <c r="J1010" t="s">
        <v>41</v>
      </c>
      <c r="K1010" t="s">
        <v>37</v>
      </c>
      <c r="L1010">
        <v>54</v>
      </c>
      <c r="M1010" t="s">
        <v>38</v>
      </c>
      <c r="N1010" t="s">
        <v>67</v>
      </c>
      <c r="O1010" t="s">
        <v>70</v>
      </c>
      <c r="P1010" t="s">
        <v>41</v>
      </c>
      <c r="Q1010" t="s">
        <v>42</v>
      </c>
      <c r="R1010">
        <v>17328</v>
      </c>
      <c r="S1010">
        <v>5652</v>
      </c>
      <c r="T1010">
        <v>6</v>
      </c>
      <c r="U1010" t="s">
        <v>46</v>
      </c>
      <c r="V1010">
        <v>19</v>
      </c>
      <c r="W1010" t="s">
        <v>43</v>
      </c>
      <c r="X1010" t="s">
        <v>41</v>
      </c>
      <c r="Y1010">
        <v>0</v>
      </c>
      <c r="Z1010">
        <v>29</v>
      </c>
      <c r="AA1010">
        <v>3</v>
      </c>
      <c r="AB1010" t="s">
        <v>60</v>
      </c>
      <c r="AC1010">
        <v>20</v>
      </c>
      <c r="AD1010" t="str" cm="1">
        <f t="array" ref="AD1010">_xlfn.IFS(AC1010&lt;=5,"0-5",AC1010&lt;=10,"5-10",AC1010&lt;=40,"10-40")</f>
        <v>10-40</v>
      </c>
      <c r="AE1010">
        <v>7</v>
      </c>
      <c r="AF1010">
        <v>12</v>
      </c>
      <c r="AG1010">
        <v>7</v>
      </c>
      <c r="AH1010">
        <v>1009</v>
      </c>
    </row>
    <row r="1011" spans="1:34" x14ac:dyDescent="0.3">
      <c r="A1011">
        <v>58</v>
      </c>
      <c r="B1011" t="str" cm="1">
        <f t="array" ref="B1011">_xlfn.IFS(A1011&lt;=25,"18-25",A1011&lt;=35,"26-35",A1011&lt;=45,"36-45",A1011&lt;=55,"46-55",A1011&gt;55,"55+")</f>
        <v>55+</v>
      </c>
      <c r="C1011">
        <v>0</v>
      </c>
      <c r="D1011" t="s">
        <v>32</v>
      </c>
      <c r="E1011">
        <v>1055</v>
      </c>
      <c r="F1011" t="s">
        <v>48</v>
      </c>
      <c r="G1011">
        <v>1</v>
      </c>
      <c r="H1011" t="s">
        <v>61</v>
      </c>
      <c r="I1011" t="s">
        <v>59</v>
      </c>
      <c r="J1011" t="s">
        <v>41</v>
      </c>
      <c r="K1011" t="s">
        <v>37</v>
      </c>
      <c r="L1011">
        <v>76</v>
      </c>
      <c r="M1011" t="s">
        <v>38</v>
      </c>
      <c r="N1011" t="s">
        <v>71</v>
      </c>
      <c r="O1011" t="s">
        <v>70</v>
      </c>
      <c r="P1011" t="s">
        <v>44</v>
      </c>
      <c r="Q1011" t="s">
        <v>52</v>
      </c>
      <c r="R1011">
        <v>19701</v>
      </c>
      <c r="S1011">
        <v>22456</v>
      </c>
      <c r="T1011">
        <v>3</v>
      </c>
      <c r="U1011" t="s">
        <v>31</v>
      </c>
      <c r="V1011">
        <v>21</v>
      </c>
      <c r="W1011" t="s">
        <v>53</v>
      </c>
      <c r="X1011" t="s">
        <v>38</v>
      </c>
      <c r="Y1011">
        <v>1</v>
      </c>
      <c r="Z1011">
        <v>32</v>
      </c>
      <c r="AA1011">
        <v>3</v>
      </c>
      <c r="AB1011" t="s">
        <v>54</v>
      </c>
      <c r="AC1011">
        <v>9</v>
      </c>
      <c r="AD1011" t="str" cm="1">
        <f t="array" ref="AD1011">_xlfn.IFS(AC1011&lt;=5,"0-5",AC1011&lt;=10,"5-10",AC1011&lt;=40,"10-40")</f>
        <v>5-10</v>
      </c>
      <c r="AE1011">
        <v>8</v>
      </c>
      <c r="AF1011">
        <v>1</v>
      </c>
      <c r="AG1011">
        <v>5</v>
      </c>
      <c r="AH1011">
        <v>1010</v>
      </c>
    </row>
    <row r="1012" spans="1:34" x14ac:dyDescent="0.3">
      <c r="A1012">
        <v>55</v>
      </c>
      <c r="B1012" t="str" cm="1">
        <f t="array" ref="B1012">_xlfn.IFS(A1012&lt;=25,"18-25",A1012&lt;=35,"26-35",A1012&lt;=45,"36-45",A1012&lt;=55,"46-55",A1012&gt;55,"55+")</f>
        <v>46-55</v>
      </c>
      <c r="C1012">
        <v>0</v>
      </c>
      <c r="D1012" t="s">
        <v>32</v>
      </c>
      <c r="E1012">
        <v>1136</v>
      </c>
      <c r="F1012" t="s">
        <v>48</v>
      </c>
      <c r="G1012">
        <v>1</v>
      </c>
      <c r="H1012" t="s">
        <v>58</v>
      </c>
      <c r="I1012" t="s">
        <v>59</v>
      </c>
      <c r="J1012" t="s">
        <v>36</v>
      </c>
      <c r="K1012" t="s">
        <v>50</v>
      </c>
      <c r="L1012">
        <v>81</v>
      </c>
      <c r="M1012" t="s">
        <v>41</v>
      </c>
      <c r="N1012" t="s">
        <v>67</v>
      </c>
      <c r="O1012" t="s">
        <v>70</v>
      </c>
      <c r="P1012" t="s">
        <v>41</v>
      </c>
      <c r="Q1012" t="s">
        <v>62</v>
      </c>
      <c r="R1012">
        <v>14732</v>
      </c>
      <c r="S1012">
        <v>12414</v>
      </c>
      <c r="T1012">
        <v>2</v>
      </c>
      <c r="U1012" t="s">
        <v>46</v>
      </c>
      <c r="V1012">
        <v>13</v>
      </c>
      <c r="W1012" t="s">
        <v>43</v>
      </c>
      <c r="X1012" t="s">
        <v>41</v>
      </c>
      <c r="Y1012">
        <v>2</v>
      </c>
      <c r="Z1012">
        <v>31</v>
      </c>
      <c r="AA1012">
        <v>4</v>
      </c>
      <c r="AB1012" t="s">
        <v>73</v>
      </c>
      <c r="AC1012">
        <v>7</v>
      </c>
      <c r="AD1012" t="str" cm="1">
        <f t="array" ref="AD1012">_xlfn.IFS(AC1012&lt;=5,"0-5",AC1012&lt;=10,"5-10",AC1012&lt;=40,"10-40")</f>
        <v>5-10</v>
      </c>
      <c r="AE1012">
        <v>7</v>
      </c>
      <c r="AF1012">
        <v>0</v>
      </c>
      <c r="AG1012">
        <v>0</v>
      </c>
      <c r="AH1012">
        <v>1011</v>
      </c>
    </row>
    <row r="1013" spans="1:34" x14ac:dyDescent="0.3">
      <c r="A1013">
        <v>36</v>
      </c>
      <c r="B1013" t="str" cm="1">
        <f t="array" ref="B1013">_xlfn.IFS(A1013&lt;=25,"18-25",A1013&lt;=35,"26-35",A1013&lt;=45,"36-45",A1013&lt;=55,"46-55",A1013&gt;55,"55+")</f>
        <v>36-45</v>
      </c>
      <c r="C1013">
        <v>0</v>
      </c>
      <c r="D1013" t="s">
        <v>32</v>
      </c>
      <c r="E1013">
        <v>1174</v>
      </c>
      <c r="F1013" t="s">
        <v>33</v>
      </c>
      <c r="G1013">
        <v>3</v>
      </c>
      <c r="H1013" t="s">
        <v>58</v>
      </c>
      <c r="I1013" t="s">
        <v>72</v>
      </c>
      <c r="J1013" t="s">
        <v>44</v>
      </c>
      <c r="K1013" t="s">
        <v>37</v>
      </c>
      <c r="L1013">
        <v>99</v>
      </c>
      <c r="M1013" t="s">
        <v>38</v>
      </c>
      <c r="N1013" t="s">
        <v>39</v>
      </c>
      <c r="O1013" t="s">
        <v>40</v>
      </c>
      <c r="P1013" t="s">
        <v>36</v>
      </c>
      <c r="Q1013" t="s">
        <v>42</v>
      </c>
      <c r="R1013">
        <v>9278</v>
      </c>
      <c r="S1013">
        <v>20763</v>
      </c>
      <c r="T1013">
        <v>3</v>
      </c>
      <c r="U1013" t="s">
        <v>31</v>
      </c>
      <c r="V1013">
        <v>16</v>
      </c>
      <c r="W1013" t="s">
        <v>43</v>
      </c>
      <c r="X1013" t="s">
        <v>41</v>
      </c>
      <c r="Y1013">
        <v>0</v>
      </c>
      <c r="Z1013">
        <v>15</v>
      </c>
      <c r="AA1013">
        <v>3</v>
      </c>
      <c r="AB1013" t="s">
        <v>54</v>
      </c>
      <c r="AC1013">
        <v>5</v>
      </c>
      <c r="AD1013" t="str" cm="1">
        <f t="array" ref="AD1013">_xlfn.IFS(AC1013&lt;=5,"0-5",AC1013&lt;=10,"5-10",AC1013&lt;=40,"10-40")</f>
        <v>0-5</v>
      </c>
      <c r="AE1013">
        <v>4</v>
      </c>
      <c r="AF1013">
        <v>0</v>
      </c>
      <c r="AG1013">
        <v>1</v>
      </c>
      <c r="AH1013">
        <v>1012</v>
      </c>
    </row>
    <row r="1014" spans="1:34" x14ac:dyDescent="0.3">
      <c r="A1014">
        <v>31</v>
      </c>
      <c r="B1014" t="str" cm="1">
        <f t="array" ref="B1014">_xlfn.IFS(A1014&lt;=25,"18-25",A1014&lt;=35,"26-35",A1014&lt;=45,"36-45",A1014&lt;=55,"46-55",A1014&gt;55,"55+")</f>
        <v>26-35</v>
      </c>
      <c r="C1014">
        <v>1</v>
      </c>
      <c r="D1014" t="s">
        <v>47</v>
      </c>
      <c r="E1014">
        <v>667</v>
      </c>
      <c r="F1014" t="s">
        <v>33</v>
      </c>
      <c r="G1014">
        <v>1</v>
      </c>
      <c r="H1014" t="s">
        <v>58</v>
      </c>
      <c r="I1014" t="s">
        <v>35</v>
      </c>
      <c r="J1014" t="s">
        <v>36</v>
      </c>
      <c r="K1014" t="s">
        <v>37</v>
      </c>
      <c r="L1014">
        <v>50</v>
      </c>
      <c r="M1014" t="s">
        <v>44</v>
      </c>
      <c r="N1014" t="s">
        <v>56</v>
      </c>
      <c r="O1014" t="s">
        <v>69</v>
      </c>
      <c r="P1014" t="s">
        <v>38</v>
      </c>
      <c r="Q1014" t="s">
        <v>42</v>
      </c>
      <c r="R1014">
        <v>1359</v>
      </c>
      <c r="S1014">
        <v>16154</v>
      </c>
      <c r="T1014">
        <v>1</v>
      </c>
      <c r="U1014" t="s">
        <v>46</v>
      </c>
      <c r="V1014">
        <v>12</v>
      </c>
      <c r="W1014" t="s">
        <v>43</v>
      </c>
      <c r="X1014" t="s">
        <v>36</v>
      </c>
      <c r="Y1014">
        <v>0</v>
      </c>
      <c r="Z1014">
        <v>1</v>
      </c>
      <c r="AA1014">
        <v>3</v>
      </c>
      <c r="AB1014" t="s">
        <v>54</v>
      </c>
      <c r="AC1014">
        <v>1</v>
      </c>
      <c r="AD1014" t="str" cm="1">
        <f t="array" ref="AD1014">_xlfn.IFS(AC1014&lt;=5,"0-5",AC1014&lt;=10,"5-10",AC1014&lt;=40,"10-40")</f>
        <v>0-5</v>
      </c>
      <c r="AE1014">
        <v>0</v>
      </c>
      <c r="AF1014">
        <v>0</v>
      </c>
      <c r="AG1014">
        <v>0</v>
      </c>
      <c r="AH1014">
        <v>1013</v>
      </c>
    </row>
    <row r="1015" spans="1:34" x14ac:dyDescent="0.3">
      <c r="A1015">
        <v>30</v>
      </c>
      <c r="B1015" t="str" cm="1">
        <f t="array" ref="B1015">_xlfn.IFS(A1015&lt;=25,"18-25",A1015&lt;=35,"26-35",A1015&lt;=45,"36-45",A1015&lt;=55,"46-55",A1015&gt;55,"55+")</f>
        <v>26-35</v>
      </c>
      <c r="C1015">
        <v>0</v>
      </c>
      <c r="D1015" t="s">
        <v>32</v>
      </c>
      <c r="E1015">
        <v>855</v>
      </c>
      <c r="F1015" t="s">
        <v>33</v>
      </c>
      <c r="G1015">
        <v>7</v>
      </c>
      <c r="H1015" t="s">
        <v>58</v>
      </c>
      <c r="I1015" t="s">
        <v>72</v>
      </c>
      <c r="J1015" t="s">
        <v>41</v>
      </c>
      <c r="K1015" t="s">
        <v>37</v>
      </c>
      <c r="L1015">
        <v>73</v>
      </c>
      <c r="M1015" t="s">
        <v>38</v>
      </c>
      <c r="N1015" t="s">
        <v>39</v>
      </c>
      <c r="O1015" t="s">
        <v>40</v>
      </c>
      <c r="P1015" t="s">
        <v>44</v>
      </c>
      <c r="Q1015" t="s">
        <v>62</v>
      </c>
      <c r="R1015">
        <v>4779</v>
      </c>
      <c r="S1015">
        <v>12761</v>
      </c>
      <c r="T1015">
        <v>7</v>
      </c>
      <c r="U1015" t="s">
        <v>46</v>
      </c>
      <c r="V1015">
        <v>14</v>
      </c>
      <c r="W1015" t="s">
        <v>43</v>
      </c>
      <c r="X1015" t="s">
        <v>36</v>
      </c>
      <c r="Y1015">
        <v>2</v>
      </c>
      <c r="Z1015">
        <v>8</v>
      </c>
      <c r="AA1015">
        <v>3</v>
      </c>
      <c r="AB1015" t="s">
        <v>54</v>
      </c>
      <c r="AC1015">
        <v>3</v>
      </c>
      <c r="AD1015" t="str" cm="1">
        <f t="array" ref="AD1015">_xlfn.IFS(AC1015&lt;=5,"0-5",AC1015&lt;=10,"5-10",AC1015&lt;=40,"10-40")</f>
        <v>0-5</v>
      </c>
      <c r="AE1015">
        <v>2</v>
      </c>
      <c r="AF1015">
        <v>0</v>
      </c>
      <c r="AG1015">
        <v>2</v>
      </c>
      <c r="AH1015">
        <v>1014</v>
      </c>
    </row>
    <row r="1016" spans="1:34" x14ac:dyDescent="0.3">
      <c r="A1016">
        <v>31</v>
      </c>
      <c r="B1016" t="str" cm="1">
        <f t="array" ref="B1016">_xlfn.IFS(A1016&lt;=25,"18-25",A1016&lt;=35,"26-35",A1016&lt;=45,"36-45",A1016&lt;=55,"46-55",A1016&gt;55,"55+")</f>
        <v>26-35</v>
      </c>
      <c r="C1016">
        <v>0</v>
      </c>
      <c r="D1016" t="s">
        <v>32</v>
      </c>
      <c r="E1016">
        <v>182</v>
      </c>
      <c r="F1016" t="s">
        <v>48</v>
      </c>
      <c r="G1016">
        <v>8</v>
      </c>
      <c r="H1016" t="s">
        <v>75</v>
      </c>
      <c r="I1016" t="s">
        <v>35</v>
      </c>
      <c r="J1016" t="s">
        <v>44</v>
      </c>
      <c r="K1016" t="s">
        <v>37</v>
      </c>
      <c r="L1016">
        <v>93</v>
      </c>
      <c r="M1016" t="s">
        <v>38</v>
      </c>
      <c r="N1016" t="s">
        <v>67</v>
      </c>
      <c r="O1016" t="s">
        <v>70</v>
      </c>
      <c r="P1016" t="s">
        <v>36</v>
      </c>
      <c r="Q1016" t="s">
        <v>42</v>
      </c>
      <c r="R1016">
        <v>16422</v>
      </c>
      <c r="S1016">
        <v>8847</v>
      </c>
      <c r="T1016">
        <v>3</v>
      </c>
      <c r="U1016" t="s">
        <v>46</v>
      </c>
      <c r="V1016">
        <v>11</v>
      </c>
      <c r="W1016" t="s">
        <v>43</v>
      </c>
      <c r="X1016" t="s">
        <v>38</v>
      </c>
      <c r="Y1016">
        <v>0</v>
      </c>
      <c r="Z1016">
        <v>9</v>
      </c>
      <c r="AA1016">
        <v>3</v>
      </c>
      <c r="AB1016" t="s">
        <v>73</v>
      </c>
      <c r="AC1016">
        <v>3</v>
      </c>
      <c r="AD1016" t="str" cm="1">
        <f t="array" ref="AD1016">_xlfn.IFS(AC1016&lt;=5,"0-5",AC1016&lt;=10,"5-10",AC1016&lt;=40,"10-40")</f>
        <v>0-5</v>
      </c>
      <c r="AE1016">
        <v>2</v>
      </c>
      <c r="AF1016">
        <v>1</v>
      </c>
      <c r="AG1016">
        <v>0</v>
      </c>
      <c r="AH1016">
        <v>1015</v>
      </c>
    </row>
    <row r="1017" spans="1:34" x14ac:dyDescent="0.3">
      <c r="A1017">
        <v>34</v>
      </c>
      <c r="B1017" t="str" cm="1">
        <f t="array" ref="B1017">_xlfn.IFS(A1017&lt;=25,"18-25",A1017&lt;=35,"26-35",A1017&lt;=45,"36-45",A1017&lt;=55,"46-55",A1017&gt;55,"55+")</f>
        <v>26-35</v>
      </c>
      <c r="C1017">
        <v>0</v>
      </c>
      <c r="D1017" t="s">
        <v>47</v>
      </c>
      <c r="E1017">
        <v>560</v>
      </c>
      <c r="F1017" t="s">
        <v>48</v>
      </c>
      <c r="G1017">
        <v>1</v>
      </c>
      <c r="H1017" t="s">
        <v>58</v>
      </c>
      <c r="I1017" t="s">
        <v>55</v>
      </c>
      <c r="J1017" t="s">
        <v>41</v>
      </c>
      <c r="K1017" t="s">
        <v>50</v>
      </c>
      <c r="L1017">
        <v>91</v>
      </c>
      <c r="M1017" t="s">
        <v>38</v>
      </c>
      <c r="N1017" t="s">
        <v>56</v>
      </c>
      <c r="O1017" t="s">
        <v>51</v>
      </c>
      <c r="P1017" t="s">
        <v>44</v>
      </c>
      <c r="Q1017" t="s">
        <v>62</v>
      </c>
      <c r="R1017">
        <v>2996</v>
      </c>
      <c r="S1017">
        <v>20284</v>
      </c>
      <c r="T1017">
        <v>5</v>
      </c>
      <c r="U1017" t="s">
        <v>46</v>
      </c>
      <c r="V1017">
        <v>14</v>
      </c>
      <c r="W1017" t="s">
        <v>43</v>
      </c>
      <c r="X1017" t="s">
        <v>38</v>
      </c>
      <c r="Y1017">
        <v>2</v>
      </c>
      <c r="Z1017">
        <v>10</v>
      </c>
      <c r="AA1017">
        <v>2</v>
      </c>
      <c r="AB1017" t="s">
        <v>54</v>
      </c>
      <c r="AC1017">
        <v>4</v>
      </c>
      <c r="AD1017" t="str" cm="1">
        <f t="array" ref="AD1017">_xlfn.IFS(AC1017&lt;=5,"0-5",AC1017&lt;=10,"5-10",AC1017&lt;=40,"10-40")</f>
        <v>0-5</v>
      </c>
      <c r="AE1017">
        <v>3</v>
      </c>
      <c r="AF1017">
        <v>1</v>
      </c>
      <c r="AG1017">
        <v>3</v>
      </c>
      <c r="AH1017">
        <v>1016</v>
      </c>
    </row>
    <row r="1018" spans="1:34" x14ac:dyDescent="0.3">
      <c r="A1018">
        <v>31</v>
      </c>
      <c r="B1018" t="str" cm="1">
        <f t="array" ref="B1018">_xlfn.IFS(A1018&lt;=25,"18-25",A1018&lt;=35,"26-35",A1018&lt;=45,"36-45",A1018&lt;=55,"46-55",A1018&gt;55,"55+")</f>
        <v>26-35</v>
      </c>
      <c r="C1018">
        <v>1</v>
      </c>
      <c r="D1018" t="s">
        <v>32</v>
      </c>
      <c r="E1018">
        <v>202</v>
      </c>
      <c r="F1018" t="s">
        <v>48</v>
      </c>
      <c r="G1018">
        <v>8</v>
      </c>
      <c r="H1018" t="s">
        <v>61</v>
      </c>
      <c r="I1018" t="s">
        <v>35</v>
      </c>
      <c r="J1018" t="s">
        <v>44</v>
      </c>
      <c r="K1018" t="s">
        <v>37</v>
      </c>
      <c r="L1018">
        <v>34</v>
      </c>
      <c r="M1018" t="s">
        <v>36</v>
      </c>
      <c r="N1018" t="s">
        <v>56</v>
      </c>
      <c r="O1018" t="s">
        <v>51</v>
      </c>
      <c r="P1018" t="s">
        <v>36</v>
      </c>
      <c r="Q1018" t="s">
        <v>42</v>
      </c>
      <c r="R1018">
        <v>1261</v>
      </c>
      <c r="S1018">
        <v>22262</v>
      </c>
      <c r="T1018">
        <v>1</v>
      </c>
      <c r="U1018" t="s">
        <v>46</v>
      </c>
      <c r="V1018">
        <v>12</v>
      </c>
      <c r="W1018" t="s">
        <v>43</v>
      </c>
      <c r="X1018" t="s">
        <v>38</v>
      </c>
      <c r="Y1018">
        <v>0</v>
      </c>
      <c r="Z1018">
        <v>1</v>
      </c>
      <c r="AA1018">
        <v>3</v>
      </c>
      <c r="AB1018" t="s">
        <v>73</v>
      </c>
      <c r="AC1018">
        <v>1</v>
      </c>
      <c r="AD1018" t="str" cm="1">
        <f t="array" ref="AD1018">_xlfn.IFS(AC1018&lt;=5,"0-5",AC1018&lt;=10,"5-10",AC1018&lt;=40,"10-40")</f>
        <v>0-5</v>
      </c>
      <c r="AE1018">
        <v>0</v>
      </c>
      <c r="AF1018">
        <v>0</v>
      </c>
      <c r="AG1018">
        <v>0</v>
      </c>
      <c r="AH1018">
        <v>1017</v>
      </c>
    </row>
    <row r="1019" spans="1:34" x14ac:dyDescent="0.3">
      <c r="A1019">
        <v>27</v>
      </c>
      <c r="B1019" t="str" cm="1">
        <f t="array" ref="B1019">_xlfn.IFS(A1019&lt;=25,"18-25",A1019&lt;=35,"26-35",A1019&lt;=45,"36-45",A1019&lt;=55,"46-55",A1019&gt;55,"55+")</f>
        <v>26-35</v>
      </c>
      <c r="C1019">
        <v>0</v>
      </c>
      <c r="D1019" t="s">
        <v>32</v>
      </c>
      <c r="E1019">
        <v>1377</v>
      </c>
      <c r="F1019" t="s">
        <v>48</v>
      </c>
      <c r="G1019">
        <v>11</v>
      </c>
      <c r="H1019" t="s">
        <v>49</v>
      </c>
      <c r="I1019" t="s">
        <v>35</v>
      </c>
      <c r="J1019" t="s">
        <v>36</v>
      </c>
      <c r="K1019" t="s">
        <v>50</v>
      </c>
      <c r="L1019">
        <v>91</v>
      </c>
      <c r="M1019" t="s">
        <v>38</v>
      </c>
      <c r="N1019" t="s">
        <v>56</v>
      </c>
      <c r="O1019" t="s">
        <v>57</v>
      </c>
      <c r="P1019" t="s">
        <v>44</v>
      </c>
      <c r="Q1019" t="s">
        <v>52</v>
      </c>
      <c r="R1019">
        <v>2099</v>
      </c>
      <c r="S1019">
        <v>7679</v>
      </c>
      <c r="T1019">
        <v>0</v>
      </c>
      <c r="U1019" t="s">
        <v>46</v>
      </c>
      <c r="V1019">
        <v>14</v>
      </c>
      <c r="W1019" t="s">
        <v>43</v>
      </c>
      <c r="X1019" t="s">
        <v>36</v>
      </c>
      <c r="Y1019">
        <v>0</v>
      </c>
      <c r="Z1019">
        <v>6</v>
      </c>
      <c r="AA1019">
        <v>3</v>
      </c>
      <c r="AB1019" t="s">
        <v>73</v>
      </c>
      <c r="AC1019">
        <v>5</v>
      </c>
      <c r="AD1019" t="str" cm="1">
        <f t="array" ref="AD1019">_xlfn.IFS(AC1019&lt;=5,"0-5",AC1019&lt;=10,"5-10",AC1019&lt;=40,"10-40")</f>
        <v>0-5</v>
      </c>
      <c r="AE1019">
        <v>0</v>
      </c>
      <c r="AF1019">
        <v>1</v>
      </c>
      <c r="AG1019">
        <v>4</v>
      </c>
      <c r="AH1019">
        <v>1018</v>
      </c>
    </row>
    <row r="1020" spans="1:34" x14ac:dyDescent="0.3">
      <c r="A1020">
        <v>36</v>
      </c>
      <c r="B1020" t="str" cm="1">
        <f t="array" ref="B1020">_xlfn.IFS(A1020&lt;=25,"18-25",A1020&lt;=35,"26-35",A1020&lt;=45,"36-45",A1020&lt;=55,"46-55",A1020&gt;55,"55+")</f>
        <v>36-45</v>
      </c>
      <c r="C1020">
        <v>0</v>
      </c>
      <c r="D1020" t="s">
        <v>32</v>
      </c>
      <c r="E1020">
        <v>172</v>
      </c>
      <c r="F1020" t="s">
        <v>48</v>
      </c>
      <c r="G1020">
        <v>4</v>
      </c>
      <c r="H1020" t="s">
        <v>58</v>
      </c>
      <c r="I1020" t="s">
        <v>35</v>
      </c>
      <c r="J1020" t="s">
        <v>44</v>
      </c>
      <c r="K1020" t="s">
        <v>50</v>
      </c>
      <c r="L1020">
        <v>37</v>
      </c>
      <c r="M1020" t="s">
        <v>36</v>
      </c>
      <c r="N1020" t="s">
        <v>39</v>
      </c>
      <c r="O1020" t="s">
        <v>57</v>
      </c>
      <c r="P1020" t="s">
        <v>41</v>
      </c>
      <c r="Q1020" t="s">
        <v>42</v>
      </c>
      <c r="R1020">
        <v>5810</v>
      </c>
      <c r="S1020">
        <v>22604</v>
      </c>
      <c r="T1020">
        <v>1</v>
      </c>
      <c r="U1020" t="s">
        <v>46</v>
      </c>
      <c r="V1020">
        <v>16</v>
      </c>
      <c r="W1020" t="s">
        <v>43</v>
      </c>
      <c r="X1020" t="s">
        <v>38</v>
      </c>
      <c r="Y1020">
        <v>0</v>
      </c>
      <c r="Z1020">
        <v>10</v>
      </c>
      <c r="AA1020">
        <v>2</v>
      </c>
      <c r="AB1020" t="s">
        <v>60</v>
      </c>
      <c r="AC1020">
        <v>10</v>
      </c>
      <c r="AD1020" t="str" cm="1">
        <f t="array" ref="AD1020">_xlfn.IFS(AC1020&lt;=5,"0-5",AC1020&lt;=10,"5-10",AC1020&lt;=40,"10-40")</f>
        <v>5-10</v>
      </c>
      <c r="AE1020">
        <v>4</v>
      </c>
      <c r="AF1020">
        <v>1</v>
      </c>
      <c r="AG1020">
        <v>8</v>
      </c>
      <c r="AH1020">
        <v>1019</v>
      </c>
    </row>
    <row r="1021" spans="1:34" x14ac:dyDescent="0.3">
      <c r="A1021">
        <v>36</v>
      </c>
      <c r="B1021" t="str" cm="1">
        <f t="array" ref="B1021">_xlfn.IFS(A1021&lt;=25,"18-25",A1021&lt;=35,"26-35",A1021&lt;=45,"36-45",A1021&lt;=55,"46-55",A1021&gt;55,"55+")</f>
        <v>36-45</v>
      </c>
      <c r="C1021">
        <v>0</v>
      </c>
      <c r="D1021" t="s">
        <v>32</v>
      </c>
      <c r="E1021">
        <v>329</v>
      </c>
      <c r="F1021" t="s">
        <v>33</v>
      </c>
      <c r="G1021">
        <v>16</v>
      </c>
      <c r="H1021" t="s">
        <v>58</v>
      </c>
      <c r="I1021" t="s">
        <v>72</v>
      </c>
      <c r="J1021" t="s">
        <v>38</v>
      </c>
      <c r="K1021" t="s">
        <v>37</v>
      </c>
      <c r="L1021">
        <v>98</v>
      </c>
      <c r="M1021" t="s">
        <v>36</v>
      </c>
      <c r="N1021" t="s">
        <v>39</v>
      </c>
      <c r="O1021" t="s">
        <v>40</v>
      </c>
      <c r="P1021" t="s">
        <v>44</v>
      </c>
      <c r="Q1021" t="s">
        <v>52</v>
      </c>
      <c r="R1021">
        <v>5647</v>
      </c>
      <c r="S1021">
        <v>13494</v>
      </c>
      <c r="T1021">
        <v>4</v>
      </c>
      <c r="U1021" t="s">
        <v>46</v>
      </c>
      <c r="V1021">
        <v>13</v>
      </c>
      <c r="W1021" t="s">
        <v>43</v>
      </c>
      <c r="X1021" t="s">
        <v>44</v>
      </c>
      <c r="Y1021">
        <v>2</v>
      </c>
      <c r="Z1021">
        <v>11</v>
      </c>
      <c r="AA1021">
        <v>3</v>
      </c>
      <c r="AB1021" t="s">
        <v>60</v>
      </c>
      <c r="AC1021">
        <v>3</v>
      </c>
      <c r="AD1021" t="str" cm="1">
        <f t="array" ref="AD1021">_xlfn.IFS(AC1021&lt;=5,"0-5",AC1021&lt;=10,"5-10",AC1021&lt;=40,"10-40")</f>
        <v>0-5</v>
      </c>
      <c r="AE1021">
        <v>2</v>
      </c>
      <c r="AF1021">
        <v>0</v>
      </c>
      <c r="AG1021">
        <v>2</v>
      </c>
      <c r="AH1021">
        <v>1020</v>
      </c>
    </row>
    <row r="1022" spans="1:34" x14ac:dyDescent="0.3">
      <c r="A1022">
        <v>47</v>
      </c>
      <c r="B1022" t="str" cm="1">
        <f t="array" ref="B1022">_xlfn.IFS(A1022&lt;=25,"18-25",A1022&lt;=35,"26-35",A1022&lt;=45,"36-45",A1022&lt;=55,"46-55",A1022&gt;55,"55+")</f>
        <v>46-55</v>
      </c>
      <c r="C1022">
        <v>0</v>
      </c>
      <c r="D1022" t="s">
        <v>32</v>
      </c>
      <c r="E1022">
        <v>465</v>
      </c>
      <c r="F1022" t="s">
        <v>48</v>
      </c>
      <c r="G1022">
        <v>1</v>
      </c>
      <c r="H1022" t="s">
        <v>61</v>
      </c>
      <c r="I1022" t="s">
        <v>74</v>
      </c>
      <c r="J1022" t="s">
        <v>44</v>
      </c>
      <c r="K1022" t="s">
        <v>50</v>
      </c>
      <c r="L1022">
        <v>74</v>
      </c>
      <c r="M1022" t="s">
        <v>38</v>
      </c>
      <c r="N1022" t="s">
        <v>56</v>
      </c>
      <c r="O1022" t="s">
        <v>51</v>
      </c>
      <c r="P1022" t="s">
        <v>41</v>
      </c>
      <c r="Q1022" t="s">
        <v>52</v>
      </c>
      <c r="R1022">
        <v>3420</v>
      </c>
      <c r="S1022">
        <v>10205</v>
      </c>
      <c r="T1022">
        <v>7</v>
      </c>
      <c r="U1022" t="s">
        <v>46</v>
      </c>
      <c r="V1022">
        <v>12</v>
      </c>
      <c r="W1022" t="s">
        <v>43</v>
      </c>
      <c r="X1022" t="s">
        <v>38</v>
      </c>
      <c r="Y1022">
        <v>1</v>
      </c>
      <c r="Z1022">
        <v>17</v>
      </c>
      <c r="AA1022">
        <v>2</v>
      </c>
      <c r="AB1022" t="s">
        <v>60</v>
      </c>
      <c r="AC1022">
        <v>6</v>
      </c>
      <c r="AD1022" t="str" cm="1">
        <f t="array" ref="AD1022">_xlfn.IFS(AC1022&lt;=5,"0-5",AC1022&lt;=10,"5-10",AC1022&lt;=40,"10-40")</f>
        <v>5-10</v>
      </c>
      <c r="AE1022">
        <v>5</v>
      </c>
      <c r="AF1022">
        <v>1</v>
      </c>
      <c r="AG1022">
        <v>2</v>
      </c>
      <c r="AH1022">
        <v>1021</v>
      </c>
    </row>
    <row r="1023" spans="1:34" x14ac:dyDescent="0.3">
      <c r="A1023">
        <v>25</v>
      </c>
      <c r="B1023" t="str" cm="1">
        <f t="array" ref="B1023">_xlfn.IFS(A1023&lt;=25,"18-25",A1023&lt;=35,"26-35",A1023&lt;=45,"36-45",A1023&lt;=55,"46-55",A1023&gt;55,"55+")</f>
        <v>18-25</v>
      </c>
      <c r="C1023">
        <v>1</v>
      </c>
      <c r="D1023" t="s">
        <v>32</v>
      </c>
      <c r="E1023">
        <v>383</v>
      </c>
      <c r="F1023" t="s">
        <v>33</v>
      </c>
      <c r="G1023">
        <v>9</v>
      </c>
      <c r="H1023" t="s">
        <v>34</v>
      </c>
      <c r="I1023" t="s">
        <v>35</v>
      </c>
      <c r="J1023" t="s">
        <v>44</v>
      </c>
      <c r="K1023" t="s">
        <v>50</v>
      </c>
      <c r="L1023">
        <v>68</v>
      </c>
      <c r="M1023" t="s">
        <v>36</v>
      </c>
      <c r="N1023" t="s">
        <v>56</v>
      </c>
      <c r="O1023" t="s">
        <v>69</v>
      </c>
      <c r="P1023" t="s">
        <v>44</v>
      </c>
      <c r="Q1023" t="s">
        <v>52</v>
      </c>
      <c r="R1023">
        <v>4400</v>
      </c>
      <c r="S1023">
        <v>15182</v>
      </c>
      <c r="T1023">
        <v>3</v>
      </c>
      <c r="U1023" t="s">
        <v>46</v>
      </c>
      <c r="V1023">
        <v>12</v>
      </c>
      <c r="W1023" t="s">
        <v>43</v>
      </c>
      <c r="X1023" t="s">
        <v>44</v>
      </c>
      <c r="Y1023">
        <v>0</v>
      </c>
      <c r="Z1023">
        <v>6</v>
      </c>
      <c r="AA1023">
        <v>2</v>
      </c>
      <c r="AB1023" t="s">
        <v>54</v>
      </c>
      <c r="AC1023">
        <v>3</v>
      </c>
      <c r="AD1023" t="str" cm="1">
        <f t="array" ref="AD1023">_xlfn.IFS(AC1023&lt;=5,"0-5",AC1023&lt;=10,"5-10",AC1023&lt;=40,"10-40")</f>
        <v>0-5</v>
      </c>
      <c r="AE1023">
        <v>2</v>
      </c>
      <c r="AF1023">
        <v>2</v>
      </c>
      <c r="AG1023">
        <v>2</v>
      </c>
      <c r="AH1023">
        <v>1022</v>
      </c>
    </row>
    <row r="1024" spans="1:34" x14ac:dyDescent="0.3">
      <c r="A1024">
        <v>37</v>
      </c>
      <c r="B1024" t="str" cm="1">
        <f t="array" ref="B1024">_xlfn.IFS(A1024&lt;=25,"18-25",A1024&lt;=35,"26-35",A1024&lt;=45,"36-45",A1024&lt;=55,"46-55",A1024&gt;55,"55+")</f>
        <v>36-45</v>
      </c>
      <c r="C1024">
        <v>0</v>
      </c>
      <c r="D1024" t="s">
        <v>66</v>
      </c>
      <c r="E1024">
        <v>1413</v>
      </c>
      <c r="F1024" t="s">
        <v>48</v>
      </c>
      <c r="G1024">
        <v>5</v>
      </c>
      <c r="H1024" t="s">
        <v>34</v>
      </c>
      <c r="I1024" t="s">
        <v>74</v>
      </c>
      <c r="J1024" t="s">
        <v>38</v>
      </c>
      <c r="K1024" t="s">
        <v>50</v>
      </c>
      <c r="L1024">
        <v>84</v>
      </c>
      <c r="M1024" t="s">
        <v>41</v>
      </c>
      <c r="N1024" t="s">
        <v>56</v>
      </c>
      <c r="O1024" t="s">
        <v>57</v>
      </c>
      <c r="P1024" t="s">
        <v>38</v>
      </c>
      <c r="Q1024" t="s">
        <v>42</v>
      </c>
      <c r="R1024">
        <v>3500</v>
      </c>
      <c r="S1024">
        <v>25470</v>
      </c>
      <c r="T1024">
        <v>0</v>
      </c>
      <c r="U1024" t="s">
        <v>46</v>
      </c>
      <c r="V1024">
        <v>14</v>
      </c>
      <c r="W1024" t="s">
        <v>43</v>
      </c>
      <c r="X1024" t="s">
        <v>44</v>
      </c>
      <c r="Y1024">
        <v>0</v>
      </c>
      <c r="Z1024">
        <v>7</v>
      </c>
      <c r="AA1024">
        <v>2</v>
      </c>
      <c r="AB1024" t="s">
        <v>45</v>
      </c>
      <c r="AC1024">
        <v>6</v>
      </c>
      <c r="AD1024" t="str" cm="1">
        <f t="array" ref="AD1024">_xlfn.IFS(AC1024&lt;=5,"0-5",AC1024&lt;=10,"5-10",AC1024&lt;=40,"10-40")</f>
        <v>5-10</v>
      </c>
      <c r="AE1024">
        <v>5</v>
      </c>
      <c r="AF1024">
        <v>1</v>
      </c>
      <c r="AG1024">
        <v>3</v>
      </c>
      <c r="AH1024">
        <v>1023</v>
      </c>
    </row>
    <row r="1025" spans="1:34" x14ac:dyDescent="0.3">
      <c r="A1025">
        <v>56</v>
      </c>
      <c r="B1025" t="str" cm="1">
        <f t="array" ref="B1025">_xlfn.IFS(A1025&lt;=25,"18-25",A1025&lt;=35,"26-35",A1025&lt;=45,"36-45",A1025&lt;=55,"46-55",A1025&gt;55,"55+")</f>
        <v>55+</v>
      </c>
      <c r="C1025">
        <v>0</v>
      </c>
      <c r="D1025" t="s">
        <v>32</v>
      </c>
      <c r="E1025">
        <v>1255</v>
      </c>
      <c r="F1025" t="s">
        <v>48</v>
      </c>
      <c r="G1025">
        <v>1</v>
      </c>
      <c r="H1025" t="s">
        <v>34</v>
      </c>
      <c r="I1025" t="s">
        <v>35</v>
      </c>
      <c r="J1025" t="s">
        <v>44</v>
      </c>
      <c r="K1025" t="s">
        <v>37</v>
      </c>
      <c r="L1025">
        <v>90</v>
      </c>
      <c r="M1025" t="s">
        <v>38</v>
      </c>
      <c r="N1025" t="s">
        <v>56</v>
      </c>
      <c r="O1025" t="s">
        <v>51</v>
      </c>
      <c r="P1025" t="s">
        <v>44</v>
      </c>
      <c r="Q1025" t="s">
        <v>52</v>
      </c>
      <c r="R1025">
        <v>2066</v>
      </c>
      <c r="S1025">
        <v>10494</v>
      </c>
      <c r="T1025">
        <v>2</v>
      </c>
      <c r="U1025" t="s">
        <v>46</v>
      </c>
      <c r="V1025">
        <v>22</v>
      </c>
      <c r="W1025" t="s">
        <v>53</v>
      </c>
      <c r="X1025" t="s">
        <v>41</v>
      </c>
      <c r="Y1025">
        <v>1</v>
      </c>
      <c r="Z1025">
        <v>5</v>
      </c>
      <c r="AA1025">
        <v>3</v>
      </c>
      <c r="AB1025" t="s">
        <v>73</v>
      </c>
      <c r="AC1025">
        <v>3</v>
      </c>
      <c r="AD1025" t="str" cm="1">
        <f t="array" ref="AD1025">_xlfn.IFS(AC1025&lt;=5,"0-5",AC1025&lt;=10,"5-10",AC1025&lt;=40,"10-40")</f>
        <v>0-5</v>
      </c>
      <c r="AE1025">
        <v>2</v>
      </c>
      <c r="AF1025">
        <v>1</v>
      </c>
      <c r="AG1025">
        <v>0</v>
      </c>
      <c r="AH1025">
        <v>1024</v>
      </c>
    </row>
    <row r="1026" spans="1:34" x14ac:dyDescent="0.3">
      <c r="A1026">
        <v>47</v>
      </c>
      <c r="B1026" t="str" cm="1">
        <f t="array" ref="B1026">_xlfn.IFS(A1026&lt;=25,"18-25",A1026&lt;=35,"26-35",A1026&lt;=45,"36-45",A1026&lt;=55,"46-55",A1026&gt;55,"55+")</f>
        <v>46-55</v>
      </c>
      <c r="C1026">
        <v>0</v>
      </c>
      <c r="D1026" t="s">
        <v>32</v>
      </c>
      <c r="E1026">
        <v>359</v>
      </c>
      <c r="F1026" t="s">
        <v>48</v>
      </c>
      <c r="G1026">
        <v>2</v>
      </c>
      <c r="H1026" t="s">
        <v>58</v>
      </c>
      <c r="I1026" t="s">
        <v>59</v>
      </c>
      <c r="J1026" t="s">
        <v>44</v>
      </c>
      <c r="K1026" t="s">
        <v>37</v>
      </c>
      <c r="L1026">
        <v>82</v>
      </c>
      <c r="M1026" t="s">
        <v>38</v>
      </c>
      <c r="N1026" t="s">
        <v>67</v>
      </c>
      <c r="O1026" t="s">
        <v>70</v>
      </c>
      <c r="P1026" t="s">
        <v>38</v>
      </c>
      <c r="Q1026" t="s">
        <v>52</v>
      </c>
      <c r="R1026">
        <v>17169</v>
      </c>
      <c r="S1026">
        <v>26703</v>
      </c>
      <c r="T1026">
        <v>3</v>
      </c>
      <c r="U1026" t="s">
        <v>46</v>
      </c>
      <c r="V1026">
        <v>19</v>
      </c>
      <c r="W1026" t="s">
        <v>43</v>
      </c>
      <c r="X1026" t="s">
        <v>36</v>
      </c>
      <c r="Y1026">
        <v>2</v>
      </c>
      <c r="Z1026">
        <v>26</v>
      </c>
      <c r="AA1026">
        <v>2</v>
      </c>
      <c r="AB1026" t="s">
        <v>73</v>
      </c>
      <c r="AC1026">
        <v>20</v>
      </c>
      <c r="AD1026" t="str" cm="1">
        <f t="array" ref="AD1026">_xlfn.IFS(AC1026&lt;=5,"0-5",AC1026&lt;=10,"5-10",AC1026&lt;=40,"10-40")</f>
        <v>10-40</v>
      </c>
      <c r="AE1026">
        <v>17</v>
      </c>
      <c r="AF1026">
        <v>5</v>
      </c>
      <c r="AG1026">
        <v>6</v>
      </c>
      <c r="AH1026">
        <v>1025</v>
      </c>
    </row>
    <row r="1027" spans="1:34" x14ac:dyDescent="0.3">
      <c r="A1027">
        <v>24</v>
      </c>
      <c r="B1027" t="str" cm="1">
        <f t="array" ref="B1027">_xlfn.IFS(A1027&lt;=25,"18-25",A1027&lt;=35,"26-35",A1027&lt;=45,"36-45",A1027&lt;=55,"46-55",A1027&gt;55,"55+")</f>
        <v>18-25</v>
      </c>
      <c r="C1027">
        <v>0</v>
      </c>
      <c r="D1027" t="s">
        <v>32</v>
      </c>
      <c r="E1027">
        <v>1476</v>
      </c>
      <c r="F1027" t="s">
        <v>33</v>
      </c>
      <c r="G1027">
        <v>4</v>
      </c>
      <c r="H1027" t="s">
        <v>49</v>
      </c>
      <c r="I1027" t="s">
        <v>59</v>
      </c>
      <c r="J1027" t="s">
        <v>41</v>
      </c>
      <c r="K1027" t="s">
        <v>37</v>
      </c>
      <c r="L1027">
        <v>42</v>
      </c>
      <c r="M1027" t="s">
        <v>38</v>
      </c>
      <c r="N1027" t="s">
        <v>39</v>
      </c>
      <c r="O1027" t="s">
        <v>40</v>
      </c>
      <c r="P1027" t="s">
        <v>38</v>
      </c>
      <c r="Q1027" t="s">
        <v>52</v>
      </c>
      <c r="R1027">
        <v>4162</v>
      </c>
      <c r="S1027">
        <v>15211</v>
      </c>
      <c r="T1027">
        <v>1</v>
      </c>
      <c r="U1027" t="s">
        <v>31</v>
      </c>
      <c r="V1027">
        <v>12</v>
      </c>
      <c r="W1027" t="s">
        <v>43</v>
      </c>
      <c r="X1027" t="s">
        <v>38</v>
      </c>
      <c r="Y1027">
        <v>2</v>
      </c>
      <c r="Z1027">
        <v>5</v>
      </c>
      <c r="AA1027">
        <v>3</v>
      </c>
      <c r="AB1027" t="s">
        <v>54</v>
      </c>
      <c r="AC1027">
        <v>5</v>
      </c>
      <c r="AD1027" t="str" cm="1">
        <f t="array" ref="AD1027">_xlfn.IFS(AC1027&lt;=5,"0-5",AC1027&lt;=10,"5-10",AC1027&lt;=40,"10-40")</f>
        <v>0-5</v>
      </c>
      <c r="AE1027">
        <v>4</v>
      </c>
      <c r="AF1027">
        <v>0</v>
      </c>
      <c r="AG1027">
        <v>3</v>
      </c>
      <c r="AH1027">
        <v>1026</v>
      </c>
    </row>
    <row r="1028" spans="1:34" x14ac:dyDescent="0.3">
      <c r="A1028">
        <v>32</v>
      </c>
      <c r="B1028" t="str" cm="1">
        <f t="array" ref="B1028">_xlfn.IFS(A1028&lt;=25,"18-25",A1028&lt;=35,"26-35",A1028&lt;=45,"36-45",A1028&lt;=55,"46-55",A1028&gt;55,"55+")</f>
        <v>26-35</v>
      </c>
      <c r="C1028">
        <v>0</v>
      </c>
      <c r="D1028" t="s">
        <v>32</v>
      </c>
      <c r="E1028">
        <v>601</v>
      </c>
      <c r="F1028" t="s">
        <v>33</v>
      </c>
      <c r="G1028">
        <v>7</v>
      </c>
      <c r="H1028" t="s">
        <v>75</v>
      </c>
      <c r="I1028" t="s">
        <v>72</v>
      </c>
      <c r="J1028" t="s">
        <v>41</v>
      </c>
      <c r="K1028" t="s">
        <v>50</v>
      </c>
      <c r="L1028">
        <v>97</v>
      </c>
      <c r="M1028" t="s">
        <v>38</v>
      </c>
      <c r="N1028" t="s">
        <v>39</v>
      </c>
      <c r="O1028" t="s">
        <v>40</v>
      </c>
      <c r="P1028" t="s">
        <v>41</v>
      </c>
      <c r="Q1028" t="s">
        <v>52</v>
      </c>
      <c r="R1028">
        <v>9204</v>
      </c>
      <c r="S1028">
        <v>23343</v>
      </c>
      <c r="T1028">
        <v>4</v>
      </c>
      <c r="U1028" t="s">
        <v>46</v>
      </c>
      <c r="V1028">
        <v>12</v>
      </c>
      <c r="W1028" t="s">
        <v>43</v>
      </c>
      <c r="X1028" t="s">
        <v>38</v>
      </c>
      <c r="Y1028">
        <v>1</v>
      </c>
      <c r="Z1028">
        <v>7</v>
      </c>
      <c r="AA1028">
        <v>3</v>
      </c>
      <c r="AB1028" t="s">
        <v>60</v>
      </c>
      <c r="AC1028">
        <v>4</v>
      </c>
      <c r="AD1028" t="str" cm="1">
        <f t="array" ref="AD1028">_xlfn.IFS(AC1028&lt;=5,"0-5",AC1028&lt;=10,"5-10",AC1028&lt;=40,"10-40")</f>
        <v>0-5</v>
      </c>
      <c r="AE1028">
        <v>3</v>
      </c>
      <c r="AF1028">
        <v>0</v>
      </c>
      <c r="AG1028">
        <v>3</v>
      </c>
      <c r="AH1028">
        <v>1027</v>
      </c>
    </row>
    <row r="1029" spans="1:34" x14ac:dyDescent="0.3">
      <c r="A1029">
        <v>34</v>
      </c>
      <c r="B1029" t="str" cm="1">
        <f t="array" ref="B1029">_xlfn.IFS(A1029&lt;=25,"18-25",A1029&lt;=35,"26-35",A1029&lt;=45,"36-45",A1029&lt;=55,"46-55",A1029&gt;55,"55+")</f>
        <v>26-35</v>
      </c>
      <c r="C1029">
        <v>0</v>
      </c>
      <c r="D1029" t="s">
        <v>32</v>
      </c>
      <c r="E1029">
        <v>401</v>
      </c>
      <c r="F1029" t="s">
        <v>48</v>
      </c>
      <c r="G1029">
        <v>1</v>
      </c>
      <c r="H1029" t="s">
        <v>61</v>
      </c>
      <c r="I1029" t="s">
        <v>35</v>
      </c>
      <c r="J1029" t="s">
        <v>41</v>
      </c>
      <c r="K1029" t="s">
        <v>37</v>
      </c>
      <c r="L1029">
        <v>86</v>
      </c>
      <c r="M1029" t="s">
        <v>36</v>
      </c>
      <c r="N1029" t="s">
        <v>56</v>
      </c>
      <c r="O1029" t="s">
        <v>57</v>
      </c>
      <c r="P1029" t="s">
        <v>36</v>
      </c>
      <c r="Q1029" t="s">
        <v>52</v>
      </c>
      <c r="R1029">
        <v>3294</v>
      </c>
      <c r="S1029">
        <v>3708</v>
      </c>
      <c r="T1029">
        <v>5</v>
      </c>
      <c r="U1029" t="s">
        <v>46</v>
      </c>
      <c r="V1029">
        <v>17</v>
      </c>
      <c r="W1029" t="s">
        <v>43</v>
      </c>
      <c r="X1029" t="s">
        <v>44</v>
      </c>
      <c r="Y1029">
        <v>1</v>
      </c>
      <c r="Z1029">
        <v>7</v>
      </c>
      <c r="AA1029">
        <v>2</v>
      </c>
      <c r="AB1029" t="s">
        <v>60</v>
      </c>
      <c r="AC1029">
        <v>5</v>
      </c>
      <c r="AD1029" t="str" cm="1">
        <f t="array" ref="AD1029">_xlfn.IFS(AC1029&lt;=5,"0-5",AC1029&lt;=10,"5-10",AC1029&lt;=40,"10-40")</f>
        <v>0-5</v>
      </c>
      <c r="AE1029">
        <v>4</v>
      </c>
      <c r="AF1029">
        <v>0</v>
      </c>
      <c r="AG1029">
        <v>2</v>
      </c>
      <c r="AH1029">
        <v>1028</v>
      </c>
    </row>
    <row r="1030" spans="1:34" x14ac:dyDescent="0.3">
      <c r="A1030">
        <v>41</v>
      </c>
      <c r="B1030" t="str" cm="1">
        <f t="array" ref="B1030">_xlfn.IFS(A1030&lt;=25,"18-25",A1030&lt;=35,"26-35",A1030&lt;=45,"36-45",A1030&lt;=55,"46-55",A1030&gt;55,"55+")</f>
        <v>36-45</v>
      </c>
      <c r="C1030">
        <v>0</v>
      </c>
      <c r="D1030" t="s">
        <v>32</v>
      </c>
      <c r="E1030">
        <v>1283</v>
      </c>
      <c r="F1030" t="s">
        <v>48</v>
      </c>
      <c r="G1030">
        <v>5</v>
      </c>
      <c r="H1030" t="s">
        <v>75</v>
      </c>
      <c r="I1030" t="s">
        <v>59</v>
      </c>
      <c r="J1030" t="s">
        <v>36</v>
      </c>
      <c r="K1030" t="s">
        <v>50</v>
      </c>
      <c r="L1030">
        <v>90</v>
      </c>
      <c r="M1030" t="s">
        <v>41</v>
      </c>
      <c r="N1030" t="s">
        <v>56</v>
      </c>
      <c r="O1030" t="s">
        <v>51</v>
      </c>
      <c r="P1030" t="s">
        <v>38</v>
      </c>
      <c r="Q1030" t="s">
        <v>52</v>
      </c>
      <c r="R1030">
        <v>2127</v>
      </c>
      <c r="S1030">
        <v>5561</v>
      </c>
      <c r="T1030">
        <v>2</v>
      </c>
      <c r="U1030" t="s">
        <v>31</v>
      </c>
      <c r="V1030">
        <v>12</v>
      </c>
      <c r="W1030" t="s">
        <v>43</v>
      </c>
      <c r="X1030" t="s">
        <v>44</v>
      </c>
      <c r="Y1030">
        <v>0</v>
      </c>
      <c r="Z1030">
        <v>7</v>
      </c>
      <c r="AA1030">
        <v>5</v>
      </c>
      <c r="AB1030" t="s">
        <v>60</v>
      </c>
      <c r="AC1030">
        <v>4</v>
      </c>
      <c r="AD1030" t="str" cm="1">
        <f t="array" ref="AD1030">_xlfn.IFS(AC1030&lt;=5,"0-5",AC1030&lt;=10,"5-10",AC1030&lt;=40,"10-40")</f>
        <v>0-5</v>
      </c>
      <c r="AE1030">
        <v>2</v>
      </c>
      <c r="AF1030">
        <v>0</v>
      </c>
      <c r="AG1030">
        <v>3</v>
      </c>
      <c r="AH1030">
        <v>1029</v>
      </c>
    </row>
    <row r="1031" spans="1:34" x14ac:dyDescent="0.3">
      <c r="A1031">
        <v>40</v>
      </c>
      <c r="B1031" t="str" cm="1">
        <f t="array" ref="B1031">_xlfn.IFS(A1031&lt;=25,"18-25",A1031&lt;=35,"26-35",A1031&lt;=45,"36-45",A1031&lt;=55,"46-55",A1031&gt;55,"55+")</f>
        <v>36-45</v>
      </c>
      <c r="C1031">
        <v>0</v>
      </c>
      <c r="D1031" t="s">
        <v>66</v>
      </c>
      <c r="E1031">
        <v>663</v>
      </c>
      <c r="F1031" t="s">
        <v>48</v>
      </c>
      <c r="G1031">
        <v>9</v>
      </c>
      <c r="H1031" t="s">
        <v>58</v>
      </c>
      <c r="I1031" t="s">
        <v>55</v>
      </c>
      <c r="J1031" t="s">
        <v>38</v>
      </c>
      <c r="K1031" t="s">
        <v>50</v>
      </c>
      <c r="L1031">
        <v>81</v>
      </c>
      <c r="M1031" t="s">
        <v>38</v>
      </c>
      <c r="N1031" t="s">
        <v>39</v>
      </c>
      <c r="O1031" t="s">
        <v>57</v>
      </c>
      <c r="P1031" t="s">
        <v>38</v>
      </c>
      <c r="Q1031" t="s">
        <v>62</v>
      </c>
      <c r="R1031">
        <v>3975</v>
      </c>
      <c r="S1031">
        <v>23099</v>
      </c>
      <c r="T1031">
        <v>3</v>
      </c>
      <c r="U1031" t="s">
        <v>46</v>
      </c>
      <c r="V1031">
        <v>11</v>
      </c>
      <c r="W1031" t="s">
        <v>43</v>
      </c>
      <c r="X1031" t="s">
        <v>38</v>
      </c>
      <c r="Y1031">
        <v>2</v>
      </c>
      <c r="Z1031">
        <v>11</v>
      </c>
      <c r="AA1031">
        <v>2</v>
      </c>
      <c r="AB1031" t="s">
        <v>73</v>
      </c>
      <c r="AC1031">
        <v>8</v>
      </c>
      <c r="AD1031" t="str" cm="1">
        <f t="array" ref="AD1031">_xlfn.IFS(AC1031&lt;=5,"0-5",AC1031&lt;=10,"5-10",AC1031&lt;=40,"10-40")</f>
        <v>5-10</v>
      </c>
      <c r="AE1031">
        <v>7</v>
      </c>
      <c r="AF1031">
        <v>0</v>
      </c>
      <c r="AG1031">
        <v>7</v>
      </c>
      <c r="AH1031">
        <v>1030</v>
      </c>
    </row>
    <row r="1032" spans="1:34" x14ac:dyDescent="0.3">
      <c r="A1032">
        <v>31</v>
      </c>
      <c r="B1032" t="str" cm="1">
        <f t="array" ref="B1032">_xlfn.IFS(A1032&lt;=25,"18-25",A1032&lt;=35,"26-35",A1032&lt;=45,"36-45",A1032&lt;=55,"46-55",A1032&gt;55,"55+")</f>
        <v>26-35</v>
      </c>
      <c r="C1032">
        <v>0</v>
      </c>
      <c r="D1032" t="s">
        <v>32</v>
      </c>
      <c r="E1032">
        <v>326</v>
      </c>
      <c r="F1032" t="s">
        <v>33</v>
      </c>
      <c r="G1032">
        <v>8</v>
      </c>
      <c r="H1032" t="s">
        <v>34</v>
      </c>
      <c r="I1032" t="s">
        <v>35</v>
      </c>
      <c r="J1032" t="s">
        <v>44</v>
      </c>
      <c r="K1032" t="s">
        <v>50</v>
      </c>
      <c r="L1032">
        <v>31</v>
      </c>
      <c r="M1032" t="s">
        <v>38</v>
      </c>
      <c r="N1032" t="s">
        <v>63</v>
      </c>
      <c r="O1032" t="s">
        <v>40</v>
      </c>
      <c r="P1032" t="s">
        <v>41</v>
      </c>
      <c r="Q1032" t="s">
        <v>62</v>
      </c>
      <c r="R1032">
        <v>10793</v>
      </c>
      <c r="S1032">
        <v>8386</v>
      </c>
      <c r="T1032">
        <v>1</v>
      </c>
      <c r="U1032" t="s">
        <v>46</v>
      </c>
      <c r="V1032">
        <v>18</v>
      </c>
      <c r="W1032" t="s">
        <v>43</v>
      </c>
      <c r="X1032" t="s">
        <v>44</v>
      </c>
      <c r="Y1032">
        <v>1</v>
      </c>
      <c r="Z1032">
        <v>13</v>
      </c>
      <c r="AA1032">
        <v>5</v>
      </c>
      <c r="AB1032" t="s">
        <v>54</v>
      </c>
      <c r="AC1032">
        <v>13</v>
      </c>
      <c r="AD1032" t="str" cm="1">
        <f t="array" ref="AD1032">_xlfn.IFS(AC1032&lt;=5,"0-5",AC1032&lt;=10,"5-10",AC1032&lt;=40,"10-40")</f>
        <v>10-40</v>
      </c>
      <c r="AE1032">
        <v>7</v>
      </c>
      <c r="AF1032">
        <v>9</v>
      </c>
      <c r="AG1032">
        <v>9</v>
      </c>
      <c r="AH1032">
        <v>1031</v>
      </c>
    </row>
    <row r="1033" spans="1:34" x14ac:dyDescent="0.3">
      <c r="A1033">
        <v>46</v>
      </c>
      <c r="B1033" t="str" cm="1">
        <f t="array" ref="B1033">_xlfn.IFS(A1033&lt;=25,"18-25",A1033&lt;=35,"26-35",A1033&lt;=45,"36-45",A1033&lt;=55,"46-55",A1033&gt;55,"55+")</f>
        <v>46-55</v>
      </c>
      <c r="C1033">
        <v>1</v>
      </c>
      <c r="D1033" t="s">
        <v>32</v>
      </c>
      <c r="E1033">
        <v>377</v>
      </c>
      <c r="F1033" t="s">
        <v>33</v>
      </c>
      <c r="G1033">
        <v>9</v>
      </c>
      <c r="H1033" t="s">
        <v>61</v>
      </c>
      <c r="I1033" t="s">
        <v>72</v>
      </c>
      <c r="J1033" t="s">
        <v>44</v>
      </c>
      <c r="K1033" t="s">
        <v>50</v>
      </c>
      <c r="L1033">
        <v>52</v>
      </c>
      <c r="M1033" t="s">
        <v>38</v>
      </c>
      <c r="N1033" t="s">
        <v>63</v>
      </c>
      <c r="O1033" t="s">
        <v>40</v>
      </c>
      <c r="P1033" t="s">
        <v>41</v>
      </c>
      <c r="Q1033" t="s">
        <v>62</v>
      </c>
      <c r="R1033">
        <v>10096</v>
      </c>
      <c r="S1033">
        <v>15986</v>
      </c>
      <c r="T1033">
        <v>4</v>
      </c>
      <c r="U1033" t="s">
        <v>46</v>
      </c>
      <c r="V1033">
        <v>11</v>
      </c>
      <c r="W1033" t="s">
        <v>43</v>
      </c>
      <c r="X1033" t="s">
        <v>44</v>
      </c>
      <c r="Y1033">
        <v>1</v>
      </c>
      <c r="Z1033">
        <v>28</v>
      </c>
      <c r="AA1033">
        <v>1</v>
      </c>
      <c r="AB1033" t="s">
        <v>73</v>
      </c>
      <c r="AC1033">
        <v>7</v>
      </c>
      <c r="AD1033" t="str" cm="1">
        <f t="array" ref="AD1033">_xlfn.IFS(AC1033&lt;=5,"0-5",AC1033&lt;=10,"5-10",AC1033&lt;=40,"10-40")</f>
        <v>5-10</v>
      </c>
      <c r="AE1033">
        <v>7</v>
      </c>
      <c r="AF1033">
        <v>4</v>
      </c>
      <c r="AG1033">
        <v>3</v>
      </c>
      <c r="AH1033">
        <v>1032</v>
      </c>
    </row>
    <row r="1034" spans="1:34" x14ac:dyDescent="0.3">
      <c r="A1034">
        <v>39</v>
      </c>
      <c r="B1034" t="str" cm="1">
        <f t="array" ref="B1034">_xlfn.IFS(A1034&lt;=25,"18-25",A1034&lt;=35,"26-35",A1034&lt;=45,"36-45",A1034&lt;=55,"46-55",A1034&gt;55,"55+")</f>
        <v>36-45</v>
      </c>
      <c r="C1034">
        <v>1</v>
      </c>
      <c r="D1034" t="s">
        <v>66</v>
      </c>
      <c r="E1034">
        <v>592</v>
      </c>
      <c r="F1034" t="s">
        <v>48</v>
      </c>
      <c r="G1034">
        <v>2</v>
      </c>
      <c r="H1034" t="s">
        <v>61</v>
      </c>
      <c r="I1034" t="s">
        <v>35</v>
      </c>
      <c r="J1034" t="s">
        <v>44</v>
      </c>
      <c r="K1034" t="s">
        <v>37</v>
      </c>
      <c r="L1034">
        <v>54</v>
      </c>
      <c r="M1034" t="s">
        <v>36</v>
      </c>
      <c r="N1034" t="s">
        <v>56</v>
      </c>
      <c r="O1034" t="s">
        <v>57</v>
      </c>
      <c r="P1034" t="s">
        <v>44</v>
      </c>
      <c r="Q1034" t="s">
        <v>42</v>
      </c>
      <c r="R1034">
        <v>3646</v>
      </c>
      <c r="S1034">
        <v>17181</v>
      </c>
      <c r="T1034">
        <v>2</v>
      </c>
      <c r="U1034" t="s">
        <v>31</v>
      </c>
      <c r="V1034">
        <v>23</v>
      </c>
      <c r="W1034" t="s">
        <v>53</v>
      </c>
      <c r="X1034" t="s">
        <v>36</v>
      </c>
      <c r="Y1034">
        <v>0</v>
      </c>
      <c r="Z1034">
        <v>11</v>
      </c>
      <c r="AA1034">
        <v>2</v>
      </c>
      <c r="AB1034" t="s">
        <v>73</v>
      </c>
      <c r="AC1034">
        <v>1</v>
      </c>
      <c r="AD1034" t="str" cm="1">
        <f t="array" ref="AD1034">_xlfn.IFS(AC1034&lt;=5,"0-5",AC1034&lt;=10,"5-10",AC1034&lt;=40,"10-40")</f>
        <v>0-5</v>
      </c>
      <c r="AE1034">
        <v>0</v>
      </c>
      <c r="AF1034">
        <v>0</v>
      </c>
      <c r="AG1034">
        <v>0</v>
      </c>
      <c r="AH1034">
        <v>1033</v>
      </c>
    </row>
    <row r="1035" spans="1:34" x14ac:dyDescent="0.3">
      <c r="A1035">
        <v>31</v>
      </c>
      <c r="B1035" t="str" cm="1">
        <f t="array" ref="B1035">_xlfn.IFS(A1035&lt;=25,"18-25",A1035&lt;=35,"26-35",A1035&lt;=45,"36-45",A1035&lt;=55,"46-55",A1035&gt;55,"55+")</f>
        <v>26-35</v>
      </c>
      <c r="C1035">
        <v>1</v>
      </c>
      <c r="D1035" t="s">
        <v>47</v>
      </c>
      <c r="E1035">
        <v>1445</v>
      </c>
      <c r="F1035" t="s">
        <v>48</v>
      </c>
      <c r="G1035">
        <v>1</v>
      </c>
      <c r="H1035" t="s">
        <v>75</v>
      </c>
      <c r="I1035" t="s">
        <v>35</v>
      </c>
      <c r="J1035" t="s">
        <v>38</v>
      </c>
      <c r="K1035" t="s">
        <v>37</v>
      </c>
      <c r="L1035">
        <v>100</v>
      </c>
      <c r="M1035" t="s">
        <v>41</v>
      </c>
      <c r="N1035" t="s">
        <v>63</v>
      </c>
      <c r="O1035" t="s">
        <v>64</v>
      </c>
      <c r="P1035" t="s">
        <v>36</v>
      </c>
      <c r="Q1035" t="s">
        <v>42</v>
      </c>
      <c r="R1035">
        <v>7446</v>
      </c>
      <c r="S1035">
        <v>8931</v>
      </c>
      <c r="T1035">
        <v>1</v>
      </c>
      <c r="U1035" t="s">
        <v>46</v>
      </c>
      <c r="V1035">
        <v>11</v>
      </c>
      <c r="W1035" t="s">
        <v>43</v>
      </c>
      <c r="X1035" t="s">
        <v>44</v>
      </c>
      <c r="Y1035">
        <v>0</v>
      </c>
      <c r="Z1035">
        <v>10</v>
      </c>
      <c r="AA1035">
        <v>2</v>
      </c>
      <c r="AB1035" t="s">
        <v>54</v>
      </c>
      <c r="AC1035">
        <v>10</v>
      </c>
      <c r="AD1035" t="str" cm="1">
        <f t="array" ref="AD1035">_xlfn.IFS(AC1035&lt;=5,"0-5",AC1035&lt;=10,"5-10",AC1035&lt;=40,"10-40")</f>
        <v>5-10</v>
      </c>
      <c r="AE1035">
        <v>8</v>
      </c>
      <c r="AF1035">
        <v>4</v>
      </c>
      <c r="AG1035">
        <v>7</v>
      </c>
      <c r="AH1035">
        <v>1034</v>
      </c>
    </row>
    <row r="1036" spans="1:34" x14ac:dyDescent="0.3">
      <c r="A1036">
        <v>45</v>
      </c>
      <c r="B1036" t="str" cm="1">
        <f t="array" ref="B1036">_xlfn.IFS(A1036&lt;=25,"18-25",A1036&lt;=35,"26-35",A1036&lt;=45,"36-45",A1036&lt;=55,"46-55",A1036&gt;55,"55+")</f>
        <v>36-45</v>
      </c>
      <c r="C1036">
        <v>0</v>
      </c>
      <c r="D1036" t="s">
        <v>32</v>
      </c>
      <c r="E1036">
        <v>1038</v>
      </c>
      <c r="F1036" t="s">
        <v>48</v>
      </c>
      <c r="G1036">
        <v>20</v>
      </c>
      <c r="H1036" t="s">
        <v>61</v>
      </c>
      <c r="I1036" t="s">
        <v>59</v>
      </c>
      <c r="J1036" t="s">
        <v>36</v>
      </c>
      <c r="K1036" t="s">
        <v>50</v>
      </c>
      <c r="L1036">
        <v>95</v>
      </c>
      <c r="M1036" t="s">
        <v>44</v>
      </c>
      <c r="N1036" t="s">
        <v>63</v>
      </c>
      <c r="O1036" t="s">
        <v>65</v>
      </c>
      <c r="P1036" t="s">
        <v>44</v>
      </c>
      <c r="Q1036" t="s">
        <v>62</v>
      </c>
      <c r="R1036">
        <v>10851</v>
      </c>
      <c r="S1036">
        <v>19863</v>
      </c>
      <c r="T1036">
        <v>2</v>
      </c>
      <c r="U1036" t="s">
        <v>31</v>
      </c>
      <c r="V1036">
        <v>18</v>
      </c>
      <c r="W1036" t="s">
        <v>43</v>
      </c>
      <c r="X1036" t="s">
        <v>36</v>
      </c>
      <c r="Y1036">
        <v>1</v>
      </c>
      <c r="Z1036">
        <v>24</v>
      </c>
      <c r="AA1036">
        <v>2</v>
      </c>
      <c r="AB1036" t="s">
        <v>54</v>
      </c>
      <c r="AC1036">
        <v>7</v>
      </c>
      <c r="AD1036" t="str" cm="1">
        <f t="array" ref="AD1036">_xlfn.IFS(AC1036&lt;=5,"0-5",AC1036&lt;=10,"5-10",AC1036&lt;=40,"10-40")</f>
        <v>5-10</v>
      </c>
      <c r="AE1036">
        <v>7</v>
      </c>
      <c r="AF1036">
        <v>0</v>
      </c>
      <c r="AG1036">
        <v>7</v>
      </c>
      <c r="AH1036">
        <v>1035</v>
      </c>
    </row>
    <row r="1037" spans="1:34" x14ac:dyDescent="0.3">
      <c r="A1037">
        <v>31</v>
      </c>
      <c r="B1037" t="str" cm="1">
        <f t="array" ref="B1037">_xlfn.IFS(A1037&lt;=25,"18-25",A1037&lt;=35,"26-35",A1037&lt;=45,"36-45",A1037&lt;=55,"46-55",A1037&gt;55,"55+")</f>
        <v>26-35</v>
      </c>
      <c r="C1037">
        <v>0</v>
      </c>
      <c r="D1037" t="s">
        <v>32</v>
      </c>
      <c r="E1037">
        <v>1398</v>
      </c>
      <c r="F1037" t="s">
        <v>76</v>
      </c>
      <c r="G1037">
        <v>8</v>
      </c>
      <c r="H1037" t="s">
        <v>34</v>
      </c>
      <c r="I1037" t="s">
        <v>59</v>
      </c>
      <c r="J1037" t="s">
        <v>41</v>
      </c>
      <c r="K1037" t="s">
        <v>37</v>
      </c>
      <c r="L1037">
        <v>96</v>
      </c>
      <c r="M1037" t="s">
        <v>41</v>
      </c>
      <c r="N1037" t="s">
        <v>56</v>
      </c>
      <c r="O1037" t="s">
        <v>76</v>
      </c>
      <c r="P1037" t="s">
        <v>36</v>
      </c>
      <c r="Q1037" t="s">
        <v>42</v>
      </c>
      <c r="R1037">
        <v>2109</v>
      </c>
      <c r="S1037">
        <v>24609</v>
      </c>
      <c r="T1037">
        <v>9</v>
      </c>
      <c r="U1037" t="s">
        <v>46</v>
      </c>
      <c r="V1037">
        <v>18</v>
      </c>
      <c r="W1037" t="s">
        <v>43</v>
      </c>
      <c r="X1037" t="s">
        <v>41</v>
      </c>
      <c r="Y1037">
        <v>0</v>
      </c>
      <c r="Z1037">
        <v>8</v>
      </c>
      <c r="AA1037">
        <v>3</v>
      </c>
      <c r="AB1037" t="s">
        <v>54</v>
      </c>
      <c r="AC1037">
        <v>3</v>
      </c>
      <c r="AD1037" t="str" cm="1">
        <f t="array" ref="AD1037">_xlfn.IFS(AC1037&lt;=5,"0-5",AC1037&lt;=10,"5-10",AC1037&lt;=40,"10-40")</f>
        <v>0-5</v>
      </c>
      <c r="AE1037">
        <v>2</v>
      </c>
      <c r="AF1037">
        <v>0</v>
      </c>
      <c r="AG1037">
        <v>2</v>
      </c>
      <c r="AH1037">
        <v>1036</v>
      </c>
    </row>
    <row r="1038" spans="1:34" x14ac:dyDescent="0.3">
      <c r="A1038">
        <v>31</v>
      </c>
      <c r="B1038" t="str" cm="1">
        <f t="array" ref="B1038">_xlfn.IFS(A1038&lt;=25,"18-25",A1038&lt;=35,"26-35",A1038&lt;=45,"36-45",A1038&lt;=55,"46-55",A1038&gt;55,"55+")</f>
        <v>26-35</v>
      </c>
      <c r="C1038">
        <v>1</v>
      </c>
      <c r="D1038" t="s">
        <v>47</v>
      </c>
      <c r="E1038">
        <v>523</v>
      </c>
      <c r="F1038" t="s">
        <v>48</v>
      </c>
      <c r="G1038">
        <v>2</v>
      </c>
      <c r="H1038" t="s">
        <v>61</v>
      </c>
      <c r="I1038" t="s">
        <v>35</v>
      </c>
      <c r="J1038" t="s">
        <v>36</v>
      </c>
      <c r="K1038" t="s">
        <v>50</v>
      </c>
      <c r="L1038">
        <v>94</v>
      </c>
      <c r="M1038" t="s">
        <v>38</v>
      </c>
      <c r="N1038" t="s">
        <v>56</v>
      </c>
      <c r="O1038" t="s">
        <v>57</v>
      </c>
      <c r="P1038" t="s">
        <v>41</v>
      </c>
      <c r="Q1038" t="s">
        <v>52</v>
      </c>
      <c r="R1038">
        <v>3722</v>
      </c>
      <c r="S1038">
        <v>21081</v>
      </c>
      <c r="T1038">
        <v>6</v>
      </c>
      <c r="U1038" t="s">
        <v>31</v>
      </c>
      <c r="V1038">
        <v>13</v>
      </c>
      <c r="W1038" t="s">
        <v>43</v>
      </c>
      <c r="X1038" t="s">
        <v>38</v>
      </c>
      <c r="Y1038">
        <v>1</v>
      </c>
      <c r="Z1038">
        <v>7</v>
      </c>
      <c r="AA1038">
        <v>2</v>
      </c>
      <c r="AB1038" t="s">
        <v>45</v>
      </c>
      <c r="AC1038">
        <v>2</v>
      </c>
      <c r="AD1038" t="str" cm="1">
        <f t="array" ref="AD1038">_xlfn.IFS(AC1038&lt;=5,"0-5",AC1038&lt;=10,"5-10",AC1038&lt;=40,"10-40")</f>
        <v>0-5</v>
      </c>
      <c r="AE1038">
        <v>2</v>
      </c>
      <c r="AF1038">
        <v>2</v>
      </c>
      <c r="AG1038">
        <v>2</v>
      </c>
      <c r="AH1038">
        <v>1037</v>
      </c>
    </row>
    <row r="1039" spans="1:34" x14ac:dyDescent="0.3">
      <c r="A1039">
        <v>45</v>
      </c>
      <c r="B1039" t="str" cm="1">
        <f t="array" ref="B1039">_xlfn.IFS(A1039&lt;=25,"18-25",A1039&lt;=35,"26-35",A1039&lt;=45,"36-45",A1039&lt;=55,"46-55",A1039&gt;55,"55+")</f>
        <v>36-45</v>
      </c>
      <c r="C1039">
        <v>0</v>
      </c>
      <c r="D1039" t="s">
        <v>32</v>
      </c>
      <c r="E1039">
        <v>1448</v>
      </c>
      <c r="F1039" t="s">
        <v>48</v>
      </c>
      <c r="G1039">
        <v>29</v>
      </c>
      <c r="H1039" t="s">
        <v>61</v>
      </c>
      <c r="I1039" t="s">
        <v>74</v>
      </c>
      <c r="J1039" t="s">
        <v>36</v>
      </c>
      <c r="K1039" t="s">
        <v>50</v>
      </c>
      <c r="L1039">
        <v>55</v>
      </c>
      <c r="M1039" t="s">
        <v>38</v>
      </c>
      <c r="N1039" t="s">
        <v>63</v>
      </c>
      <c r="O1039" t="s">
        <v>64</v>
      </c>
      <c r="P1039" t="s">
        <v>41</v>
      </c>
      <c r="Q1039" t="s">
        <v>52</v>
      </c>
      <c r="R1039">
        <v>9380</v>
      </c>
      <c r="S1039">
        <v>14720</v>
      </c>
      <c r="T1039">
        <v>4</v>
      </c>
      <c r="U1039" t="s">
        <v>31</v>
      </c>
      <c r="V1039">
        <v>18</v>
      </c>
      <c r="W1039" t="s">
        <v>43</v>
      </c>
      <c r="X1039" t="s">
        <v>41</v>
      </c>
      <c r="Y1039">
        <v>2</v>
      </c>
      <c r="Z1039">
        <v>10</v>
      </c>
      <c r="AA1039">
        <v>4</v>
      </c>
      <c r="AB1039" t="s">
        <v>73</v>
      </c>
      <c r="AC1039">
        <v>3</v>
      </c>
      <c r="AD1039" t="str" cm="1">
        <f t="array" ref="AD1039">_xlfn.IFS(AC1039&lt;=5,"0-5",AC1039&lt;=10,"5-10",AC1039&lt;=40,"10-40")</f>
        <v>0-5</v>
      </c>
      <c r="AE1039">
        <v>1</v>
      </c>
      <c r="AF1039">
        <v>1</v>
      </c>
      <c r="AG1039">
        <v>2</v>
      </c>
      <c r="AH1039">
        <v>1038</v>
      </c>
    </row>
    <row r="1040" spans="1:34" x14ac:dyDescent="0.3">
      <c r="A1040">
        <v>48</v>
      </c>
      <c r="B1040" t="str" cm="1">
        <f t="array" ref="B1040">_xlfn.IFS(A1040&lt;=25,"18-25",A1040&lt;=35,"26-35",A1040&lt;=45,"36-45",A1040&lt;=55,"46-55",A1040&gt;55,"55+")</f>
        <v>46-55</v>
      </c>
      <c r="C1040">
        <v>0</v>
      </c>
      <c r="D1040" t="s">
        <v>32</v>
      </c>
      <c r="E1040">
        <v>1221</v>
      </c>
      <c r="F1040" t="s">
        <v>33</v>
      </c>
      <c r="G1040">
        <v>7</v>
      </c>
      <c r="H1040" t="s">
        <v>61</v>
      </c>
      <c r="I1040" t="s">
        <v>72</v>
      </c>
      <c r="J1040" t="s">
        <v>38</v>
      </c>
      <c r="K1040" t="s">
        <v>50</v>
      </c>
      <c r="L1040">
        <v>96</v>
      </c>
      <c r="M1040" t="s">
        <v>38</v>
      </c>
      <c r="N1040" t="s">
        <v>39</v>
      </c>
      <c r="O1040" t="s">
        <v>40</v>
      </c>
      <c r="P1040" t="s">
        <v>44</v>
      </c>
      <c r="Q1040" t="s">
        <v>62</v>
      </c>
      <c r="R1040">
        <v>5486</v>
      </c>
      <c r="S1040">
        <v>24795</v>
      </c>
      <c r="T1040">
        <v>4</v>
      </c>
      <c r="U1040" t="s">
        <v>46</v>
      </c>
      <c r="V1040">
        <v>11</v>
      </c>
      <c r="W1040" t="s">
        <v>43</v>
      </c>
      <c r="X1040" t="s">
        <v>44</v>
      </c>
      <c r="Y1040">
        <v>3</v>
      </c>
      <c r="Z1040">
        <v>15</v>
      </c>
      <c r="AA1040">
        <v>3</v>
      </c>
      <c r="AB1040" t="s">
        <v>54</v>
      </c>
      <c r="AC1040">
        <v>2</v>
      </c>
      <c r="AD1040" t="str" cm="1">
        <f t="array" ref="AD1040">_xlfn.IFS(AC1040&lt;=5,"0-5",AC1040&lt;=10,"5-10",AC1040&lt;=40,"10-40")</f>
        <v>0-5</v>
      </c>
      <c r="AE1040">
        <v>2</v>
      </c>
      <c r="AF1040">
        <v>2</v>
      </c>
      <c r="AG1040">
        <v>2</v>
      </c>
      <c r="AH1040">
        <v>1039</v>
      </c>
    </row>
    <row r="1041" spans="1:34" x14ac:dyDescent="0.3">
      <c r="A1041">
        <v>34</v>
      </c>
      <c r="B1041" t="str" cm="1">
        <f t="array" ref="B1041">_xlfn.IFS(A1041&lt;=25,"18-25",A1041&lt;=35,"26-35",A1041&lt;=45,"36-45",A1041&lt;=55,"46-55",A1041&gt;55,"55+")</f>
        <v>26-35</v>
      </c>
      <c r="C1041">
        <v>1</v>
      </c>
      <c r="D1041" t="s">
        <v>32</v>
      </c>
      <c r="E1041">
        <v>1107</v>
      </c>
      <c r="F1041" t="s">
        <v>76</v>
      </c>
      <c r="G1041">
        <v>9</v>
      </c>
      <c r="H1041" t="s">
        <v>58</v>
      </c>
      <c r="I1041" t="s">
        <v>74</v>
      </c>
      <c r="J1041" t="s">
        <v>44</v>
      </c>
      <c r="K1041" t="s">
        <v>37</v>
      </c>
      <c r="L1041">
        <v>52</v>
      </c>
      <c r="M1041" t="s">
        <v>38</v>
      </c>
      <c r="N1041" t="s">
        <v>56</v>
      </c>
      <c r="O1041" t="s">
        <v>76</v>
      </c>
      <c r="P1041" t="s">
        <v>38</v>
      </c>
      <c r="Q1041" t="s">
        <v>52</v>
      </c>
      <c r="R1041">
        <v>2742</v>
      </c>
      <c r="S1041">
        <v>3072</v>
      </c>
      <c r="T1041">
        <v>1</v>
      </c>
      <c r="U1041" t="s">
        <v>46</v>
      </c>
      <c r="V1041">
        <v>15</v>
      </c>
      <c r="W1041" t="s">
        <v>43</v>
      </c>
      <c r="X1041" t="s">
        <v>41</v>
      </c>
      <c r="Y1041">
        <v>0</v>
      </c>
      <c r="Z1041">
        <v>2</v>
      </c>
      <c r="AA1041">
        <v>0</v>
      </c>
      <c r="AB1041" t="s">
        <v>54</v>
      </c>
      <c r="AC1041">
        <v>2</v>
      </c>
      <c r="AD1041" t="str" cm="1">
        <f t="array" ref="AD1041">_xlfn.IFS(AC1041&lt;=5,"0-5",AC1041&lt;=10,"5-10",AC1041&lt;=40,"10-40")</f>
        <v>0-5</v>
      </c>
      <c r="AE1041">
        <v>2</v>
      </c>
      <c r="AF1041">
        <v>2</v>
      </c>
      <c r="AG1041">
        <v>2</v>
      </c>
      <c r="AH1041">
        <v>1040</v>
      </c>
    </row>
    <row r="1042" spans="1:34" x14ac:dyDescent="0.3">
      <c r="A1042">
        <v>40</v>
      </c>
      <c r="B1042" t="str" cm="1">
        <f t="array" ref="B1042">_xlfn.IFS(A1042&lt;=25,"18-25",A1042&lt;=35,"26-35",A1042&lt;=45,"36-45",A1042&lt;=55,"46-55",A1042&gt;55,"55+")</f>
        <v>36-45</v>
      </c>
      <c r="C1042">
        <v>0</v>
      </c>
      <c r="D1042" t="s">
        <v>66</v>
      </c>
      <c r="E1042">
        <v>218</v>
      </c>
      <c r="F1042" t="s">
        <v>48</v>
      </c>
      <c r="G1042">
        <v>8</v>
      </c>
      <c r="H1042" t="s">
        <v>49</v>
      </c>
      <c r="I1042" t="s">
        <v>59</v>
      </c>
      <c r="J1042" t="s">
        <v>41</v>
      </c>
      <c r="K1042" t="s">
        <v>50</v>
      </c>
      <c r="L1042">
        <v>55</v>
      </c>
      <c r="M1042" t="s">
        <v>36</v>
      </c>
      <c r="N1042" t="s">
        <v>63</v>
      </c>
      <c r="O1042" t="s">
        <v>70</v>
      </c>
      <c r="P1042" t="s">
        <v>36</v>
      </c>
      <c r="Q1042" t="s">
        <v>62</v>
      </c>
      <c r="R1042">
        <v>13757</v>
      </c>
      <c r="S1042">
        <v>25178</v>
      </c>
      <c r="T1042">
        <v>2</v>
      </c>
      <c r="U1042" t="s">
        <v>46</v>
      </c>
      <c r="V1042">
        <v>11</v>
      </c>
      <c r="W1042" t="s">
        <v>43</v>
      </c>
      <c r="X1042" t="s">
        <v>38</v>
      </c>
      <c r="Y1042">
        <v>1</v>
      </c>
      <c r="Z1042">
        <v>16</v>
      </c>
      <c r="AA1042">
        <v>5</v>
      </c>
      <c r="AB1042" t="s">
        <v>54</v>
      </c>
      <c r="AC1042">
        <v>9</v>
      </c>
      <c r="AD1042" t="str" cm="1">
        <f t="array" ref="AD1042">_xlfn.IFS(AC1042&lt;=5,"0-5",AC1042&lt;=10,"5-10",AC1042&lt;=40,"10-40")</f>
        <v>5-10</v>
      </c>
      <c r="AE1042">
        <v>8</v>
      </c>
      <c r="AF1042">
        <v>4</v>
      </c>
      <c r="AG1042">
        <v>8</v>
      </c>
      <c r="AH1042">
        <v>1041</v>
      </c>
    </row>
    <row r="1043" spans="1:34" x14ac:dyDescent="0.3">
      <c r="A1043">
        <v>28</v>
      </c>
      <c r="B1043" t="str" cm="1">
        <f t="array" ref="B1043">_xlfn.IFS(A1043&lt;=25,"18-25",A1043&lt;=35,"26-35",A1043&lt;=45,"36-45",A1043&lt;=55,"46-55",A1043&gt;55,"55+")</f>
        <v>26-35</v>
      </c>
      <c r="C1043">
        <v>0</v>
      </c>
      <c r="D1043" t="s">
        <v>32</v>
      </c>
      <c r="E1043">
        <v>866</v>
      </c>
      <c r="F1043" t="s">
        <v>33</v>
      </c>
      <c r="G1043">
        <v>5</v>
      </c>
      <c r="H1043" t="s">
        <v>61</v>
      </c>
      <c r="I1043" t="s">
        <v>59</v>
      </c>
      <c r="J1043" t="s">
        <v>41</v>
      </c>
      <c r="K1043" t="s">
        <v>50</v>
      </c>
      <c r="L1043">
        <v>84</v>
      </c>
      <c r="M1043" t="s">
        <v>38</v>
      </c>
      <c r="N1043" t="s">
        <v>39</v>
      </c>
      <c r="O1043" t="s">
        <v>40</v>
      </c>
      <c r="P1043" t="s">
        <v>44</v>
      </c>
      <c r="Q1043" t="s">
        <v>42</v>
      </c>
      <c r="R1043">
        <v>8463</v>
      </c>
      <c r="S1043">
        <v>23490</v>
      </c>
      <c r="T1043">
        <v>0</v>
      </c>
      <c r="U1043" t="s">
        <v>46</v>
      </c>
      <c r="V1043">
        <v>18</v>
      </c>
      <c r="W1043" t="s">
        <v>43</v>
      </c>
      <c r="X1043" t="s">
        <v>41</v>
      </c>
      <c r="Y1043">
        <v>0</v>
      </c>
      <c r="Z1043">
        <v>6</v>
      </c>
      <c r="AA1043">
        <v>4</v>
      </c>
      <c r="AB1043" t="s">
        <v>54</v>
      </c>
      <c r="AC1043">
        <v>5</v>
      </c>
      <c r="AD1043" t="str" cm="1">
        <f t="array" ref="AD1043">_xlfn.IFS(AC1043&lt;=5,"0-5",AC1043&lt;=10,"5-10",AC1043&lt;=40,"10-40")</f>
        <v>0-5</v>
      </c>
      <c r="AE1043">
        <v>4</v>
      </c>
      <c r="AF1043">
        <v>1</v>
      </c>
      <c r="AG1043">
        <v>3</v>
      </c>
      <c r="AH1043">
        <v>1042</v>
      </c>
    </row>
    <row r="1044" spans="1:34" x14ac:dyDescent="0.3">
      <c r="A1044">
        <v>44</v>
      </c>
      <c r="B1044" t="str" cm="1">
        <f t="array" ref="B1044">_xlfn.IFS(A1044&lt;=25,"18-25",A1044&lt;=35,"26-35",A1044&lt;=45,"36-45",A1044&lt;=55,"46-55",A1044&gt;55,"55+")</f>
        <v>36-45</v>
      </c>
      <c r="C1044">
        <v>0</v>
      </c>
      <c r="D1044" t="s">
        <v>66</v>
      </c>
      <c r="E1044">
        <v>981</v>
      </c>
      <c r="F1044" t="s">
        <v>48</v>
      </c>
      <c r="G1044">
        <v>5</v>
      </c>
      <c r="H1044" t="s">
        <v>61</v>
      </c>
      <c r="I1044" t="s">
        <v>35</v>
      </c>
      <c r="J1044" t="s">
        <v>38</v>
      </c>
      <c r="K1044" t="s">
        <v>50</v>
      </c>
      <c r="L1044">
        <v>90</v>
      </c>
      <c r="M1044" t="s">
        <v>36</v>
      </c>
      <c r="N1044" t="s">
        <v>56</v>
      </c>
      <c r="O1044" t="s">
        <v>57</v>
      </c>
      <c r="P1044" t="s">
        <v>38</v>
      </c>
      <c r="Q1044" t="s">
        <v>42</v>
      </c>
      <c r="R1044">
        <v>3162</v>
      </c>
      <c r="S1044">
        <v>7973</v>
      </c>
      <c r="T1044">
        <v>3</v>
      </c>
      <c r="U1044" t="s">
        <v>46</v>
      </c>
      <c r="V1044">
        <v>14</v>
      </c>
      <c r="W1044" t="s">
        <v>43</v>
      </c>
      <c r="X1044" t="s">
        <v>41</v>
      </c>
      <c r="Y1044">
        <v>0</v>
      </c>
      <c r="Z1044">
        <v>7</v>
      </c>
      <c r="AA1044">
        <v>5</v>
      </c>
      <c r="AB1044" t="s">
        <v>54</v>
      </c>
      <c r="AC1044">
        <v>5</v>
      </c>
      <c r="AD1044" t="str" cm="1">
        <f t="array" ref="AD1044">_xlfn.IFS(AC1044&lt;=5,"0-5",AC1044&lt;=10,"5-10",AC1044&lt;=40,"10-40")</f>
        <v>0-5</v>
      </c>
      <c r="AE1044">
        <v>2</v>
      </c>
      <c r="AF1044">
        <v>0</v>
      </c>
      <c r="AG1044">
        <v>3</v>
      </c>
      <c r="AH1044">
        <v>1043</v>
      </c>
    </row>
    <row r="1045" spans="1:34" x14ac:dyDescent="0.3">
      <c r="A1045">
        <v>53</v>
      </c>
      <c r="B1045" t="str" cm="1">
        <f t="array" ref="B1045">_xlfn.IFS(A1045&lt;=25,"18-25",A1045&lt;=35,"26-35",A1045&lt;=45,"36-45",A1045&lt;=55,"46-55",A1045&gt;55,"55+")</f>
        <v>46-55</v>
      </c>
      <c r="C1045">
        <v>0</v>
      </c>
      <c r="D1045" t="s">
        <v>32</v>
      </c>
      <c r="E1045">
        <v>447</v>
      </c>
      <c r="F1045" t="s">
        <v>48</v>
      </c>
      <c r="G1045">
        <v>2</v>
      </c>
      <c r="H1045" t="s">
        <v>61</v>
      </c>
      <c r="I1045" t="s">
        <v>59</v>
      </c>
      <c r="J1045" t="s">
        <v>41</v>
      </c>
      <c r="K1045" t="s">
        <v>50</v>
      </c>
      <c r="L1045">
        <v>39</v>
      </c>
      <c r="M1045" t="s">
        <v>41</v>
      </c>
      <c r="N1045" t="s">
        <v>67</v>
      </c>
      <c r="O1045" t="s">
        <v>70</v>
      </c>
      <c r="P1045" t="s">
        <v>36</v>
      </c>
      <c r="Q1045" t="s">
        <v>42</v>
      </c>
      <c r="R1045">
        <v>16598</v>
      </c>
      <c r="S1045">
        <v>19764</v>
      </c>
      <c r="T1045">
        <v>4</v>
      </c>
      <c r="U1045" t="s">
        <v>46</v>
      </c>
      <c r="V1045">
        <v>12</v>
      </c>
      <c r="W1045" t="s">
        <v>43</v>
      </c>
      <c r="X1045" t="s">
        <v>36</v>
      </c>
      <c r="Y1045">
        <v>0</v>
      </c>
      <c r="Z1045">
        <v>35</v>
      </c>
      <c r="AA1045">
        <v>2</v>
      </c>
      <c r="AB1045" t="s">
        <v>60</v>
      </c>
      <c r="AC1045">
        <v>9</v>
      </c>
      <c r="AD1045" t="str" cm="1">
        <f t="array" ref="AD1045">_xlfn.IFS(AC1045&lt;=5,"0-5",AC1045&lt;=10,"5-10",AC1045&lt;=40,"10-40")</f>
        <v>5-10</v>
      </c>
      <c r="AE1045">
        <v>8</v>
      </c>
      <c r="AF1045">
        <v>8</v>
      </c>
      <c r="AG1045">
        <v>8</v>
      </c>
      <c r="AH1045">
        <v>1044</v>
      </c>
    </row>
    <row r="1046" spans="1:34" x14ac:dyDescent="0.3">
      <c r="A1046">
        <v>49</v>
      </c>
      <c r="B1046" t="str" cm="1">
        <f t="array" ref="B1046">_xlfn.IFS(A1046&lt;=25,"18-25",A1046&lt;=35,"26-35",A1046&lt;=45,"36-45",A1046&lt;=55,"46-55",A1046&gt;55,"55+")</f>
        <v>46-55</v>
      </c>
      <c r="C1046">
        <v>0</v>
      </c>
      <c r="D1046" t="s">
        <v>32</v>
      </c>
      <c r="E1046">
        <v>1495</v>
      </c>
      <c r="F1046" t="s">
        <v>48</v>
      </c>
      <c r="G1046">
        <v>5</v>
      </c>
      <c r="H1046" t="s">
        <v>58</v>
      </c>
      <c r="I1046" t="s">
        <v>74</v>
      </c>
      <c r="J1046" t="s">
        <v>44</v>
      </c>
      <c r="K1046" t="s">
        <v>50</v>
      </c>
      <c r="L1046">
        <v>96</v>
      </c>
      <c r="M1046" t="s">
        <v>38</v>
      </c>
      <c r="N1046" t="s">
        <v>39</v>
      </c>
      <c r="O1046" t="s">
        <v>65</v>
      </c>
      <c r="P1046" t="s">
        <v>38</v>
      </c>
      <c r="Q1046" t="s">
        <v>52</v>
      </c>
      <c r="R1046">
        <v>6651</v>
      </c>
      <c r="S1046">
        <v>21534</v>
      </c>
      <c r="T1046">
        <v>2</v>
      </c>
      <c r="U1046" t="s">
        <v>46</v>
      </c>
      <c r="V1046">
        <v>14</v>
      </c>
      <c r="W1046" t="s">
        <v>43</v>
      </c>
      <c r="X1046" t="s">
        <v>36</v>
      </c>
      <c r="Y1046">
        <v>1</v>
      </c>
      <c r="Z1046">
        <v>20</v>
      </c>
      <c r="AA1046">
        <v>0</v>
      </c>
      <c r="AB1046" t="s">
        <v>60</v>
      </c>
      <c r="AC1046">
        <v>3</v>
      </c>
      <c r="AD1046" t="str" cm="1">
        <f t="array" ref="AD1046">_xlfn.IFS(AC1046&lt;=5,"0-5",AC1046&lt;=10,"5-10",AC1046&lt;=40,"10-40")</f>
        <v>0-5</v>
      </c>
      <c r="AE1046">
        <v>2</v>
      </c>
      <c r="AF1046">
        <v>1</v>
      </c>
      <c r="AG1046">
        <v>2</v>
      </c>
      <c r="AH1046">
        <v>1045</v>
      </c>
    </row>
    <row r="1047" spans="1:34" x14ac:dyDescent="0.3">
      <c r="A1047">
        <v>40</v>
      </c>
      <c r="B1047" t="str" cm="1">
        <f t="array" ref="B1047">_xlfn.IFS(A1047&lt;=25,"18-25",A1047&lt;=35,"26-35",A1047&lt;=45,"36-45",A1047&lt;=55,"46-55",A1047&gt;55,"55+")</f>
        <v>36-45</v>
      </c>
      <c r="C1047">
        <v>0</v>
      </c>
      <c r="D1047" t="s">
        <v>32</v>
      </c>
      <c r="E1047">
        <v>896</v>
      </c>
      <c r="F1047" t="s">
        <v>48</v>
      </c>
      <c r="G1047">
        <v>2</v>
      </c>
      <c r="H1047" t="s">
        <v>61</v>
      </c>
      <c r="I1047" t="s">
        <v>59</v>
      </c>
      <c r="J1047" t="s">
        <v>38</v>
      </c>
      <c r="K1047" t="s">
        <v>50</v>
      </c>
      <c r="L1047">
        <v>68</v>
      </c>
      <c r="M1047" t="s">
        <v>38</v>
      </c>
      <c r="N1047" t="s">
        <v>56</v>
      </c>
      <c r="O1047" t="s">
        <v>51</v>
      </c>
      <c r="P1047" t="s">
        <v>38</v>
      </c>
      <c r="Q1047" t="s">
        <v>62</v>
      </c>
      <c r="R1047">
        <v>2345</v>
      </c>
      <c r="S1047">
        <v>8045</v>
      </c>
      <c r="T1047">
        <v>2</v>
      </c>
      <c r="U1047" t="s">
        <v>46</v>
      </c>
      <c r="V1047">
        <v>14</v>
      </c>
      <c r="W1047" t="s">
        <v>43</v>
      </c>
      <c r="X1047" t="s">
        <v>38</v>
      </c>
      <c r="Y1047">
        <v>1</v>
      </c>
      <c r="Z1047">
        <v>8</v>
      </c>
      <c r="AA1047">
        <v>3</v>
      </c>
      <c r="AB1047" t="s">
        <v>73</v>
      </c>
      <c r="AC1047">
        <v>3</v>
      </c>
      <c r="AD1047" t="str" cm="1">
        <f t="array" ref="AD1047">_xlfn.IFS(AC1047&lt;=5,"0-5",AC1047&lt;=10,"5-10",AC1047&lt;=40,"10-40")</f>
        <v>0-5</v>
      </c>
      <c r="AE1047">
        <v>1</v>
      </c>
      <c r="AF1047">
        <v>1</v>
      </c>
      <c r="AG1047">
        <v>2</v>
      </c>
      <c r="AH1047">
        <v>1046</v>
      </c>
    </row>
    <row r="1048" spans="1:34" x14ac:dyDescent="0.3">
      <c r="A1048">
        <v>44</v>
      </c>
      <c r="B1048" t="str" cm="1">
        <f t="array" ref="B1048">_xlfn.IFS(A1048&lt;=25,"18-25",A1048&lt;=35,"26-35",A1048&lt;=45,"36-45",A1048&lt;=55,"46-55",A1048&gt;55,"55+")</f>
        <v>36-45</v>
      </c>
      <c r="C1048">
        <v>0</v>
      </c>
      <c r="D1048" t="s">
        <v>32</v>
      </c>
      <c r="E1048">
        <v>1467</v>
      </c>
      <c r="F1048" t="s">
        <v>48</v>
      </c>
      <c r="G1048">
        <v>20</v>
      </c>
      <c r="H1048" t="s">
        <v>61</v>
      </c>
      <c r="I1048" t="s">
        <v>35</v>
      </c>
      <c r="J1048" t="s">
        <v>41</v>
      </c>
      <c r="K1048" t="s">
        <v>50</v>
      </c>
      <c r="L1048">
        <v>49</v>
      </c>
      <c r="M1048" t="s">
        <v>38</v>
      </c>
      <c r="N1048" t="s">
        <v>56</v>
      </c>
      <c r="O1048" t="s">
        <v>51</v>
      </c>
      <c r="P1048" t="s">
        <v>36</v>
      </c>
      <c r="Q1048" t="s">
        <v>42</v>
      </c>
      <c r="R1048">
        <v>3420</v>
      </c>
      <c r="S1048">
        <v>21158</v>
      </c>
      <c r="T1048">
        <v>1</v>
      </c>
      <c r="U1048" t="s">
        <v>46</v>
      </c>
      <c r="V1048">
        <v>13</v>
      </c>
      <c r="W1048" t="s">
        <v>43</v>
      </c>
      <c r="X1048" t="s">
        <v>38</v>
      </c>
      <c r="Y1048">
        <v>0</v>
      </c>
      <c r="Z1048">
        <v>6</v>
      </c>
      <c r="AA1048">
        <v>3</v>
      </c>
      <c r="AB1048" t="s">
        <v>60</v>
      </c>
      <c r="AC1048">
        <v>5</v>
      </c>
      <c r="AD1048" t="str" cm="1">
        <f t="array" ref="AD1048">_xlfn.IFS(AC1048&lt;=5,"0-5",AC1048&lt;=10,"5-10",AC1048&lt;=40,"10-40")</f>
        <v>0-5</v>
      </c>
      <c r="AE1048">
        <v>2</v>
      </c>
      <c r="AF1048">
        <v>1</v>
      </c>
      <c r="AG1048">
        <v>3</v>
      </c>
      <c r="AH1048">
        <v>1047</v>
      </c>
    </row>
    <row r="1049" spans="1:34" x14ac:dyDescent="0.3">
      <c r="A1049">
        <v>33</v>
      </c>
      <c r="B1049" t="str" cm="1">
        <f t="array" ref="B1049">_xlfn.IFS(A1049&lt;=25,"18-25",A1049&lt;=35,"26-35",A1049&lt;=45,"36-45",A1049&lt;=55,"46-55",A1049&gt;55,"55+")</f>
        <v>26-35</v>
      </c>
      <c r="C1049">
        <v>0</v>
      </c>
      <c r="D1049" t="s">
        <v>47</v>
      </c>
      <c r="E1049">
        <v>430</v>
      </c>
      <c r="F1049" t="s">
        <v>33</v>
      </c>
      <c r="G1049">
        <v>7</v>
      </c>
      <c r="H1049" t="s">
        <v>61</v>
      </c>
      <c r="I1049" t="s">
        <v>59</v>
      </c>
      <c r="J1049" t="s">
        <v>41</v>
      </c>
      <c r="K1049" t="s">
        <v>50</v>
      </c>
      <c r="L1049">
        <v>54</v>
      </c>
      <c r="M1049" t="s">
        <v>38</v>
      </c>
      <c r="N1049" t="s">
        <v>39</v>
      </c>
      <c r="O1049" t="s">
        <v>40</v>
      </c>
      <c r="P1049" t="s">
        <v>44</v>
      </c>
      <c r="Q1049" t="s">
        <v>52</v>
      </c>
      <c r="R1049">
        <v>4373</v>
      </c>
      <c r="S1049">
        <v>17456</v>
      </c>
      <c r="T1049">
        <v>0</v>
      </c>
      <c r="U1049" t="s">
        <v>46</v>
      </c>
      <c r="V1049">
        <v>14</v>
      </c>
      <c r="W1049" t="s">
        <v>43</v>
      </c>
      <c r="X1049" t="s">
        <v>44</v>
      </c>
      <c r="Y1049">
        <v>2</v>
      </c>
      <c r="Z1049">
        <v>5</v>
      </c>
      <c r="AA1049">
        <v>2</v>
      </c>
      <c r="AB1049" t="s">
        <v>54</v>
      </c>
      <c r="AC1049">
        <v>4</v>
      </c>
      <c r="AD1049" t="str" cm="1">
        <f t="array" ref="AD1049">_xlfn.IFS(AC1049&lt;=5,"0-5",AC1049&lt;=10,"5-10",AC1049&lt;=40,"10-40")</f>
        <v>0-5</v>
      </c>
      <c r="AE1049">
        <v>3</v>
      </c>
      <c r="AF1049">
        <v>0</v>
      </c>
      <c r="AG1049">
        <v>3</v>
      </c>
      <c r="AH1049">
        <v>1048</v>
      </c>
    </row>
    <row r="1050" spans="1:34" x14ac:dyDescent="0.3">
      <c r="A1050">
        <v>34</v>
      </c>
      <c r="B1050" t="str" cm="1">
        <f t="array" ref="B1050">_xlfn.IFS(A1050&lt;=25,"18-25",A1050&lt;=35,"26-35",A1050&lt;=45,"36-45",A1050&lt;=55,"46-55",A1050&gt;55,"55+")</f>
        <v>26-35</v>
      </c>
      <c r="C1050">
        <v>0</v>
      </c>
      <c r="D1050" t="s">
        <v>32</v>
      </c>
      <c r="E1050">
        <v>1326</v>
      </c>
      <c r="F1050" t="s">
        <v>33</v>
      </c>
      <c r="G1050">
        <v>3</v>
      </c>
      <c r="H1050" t="s">
        <v>61</v>
      </c>
      <c r="I1050" t="s">
        <v>55</v>
      </c>
      <c r="J1050" t="s">
        <v>41</v>
      </c>
      <c r="K1050" t="s">
        <v>50</v>
      </c>
      <c r="L1050">
        <v>81</v>
      </c>
      <c r="M1050" t="s">
        <v>44</v>
      </c>
      <c r="N1050" t="s">
        <v>39</v>
      </c>
      <c r="O1050" t="s">
        <v>40</v>
      </c>
      <c r="P1050" t="s">
        <v>44</v>
      </c>
      <c r="Q1050" t="s">
        <v>42</v>
      </c>
      <c r="R1050">
        <v>4759</v>
      </c>
      <c r="S1050">
        <v>15891</v>
      </c>
      <c r="T1050">
        <v>3</v>
      </c>
      <c r="U1050" t="s">
        <v>46</v>
      </c>
      <c r="V1050">
        <v>18</v>
      </c>
      <c r="W1050" t="s">
        <v>43</v>
      </c>
      <c r="X1050" t="s">
        <v>41</v>
      </c>
      <c r="Y1050">
        <v>0</v>
      </c>
      <c r="Z1050">
        <v>15</v>
      </c>
      <c r="AA1050">
        <v>2</v>
      </c>
      <c r="AB1050" t="s">
        <v>54</v>
      </c>
      <c r="AC1050">
        <v>13</v>
      </c>
      <c r="AD1050" t="str" cm="1">
        <f t="array" ref="AD1050">_xlfn.IFS(AC1050&lt;=5,"0-5",AC1050&lt;=10,"5-10",AC1050&lt;=40,"10-40")</f>
        <v>10-40</v>
      </c>
      <c r="AE1050">
        <v>9</v>
      </c>
      <c r="AF1050">
        <v>3</v>
      </c>
      <c r="AG1050">
        <v>12</v>
      </c>
      <c r="AH1050">
        <v>1049</v>
      </c>
    </row>
    <row r="1051" spans="1:34" x14ac:dyDescent="0.3">
      <c r="A1051">
        <v>30</v>
      </c>
      <c r="B1051" t="str" cm="1">
        <f t="array" ref="B1051">_xlfn.IFS(A1051&lt;=25,"18-25",A1051&lt;=35,"26-35",A1051&lt;=45,"36-45",A1051&lt;=55,"46-55",A1051&gt;55,"55+")</f>
        <v>26-35</v>
      </c>
      <c r="C1051">
        <v>0</v>
      </c>
      <c r="D1051" t="s">
        <v>32</v>
      </c>
      <c r="E1051">
        <v>1358</v>
      </c>
      <c r="F1051" t="s">
        <v>33</v>
      </c>
      <c r="G1051">
        <v>16</v>
      </c>
      <c r="H1051" t="s">
        <v>49</v>
      </c>
      <c r="I1051" t="s">
        <v>35</v>
      </c>
      <c r="J1051" t="s">
        <v>41</v>
      </c>
      <c r="K1051" t="s">
        <v>50</v>
      </c>
      <c r="L1051">
        <v>96</v>
      </c>
      <c r="M1051" t="s">
        <v>38</v>
      </c>
      <c r="N1051" t="s">
        <v>39</v>
      </c>
      <c r="O1051" t="s">
        <v>40</v>
      </c>
      <c r="P1051" t="s">
        <v>38</v>
      </c>
      <c r="Q1051" t="s">
        <v>52</v>
      </c>
      <c r="R1051">
        <v>5301</v>
      </c>
      <c r="S1051">
        <v>2939</v>
      </c>
      <c r="T1051">
        <v>8</v>
      </c>
      <c r="U1051" t="s">
        <v>46</v>
      </c>
      <c r="V1051">
        <v>15</v>
      </c>
      <c r="W1051" t="s">
        <v>43</v>
      </c>
      <c r="X1051" t="s">
        <v>38</v>
      </c>
      <c r="Y1051">
        <v>2</v>
      </c>
      <c r="Z1051">
        <v>4</v>
      </c>
      <c r="AA1051">
        <v>2</v>
      </c>
      <c r="AB1051" t="s">
        <v>60</v>
      </c>
      <c r="AC1051">
        <v>2</v>
      </c>
      <c r="AD1051" t="str" cm="1">
        <f t="array" ref="AD1051">_xlfn.IFS(AC1051&lt;=5,"0-5",AC1051&lt;=10,"5-10",AC1051&lt;=40,"10-40")</f>
        <v>0-5</v>
      </c>
      <c r="AE1051">
        <v>1</v>
      </c>
      <c r="AF1051">
        <v>2</v>
      </c>
      <c r="AG1051">
        <v>2</v>
      </c>
      <c r="AH1051">
        <v>1050</v>
      </c>
    </row>
    <row r="1052" spans="1:34" x14ac:dyDescent="0.3">
      <c r="A1052">
        <v>42</v>
      </c>
      <c r="B1052" t="str" cm="1">
        <f t="array" ref="B1052">_xlfn.IFS(A1052&lt;=25,"18-25",A1052&lt;=35,"26-35",A1052&lt;=45,"36-45",A1052&lt;=55,"46-55",A1052&gt;55,"55+")</f>
        <v>36-45</v>
      </c>
      <c r="C1052">
        <v>0</v>
      </c>
      <c r="D1052" t="s">
        <v>47</v>
      </c>
      <c r="E1052">
        <v>748</v>
      </c>
      <c r="F1052" t="s">
        <v>48</v>
      </c>
      <c r="G1052">
        <v>9</v>
      </c>
      <c r="H1052" t="s">
        <v>34</v>
      </c>
      <c r="I1052" t="s">
        <v>59</v>
      </c>
      <c r="J1052" t="s">
        <v>44</v>
      </c>
      <c r="K1052" t="s">
        <v>37</v>
      </c>
      <c r="L1052">
        <v>74</v>
      </c>
      <c r="M1052" t="s">
        <v>38</v>
      </c>
      <c r="N1052" t="s">
        <v>56</v>
      </c>
      <c r="O1052" t="s">
        <v>57</v>
      </c>
      <c r="P1052" t="s">
        <v>41</v>
      </c>
      <c r="Q1052" t="s">
        <v>42</v>
      </c>
      <c r="R1052">
        <v>3673</v>
      </c>
      <c r="S1052">
        <v>16458</v>
      </c>
      <c r="T1052">
        <v>1</v>
      </c>
      <c r="U1052" t="s">
        <v>46</v>
      </c>
      <c r="V1052">
        <v>13</v>
      </c>
      <c r="W1052" t="s">
        <v>43</v>
      </c>
      <c r="X1052" t="s">
        <v>38</v>
      </c>
      <c r="Y1052">
        <v>0</v>
      </c>
      <c r="Z1052">
        <v>12</v>
      </c>
      <c r="AA1052">
        <v>3</v>
      </c>
      <c r="AB1052" t="s">
        <v>54</v>
      </c>
      <c r="AC1052">
        <v>12</v>
      </c>
      <c r="AD1052" t="str" cm="1">
        <f t="array" ref="AD1052">_xlfn.IFS(AC1052&lt;=5,"0-5",AC1052&lt;=10,"5-10",AC1052&lt;=40,"10-40")</f>
        <v>10-40</v>
      </c>
      <c r="AE1052">
        <v>9</v>
      </c>
      <c r="AF1052">
        <v>5</v>
      </c>
      <c r="AG1052">
        <v>8</v>
      </c>
      <c r="AH1052">
        <v>1051</v>
      </c>
    </row>
    <row r="1053" spans="1:34" x14ac:dyDescent="0.3">
      <c r="A1053">
        <v>44</v>
      </c>
      <c r="B1053" t="str" cm="1">
        <f t="array" ref="B1053">_xlfn.IFS(A1053&lt;=25,"18-25",A1053&lt;=35,"26-35",A1053&lt;=45,"36-45",A1053&lt;=55,"46-55",A1053&gt;55,"55+")</f>
        <v>36-45</v>
      </c>
      <c r="C1053">
        <v>0</v>
      </c>
      <c r="D1053" t="s">
        <v>47</v>
      </c>
      <c r="E1053">
        <v>383</v>
      </c>
      <c r="F1053" t="s">
        <v>33</v>
      </c>
      <c r="G1053">
        <v>1</v>
      </c>
      <c r="H1053" t="s">
        <v>75</v>
      </c>
      <c r="I1053" t="s">
        <v>72</v>
      </c>
      <c r="J1053" t="s">
        <v>44</v>
      </c>
      <c r="K1053" t="s">
        <v>37</v>
      </c>
      <c r="L1053">
        <v>79</v>
      </c>
      <c r="M1053" t="s">
        <v>38</v>
      </c>
      <c r="N1053" t="s">
        <v>39</v>
      </c>
      <c r="O1053" t="s">
        <v>40</v>
      </c>
      <c r="P1053" t="s">
        <v>38</v>
      </c>
      <c r="Q1053" t="s">
        <v>52</v>
      </c>
      <c r="R1053">
        <v>4768</v>
      </c>
      <c r="S1053">
        <v>9282</v>
      </c>
      <c r="T1053">
        <v>7</v>
      </c>
      <c r="U1053" t="s">
        <v>46</v>
      </c>
      <c r="V1053">
        <v>12</v>
      </c>
      <c r="W1053" t="s">
        <v>43</v>
      </c>
      <c r="X1053" t="s">
        <v>38</v>
      </c>
      <c r="Y1053">
        <v>1</v>
      </c>
      <c r="Z1053">
        <v>11</v>
      </c>
      <c r="AA1053">
        <v>4</v>
      </c>
      <c r="AB1053" t="s">
        <v>60</v>
      </c>
      <c r="AC1053">
        <v>1</v>
      </c>
      <c r="AD1053" t="str" cm="1">
        <f t="array" ref="AD1053">_xlfn.IFS(AC1053&lt;=5,"0-5",AC1053&lt;=10,"5-10",AC1053&lt;=40,"10-40")</f>
        <v>0-5</v>
      </c>
      <c r="AE1053">
        <v>0</v>
      </c>
      <c r="AF1053">
        <v>0</v>
      </c>
      <c r="AG1053">
        <v>0</v>
      </c>
      <c r="AH1053">
        <v>1052</v>
      </c>
    </row>
    <row r="1054" spans="1:34" x14ac:dyDescent="0.3">
      <c r="A1054">
        <v>30</v>
      </c>
      <c r="B1054" t="str" cm="1">
        <f t="array" ref="B1054">_xlfn.IFS(A1054&lt;=25,"18-25",A1054&lt;=35,"26-35",A1054&lt;=45,"36-45",A1054&lt;=55,"46-55",A1054&gt;55,"55+")</f>
        <v>26-35</v>
      </c>
      <c r="C1054">
        <v>0</v>
      </c>
      <c r="D1054" t="s">
        <v>66</v>
      </c>
      <c r="E1054">
        <v>990</v>
      </c>
      <c r="F1054" t="s">
        <v>48</v>
      </c>
      <c r="G1054">
        <v>7</v>
      </c>
      <c r="H1054" t="s">
        <v>61</v>
      </c>
      <c r="I1054" t="s">
        <v>74</v>
      </c>
      <c r="J1054" t="s">
        <v>38</v>
      </c>
      <c r="K1054" t="s">
        <v>50</v>
      </c>
      <c r="L1054">
        <v>64</v>
      </c>
      <c r="M1054" t="s">
        <v>38</v>
      </c>
      <c r="N1054" t="s">
        <v>56</v>
      </c>
      <c r="O1054" t="s">
        <v>51</v>
      </c>
      <c r="P1054" t="s">
        <v>38</v>
      </c>
      <c r="Q1054" t="s">
        <v>62</v>
      </c>
      <c r="R1054">
        <v>1274</v>
      </c>
      <c r="S1054">
        <v>7152</v>
      </c>
      <c r="T1054">
        <v>1</v>
      </c>
      <c r="U1054" t="s">
        <v>46</v>
      </c>
      <c r="V1054">
        <v>13</v>
      </c>
      <c r="W1054" t="s">
        <v>43</v>
      </c>
      <c r="X1054" t="s">
        <v>36</v>
      </c>
      <c r="Y1054">
        <v>2</v>
      </c>
      <c r="Z1054">
        <v>1</v>
      </c>
      <c r="AA1054">
        <v>2</v>
      </c>
      <c r="AB1054" t="s">
        <v>60</v>
      </c>
      <c r="AC1054">
        <v>1</v>
      </c>
      <c r="AD1054" t="str" cm="1">
        <f t="array" ref="AD1054">_xlfn.IFS(AC1054&lt;=5,"0-5",AC1054&lt;=10,"5-10",AC1054&lt;=40,"10-40")</f>
        <v>0-5</v>
      </c>
      <c r="AE1054">
        <v>0</v>
      </c>
      <c r="AF1054">
        <v>0</v>
      </c>
      <c r="AG1054">
        <v>0</v>
      </c>
      <c r="AH1054">
        <v>1053</v>
      </c>
    </row>
    <row r="1055" spans="1:34" x14ac:dyDescent="0.3">
      <c r="A1055">
        <v>57</v>
      </c>
      <c r="B1055" t="str" cm="1">
        <f t="array" ref="B1055">_xlfn.IFS(A1055&lt;=25,"18-25",A1055&lt;=35,"26-35",A1055&lt;=45,"36-45",A1055&lt;=55,"46-55",A1055&gt;55,"55+")</f>
        <v>55+</v>
      </c>
      <c r="C1055">
        <v>0</v>
      </c>
      <c r="D1055" t="s">
        <v>32</v>
      </c>
      <c r="E1055">
        <v>405</v>
      </c>
      <c r="F1055" t="s">
        <v>48</v>
      </c>
      <c r="G1055">
        <v>1</v>
      </c>
      <c r="H1055" t="s">
        <v>34</v>
      </c>
      <c r="I1055" t="s">
        <v>35</v>
      </c>
      <c r="J1055" t="s">
        <v>36</v>
      </c>
      <c r="K1055" t="s">
        <v>50</v>
      </c>
      <c r="L1055">
        <v>93</v>
      </c>
      <c r="M1055" t="s">
        <v>41</v>
      </c>
      <c r="N1055" t="s">
        <v>39</v>
      </c>
      <c r="O1055" t="s">
        <v>51</v>
      </c>
      <c r="P1055" t="s">
        <v>38</v>
      </c>
      <c r="Q1055" t="s">
        <v>52</v>
      </c>
      <c r="R1055">
        <v>4900</v>
      </c>
      <c r="S1055">
        <v>2721</v>
      </c>
      <c r="T1055">
        <v>0</v>
      </c>
      <c r="U1055" t="s">
        <v>46</v>
      </c>
      <c r="V1055">
        <v>24</v>
      </c>
      <c r="W1055" t="s">
        <v>53</v>
      </c>
      <c r="X1055" t="s">
        <v>44</v>
      </c>
      <c r="Y1055">
        <v>1</v>
      </c>
      <c r="Z1055">
        <v>13</v>
      </c>
      <c r="AA1055">
        <v>2</v>
      </c>
      <c r="AB1055" t="s">
        <v>60</v>
      </c>
      <c r="AC1055">
        <v>12</v>
      </c>
      <c r="AD1055" t="str" cm="1">
        <f t="array" ref="AD1055">_xlfn.IFS(AC1055&lt;=5,"0-5",AC1055&lt;=10,"5-10",AC1055&lt;=40,"10-40")</f>
        <v>10-40</v>
      </c>
      <c r="AE1055">
        <v>9</v>
      </c>
      <c r="AF1055">
        <v>2</v>
      </c>
      <c r="AG1055">
        <v>8</v>
      </c>
      <c r="AH1055">
        <v>1054</v>
      </c>
    </row>
    <row r="1056" spans="1:34" x14ac:dyDescent="0.3">
      <c r="A1056">
        <v>49</v>
      </c>
      <c r="B1056" t="str" cm="1">
        <f t="array" ref="B1056">_xlfn.IFS(A1056&lt;=25,"18-25",A1056&lt;=35,"26-35",A1056&lt;=45,"36-45",A1056&lt;=55,"46-55",A1056&gt;55,"55+")</f>
        <v>46-55</v>
      </c>
      <c r="C1056">
        <v>0</v>
      </c>
      <c r="D1056" t="s">
        <v>32</v>
      </c>
      <c r="E1056">
        <v>1490</v>
      </c>
      <c r="F1056" t="s">
        <v>48</v>
      </c>
      <c r="G1056">
        <v>7</v>
      </c>
      <c r="H1056" t="s">
        <v>58</v>
      </c>
      <c r="I1056" t="s">
        <v>35</v>
      </c>
      <c r="J1056" t="s">
        <v>38</v>
      </c>
      <c r="K1056" t="s">
        <v>50</v>
      </c>
      <c r="L1056">
        <v>35</v>
      </c>
      <c r="M1056" t="s">
        <v>38</v>
      </c>
      <c r="N1056" t="s">
        <v>63</v>
      </c>
      <c r="O1056" t="s">
        <v>65</v>
      </c>
      <c r="P1056" t="s">
        <v>36</v>
      </c>
      <c r="Q1056" t="s">
        <v>62</v>
      </c>
      <c r="R1056">
        <v>10466</v>
      </c>
      <c r="S1056">
        <v>20948</v>
      </c>
      <c r="T1056">
        <v>3</v>
      </c>
      <c r="U1056" t="s">
        <v>46</v>
      </c>
      <c r="V1056">
        <v>14</v>
      </c>
      <c r="W1056" t="s">
        <v>43</v>
      </c>
      <c r="X1056" t="s">
        <v>36</v>
      </c>
      <c r="Y1056">
        <v>2</v>
      </c>
      <c r="Z1056">
        <v>29</v>
      </c>
      <c r="AA1056">
        <v>3</v>
      </c>
      <c r="AB1056" t="s">
        <v>54</v>
      </c>
      <c r="AC1056">
        <v>8</v>
      </c>
      <c r="AD1056" t="str" cm="1">
        <f t="array" ref="AD1056">_xlfn.IFS(AC1056&lt;=5,"0-5",AC1056&lt;=10,"5-10",AC1056&lt;=40,"10-40")</f>
        <v>5-10</v>
      </c>
      <c r="AE1056">
        <v>7</v>
      </c>
      <c r="AF1056">
        <v>0</v>
      </c>
      <c r="AG1056">
        <v>7</v>
      </c>
      <c r="AH1056">
        <v>1055</v>
      </c>
    </row>
    <row r="1057" spans="1:34" x14ac:dyDescent="0.3">
      <c r="A1057">
        <v>34</v>
      </c>
      <c r="B1057" t="str" cm="1">
        <f t="array" ref="B1057">_xlfn.IFS(A1057&lt;=25,"18-25",A1057&lt;=35,"26-35",A1057&lt;=45,"36-45",A1057&lt;=55,"46-55",A1057&gt;55,"55+")</f>
        <v>26-35</v>
      </c>
      <c r="C1057">
        <v>0</v>
      </c>
      <c r="D1057" t="s">
        <v>47</v>
      </c>
      <c r="E1057">
        <v>829</v>
      </c>
      <c r="F1057" t="s">
        <v>48</v>
      </c>
      <c r="G1057">
        <v>15</v>
      </c>
      <c r="H1057" t="s">
        <v>61</v>
      </c>
      <c r="I1057" t="s">
        <v>59</v>
      </c>
      <c r="J1057" t="s">
        <v>36</v>
      </c>
      <c r="K1057" t="s">
        <v>50</v>
      </c>
      <c r="L1057">
        <v>71</v>
      </c>
      <c r="M1057" t="s">
        <v>38</v>
      </c>
      <c r="N1057" t="s">
        <v>67</v>
      </c>
      <c r="O1057" t="s">
        <v>70</v>
      </c>
      <c r="P1057" t="s">
        <v>44</v>
      </c>
      <c r="Q1057" t="s">
        <v>62</v>
      </c>
      <c r="R1057">
        <v>17007</v>
      </c>
      <c r="S1057">
        <v>11929</v>
      </c>
      <c r="T1057">
        <v>7</v>
      </c>
      <c r="U1057" t="s">
        <v>46</v>
      </c>
      <c r="V1057">
        <v>14</v>
      </c>
      <c r="W1057" t="s">
        <v>43</v>
      </c>
      <c r="X1057" t="s">
        <v>41</v>
      </c>
      <c r="Y1057">
        <v>2</v>
      </c>
      <c r="Z1057">
        <v>16</v>
      </c>
      <c r="AA1057">
        <v>3</v>
      </c>
      <c r="AB1057" t="s">
        <v>60</v>
      </c>
      <c r="AC1057">
        <v>14</v>
      </c>
      <c r="AD1057" t="str" cm="1">
        <f t="array" ref="AD1057">_xlfn.IFS(AC1057&lt;=5,"0-5",AC1057&lt;=10,"5-10",AC1057&lt;=40,"10-40")</f>
        <v>10-40</v>
      </c>
      <c r="AE1057">
        <v>8</v>
      </c>
      <c r="AF1057">
        <v>6</v>
      </c>
      <c r="AG1057">
        <v>9</v>
      </c>
      <c r="AH1057">
        <v>1056</v>
      </c>
    </row>
    <row r="1058" spans="1:34" x14ac:dyDescent="0.3">
      <c r="A1058">
        <v>28</v>
      </c>
      <c r="B1058" t="str" cm="1">
        <f t="array" ref="B1058">_xlfn.IFS(A1058&lt;=25,"18-25",A1058&lt;=35,"26-35",A1058&lt;=45,"36-45",A1058&lt;=55,"46-55",A1058&gt;55,"55+")</f>
        <v>26-35</v>
      </c>
      <c r="C1058">
        <v>1</v>
      </c>
      <c r="D1058" t="s">
        <v>47</v>
      </c>
      <c r="E1058">
        <v>1496</v>
      </c>
      <c r="F1058" t="s">
        <v>33</v>
      </c>
      <c r="G1058">
        <v>1</v>
      </c>
      <c r="H1058" t="s">
        <v>61</v>
      </c>
      <c r="I1058" t="s">
        <v>74</v>
      </c>
      <c r="J1058" t="s">
        <v>44</v>
      </c>
      <c r="K1058" t="s">
        <v>50</v>
      </c>
      <c r="L1058">
        <v>92</v>
      </c>
      <c r="M1058" t="s">
        <v>38</v>
      </c>
      <c r="N1058" t="s">
        <v>56</v>
      </c>
      <c r="O1058" t="s">
        <v>69</v>
      </c>
      <c r="P1058" t="s">
        <v>38</v>
      </c>
      <c r="Q1058" t="s">
        <v>52</v>
      </c>
      <c r="R1058">
        <v>2909</v>
      </c>
      <c r="S1058">
        <v>15747</v>
      </c>
      <c r="T1058">
        <v>3</v>
      </c>
      <c r="U1058" t="s">
        <v>46</v>
      </c>
      <c r="V1058">
        <v>15</v>
      </c>
      <c r="W1058" t="s">
        <v>43</v>
      </c>
      <c r="X1058" t="s">
        <v>41</v>
      </c>
      <c r="Y1058">
        <v>1</v>
      </c>
      <c r="Z1058">
        <v>5</v>
      </c>
      <c r="AA1058">
        <v>3</v>
      </c>
      <c r="AB1058" t="s">
        <v>73</v>
      </c>
      <c r="AC1058">
        <v>3</v>
      </c>
      <c r="AD1058" t="str" cm="1">
        <f t="array" ref="AD1058">_xlfn.IFS(AC1058&lt;=5,"0-5",AC1058&lt;=10,"5-10",AC1058&lt;=40,"10-40")</f>
        <v>0-5</v>
      </c>
      <c r="AE1058">
        <v>2</v>
      </c>
      <c r="AF1058">
        <v>1</v>
      </c>
      <c r="AG1058">
        <v>2</v>
      </c>
      <c r="AH1058">
        <v>1057</v>
      </c>
    </row>
    <row r="1059" spans="1:34" x14ac:dyDescent="0.3">
      <c r="A1059">
        <v>29</v>
      </c>
      <c r="B1059" t="str" cm="1">
        <f t="array" ref="B1059">_xlfn.IFS(A1059&lt;=25,"18-25",A1059&lt;=35,"26-35",A1059&lt;=45,"36-45",A1059&lt;=55,"46-55",A1059&gt;55,"55+")</f>
        <v>26-35</v>
      </c>
      <c r="C1059">
        <v>1</v>
      </c>
      <c r="D1059" t="s">
        <v>47</v>
      </c>
      <c r="E1059">
        <v>115</v>
      </c>
      <c r="F1059" t="s">
        <v>33</v>
      </c>
      <c r="G1059">
        <v>13</v>
      </c>
      <c r="H1059" t="s">
        <v>61</v>
      </c>
      <c r="I1059" t="s">
        <v>74</v>
      </c>
      <c r="J1059" t="s">
        <v>44</v>
      </c>
      <c r="K1059" t="s">
        <v>37</v>
      </c>
      <c r="L1059">
        <v>51</v>
      </c>
      <c r="M1059" t="s">
        <v>38</v>
      </c>
      <c r="N1059" t="s">
        <v>39</v>
      </c>
      <c r="O1059" t="s">
        <v>40</v>
      </c>
      <c r="P1059" t="s">
        <v>36</v>
      </c>
      <c r="Q1059" t="s">
        <v>42</v>
      </c>
      <c r="R1059">
        <v>5765</v>
      </c>
      <c r="S1059">
        <v>17485</v>
      </c>
      <c r="T1059">
        <v>5</v>
      </c>
      <c r="U1059" t="s">
        <v>46</v>
      </c>
      <c r="V1059">
        <v>11</v>
      </c>
      <c r="W1059" t="s">
        <v>43</v>
      </c>
      <c r="X1059" t="s">
        <v>44</v>
      </c>
      <c r="Y1059">
        <v>0</v>
      </c>
      <c r="Z1059">
        <v>7</v>
      </c>
      <c r="AA1059">
        <v>4</v>
      </c>
      <c r="AB1059" t="s">
        <v>45</v>
      </c>
      <c r="AC1059">
        <v>5</v>
      </c>
      <c r="AD1059" t="str" cm="1">
        <f t="array" ref="AD1059">_xlfn.IFS(AC1059&lt;=5,"0-5",AC1059&lt;=10,"5-10",AC1059&lt;=40,"10-40")</f>
        <v>0-5</v>
      </c>
      <c r="AE1059">
        <v>3</v>
      </c>
      <c r="AF1059">
        <v>0</v>
      </c>
      <c r="AG1059">
        <v>0</v>
      </c>
      <c r="AH1059">
        <v>1058</v>
      </c>
    </row>
    <row r="1060" spans="1:34" x14ac:dyDescent="0.3">
      <c r="A1060">
        <v>34</v>
      </c>
      <c r="B1060" t="str" cm="1">
        <f t="array" ref="B1060">_xlfn.IFS(A1060&lt;=25,"18-25",A1060&lt;=35,"26-35",A1060&lt;=45,"36-45",A1060&lt;=55,"46-55",A1060&gt;55,"55+")</f>
        <v>26-35</v>
      </c>
      <c r="C1060">
        <v>1</v>
      </c>
      <c r="D1060" t="s">
        <v>32</v>
      </c>
      <c r="E1060">
        <v>790</v>
      </c>
      <c r="F1060" t="s">
        <v>33</v>
      </c>
      <c r="G1060">
        <v>24</v>
      </c>
      <c r="H1060" t="s">
        <v>58</v>
      </c>
      <c r="I1060" t="s">
        <v>59</v>
      </c>
      <c r="J1060" t="s">
        <v>44</v>
      </c>
      <c r="K1060" t="s">
        <v>37</v>
      </c>
      <c r="L1060">
        <v>40</v>
      </c>
      <c r="M1060" t="s">
        <v>36</v>
      </c>
      <c r="N1060" t="s">
        <v>39</v>
      </c>
      <c r="O1060" t="s">
        <v>40</v>
      </c>
      <c r="P1060" t="s">
        <v>36</v>
      </c>
      <c r="Q1060" t="s">
        <v>42</v>
      </c>
      <c r="R1060">
        <v>4599</v>
      </c>
      <c r="S1060">
        <v>7815</v>
      </c>
      <c r="T1060">
        <v>0</v>
      </c>
      <c r="U1060" t="s">
        <v>31</v>
      </c>
      <c r="V1060">
        <v>23</v>
      </c>
      <c r="W1060" t="s">
        <v>53</v>
      </c>
      <c r="X1060" t="s">
        <v>38</v>
      </c>
      <c r="Y1060">
        <v>0</v>
      </c>
      <c r="Z1060">
        <v>16</v>
      </c>
      <c r="AA1060">
        <v>2</v>
      </c>
      <c r="AB1060" t="s">
        <v>73</v>
      </c>
      <c r="AC1060">
        <v>15</v>
      </c>
      <c r="AD1060" t="str" cm="1">
        <f t="array" ref="AD1060">_xlfn.IFS(AC1060&lt;=5,"0-5",AC1060&lt;=10,"5-10",AC1060&lt;=40,"10-40")</f>
        <v>10-40</v>
      </c>
      <c r="AE1060">
        <v>9</v>
      </c>
      <c r="AF1060">
        <v>10</v>
      </c>
      <c r="AG1060">
        <v>10</v>
      </c>
      <c r="AH1060">
        <v>1059</v>
      </c>
    </row>
    <row r="1061" spans="1:34" x14ac:dyDescent="0.3">
      <c r="A1061">
        <v>35</v>
      </c>
      <c r="B1061" t="str" cm="1">
        <f t="array" ref="B1061">_xlfn.IFS(A1061&lt;=25,"18-25",A1061&lt;=35,"26-35",A1061&lt;=45,"36-45",A1061&lt;=55,"46-55",A1061&gt;55,"55+")</f>
        <v>26-35</v>
      </c>
      <c r="C1061">
        <v>0</v>
      </c>
      <c r="D1061" t="s">
        <v>32</v>
      </c>
      <c r="E1061">
        <v>660</v>
      </c>
      <c r="F1061" t="s">
        <v>33</v>
      </c>
      <c r="G1061">
        <v>7</v>
      </c>
      <c r="H1061" t="s">
        <v>49</v>
      </c>
      <c r="I1061" t="s">
        <v>35</v>
      </c>
      <c r="J1061" t="s">
        <v>41</v>
      </c>
      <c r="K1061" t="s">
        <v>50</v>
      </c>
      <c r="L1061">
        <v>76</v>
      </c>
      <c r="M1061" t="s">
        <v>38</v>
      </c>
      <c r="N1061" t="s">
        <v>56</v>
      </c>
      <c r="O1061" t="s">
        <v>69</v>
      </c>
      <c r="P1061" t="s">
        <v>38</v>
      </c>
      <c r="Q1061" t="s">
        <v>52</v>
      </c>
      <c r="R1061">
        <v>2404</v>
      </c>
      <c r="S1061">
        <v>16192</v>
      </c>
      <c r="T1061">
        <v>1</v>
      </c>
      <c r="U1061" t="s">
        <v>46</v>
      </c>
      <c r="V1061">
        <v>13</v>
      </c>
      <c r="W1061" t="s">
        <v>43</v>
      </c>
      <c r="X1061" t="s">
        <v>44</v>
      </c>
      <c r="Y1061">
        <v>1</v>
      </c>
      <c r="Z1061">
        <v>1</v>
      </c>
      <c r="AA1061">
        <v>3</v>
      </c>
      <c r="AB1061" t="s">
        <v>54</v>
      </c>
      <c r="AC1061">
        <v>1</v>
      </c>
      <c r="AD1061" t="str" cm="1">
        <f t="array" ref="AD1061">_xlfn.IFS(AC1061&lt;=5,"0-5",AC1061&lt;=10,"5-10",AC1061&lt;=40,"10-40")</f>
        <v>0-5</v>
      </c>
      <c r="AE1061">
        <v>0</v>
      </c>
      <c r="AF1061">
        <v>0</v>
      </c>
      <c r="AG1061">
        <v>0</v>
      </c>
      <c r="AH1061">
        <v>1060</v>
      </c>
    </row>
    <row r="1062" spans="1:34" x14ac:dyDescent="0.3">
      <c r="A1062">
        <v>24</v>
      </c>
      <c r="B1062" t="str" cm="1">
        <f t="array" ref="B1062">_xlfn.IFS(A1062&lt;=25,"18-25",A1062&lt;=35,"26-35",A1062&lt;=45,"36-45",A1062&lt;=55,"46-55",A1062&gt;55,"55+")</f>
        <v>18-25</v>
      </c>
      <c r="C1062">
        <v>1</v>
      </c>
      <c r="D1062" t="s">
        <v>47</v>
      </c>
      <c r="E1062">
        <v>381</v>
      </c>
      <c r="F1062" t="s">
        <v>48</v>
      </c>
      <c r="G1062">
        <v>9</v>
      </c>
      <c r="H1062" t="s">
        <v>61</v>
      </c>
      <c r="I1062" t="s">
        <v>59</v>
      </c>
      <c r="J1062" t="s">
        <v>36</v>
      </c>
      <c r="K1062" t="s">
        <v>50</v>
      </c>
      <c r="L1062">
        <v>89</v>
      </c>
      <c r="M1062" t="s">
        <v>38</v>
      </c>
      <c r="N1062" t="s">
        <v>56</v>
      </c>
      <c r="O1062" t="s">
        <v>57</v>
      </c>
      <c r="P1062" t="s">
        <v>44</v>
      </c>
      <c r="Q1062" t="s">
        <v>42</v>
      </c>
      <c r="R1062">
        <v>3172</v>
      </c>
      <c r="S1062">
        <v>16998</v>
      </c>
      <c r="T1062">
        <v>2</v>
      </c>
      <c r="U1062" t="s">
        <v>31</v>
      </c>
      <c r="V1062">
        <v>11</v>
      </c>
      <c r="W1062" t="s">
        <v>43</v>
      </c>
      <c r="X1062" t="s">
        <v>38</v>
      </c>
      <c r="Y1062">
        <v>0</v>
      </c>
      <c r="Z1062">
        <v>4</v>
      </c>
      <c r="AA1062">
        <v>2</v>
      </c>
      <c r="AB1062" t="s">
        <v>60</v>
      </c>
      <c r="AC1062">
        <v>0</v>
      </c>
      <c r="AD1062" t="str" cm="1">
        <f t="array" ref="AD1062">_xlfn.IFS(AC1062&lt;=5,"0-5",AC1062&lt;=10,"5-10",AC1062&lt;=40,"10-40")</f>
        <v>0-5</v>
      </c>
      <c r="AE1062">
        <v>0</v>
      </c>
      <c r="AF1062">
        <v>0</v>
      </c>
      <c r="AG1062">
        <v>0</v>
      </c>
      <c r="AH1062">
        <v>1061</v>
      </c>
    </row>
    <row r="1063" spans="1:34" x14ac:dyDescent="0.3">
      <c r="A1063">
        <v>24</v>
      </c>
      <c r="B1063" t="str" cm="1">
        <f t="array" ref="B1063">_xlfn.IFS(A1063&lt;=25,"18-25",A1063&lt;=35,"26-35",A1063&lt;=45,"36-45",A1063&lt;=55,"46-55",A1063&gt;55,"55+")</f>
        <v>18-25</v>
      </c>
      <c r="C1063">
        <v>0</v>
      </c>
      <c r="D1063" t="s">
        <v>66</v>
      </c>
      <c r="E1063">
        <v>830</v>
      </c>
      <c r="F1063" t="s">
        <v>33</v>
      </c>
      <c r="G1063">
        <v>13</v>
      </c>
      <c r="H1063" t="s">
        <v>34</v>
      </c>
      <c r="I1063" t="s">
        <v>35</v>
      </c>
      <c r="J1063" t="s">
        <v>41</v>
      </c>
      <c r="K1063" t="s">
        <v>37</v>
      </c>
      <c r="L1063">
        <v>78</v>
      </c>
      <c r="M1063" t="s">
        <v>38</v>
      </c>
      <c r="N1063" t="s">
        <v>56</v>
      </c>
      <c r="O1063" t="s">
        <v>69</v>
      </c>
      <c r="P1063" t="s">
        <v>36</v>
      </c>
      <c r="Q1063" t="s">
        <v>52</v>
      </c>
      <c r="R1063">
        <v>2033</v>
      </c>
      <c r="S1063">
        <v>7103</v>
      </c>
      <c r="T1063">
        <v>1</v>
      </c>
      <c r="U1063" t="s">
        <v>46</v>
      </c>
      <c r="V1063">
        <v>13</v>
      </c>
      <c r="W1063" t="s">
        <v>43</v>
      </c>
      <c r="X1063" t="s">
        <v>38</v>
      </c>
      <c r="Y1063">
        <v>1</v>
      </c>
      <c r="Z1063">
        <v>1</v>
      </c>
      <c r="AA1063">
        <v>2</v>
      </c>
      <c r="AB1063" t="s">
        <v>54</v>
      </c>
      <c r="AC1063">
        <v>1</v>
      </c>
      <c r="AD1063" t="str" cm="1">
        <f t="array" ref="AD1063">_xlfn.IFS(AC1063&lt;=5,"0-5",AC1063&lt;=10,"5-10",AC1063&lt;=40,"10-40")</f>
        <v>0-5</v>
      </c>
      <c r="AE1063">
        <v>0</v>
      </c>
      <c r="AF1063">
        <v>0</v>
      </c>
      <c r="AG1063">
        <v>0</v>
      </c>
      <c r="AH1063">
        <v>1062</v>
      </c>
    </row>
    <row r="1064" spans="1:34" x14ac:dyDescent="0.3">
      <c r="A1064">
        <v>44</v>
      </c>
      <c r="B1064" t="str" cm="1">
        <f t="array" ref="B1064">_xlfn.IFS(A1064&lt;=25,"18-25",A1064&lt;=35,"26-35",A1064&lt;=45,"36-45",A1064&lt;=55,"46-55",A1064&gt;55,"55+")</f>
        <v>36-45</v>
      </c>
      <c r="C1064">
        <v>0</v>
      </c>
      <c r="D1064" t="s">
        <v>47</v>
      </c>
      <c r="E1064">
        <v>1193</v>
      </c>
      <c r="F1064" t="s">
        <v>48</v>
      </c>
      <c r="G1064">
        <v>2</v>
      </c>
      <c r="H1064" t="s">
        <v>49</v>
      </c>
      <c r="I1064" t="s">
        <v>59</v>
      </c>
      <c r="J1064" t="s">
        <v>36</v>
      </c>
      <c r="K1064" t="s">
        <v>50</v>
      </c>
      <c r="L1064">
        <v>86</v>
      </c>
      <c r="M1064" t="s">
        <v>38</v>
      </c>
      <c r="N1064" t="s">
        <v>63</v>
      </c>
      <c r="O1064" t="s">
        <v>64</v>
      </c>
      <c r="P1064" t="s">
        <v>38</v>
      </c>
      <c r="Q1064" t="s">
        <v>42</v>
      </c>
      <c r="R1064">
        <v>10209</v>
      </c>
      <c r="S1064">
        <v>19719</v>
      </c>
      <c r="T1064">
        <v>5</v>
      </c>
      <c r="U1064" t="s">
        <v>31</v>
      </c>
      <c r="V1064">
        <v>18</v>
      </c>
      <c r="W1064" t="s">
        <v>43</v>
      </c>
      <c r="X1064" t="s">
        <v>36</v>
      </c>
      <c r="Y1064">
        <v>0</v>
      </c>
      <c r="Z1064">
        <v>16</v>
      </c>
      <c r="AA1064">
        <v>2</v>
      </c>
      <c r="AB1064" t="s">
        <v>60</v>
      </c>
      <c r="AC1064">
        <v>2</v>
      </c>
      <c r="AD1064" t="str" cm="1">
        <f t="array" ref="AD1064">_xlfn.IFS(AC1064&lt;=5,"0-5",AC1064&lt;=10,"5-10",AC1064&lt;=40,"10-40")</f>
        <v>0-5</v>
      </c>
      <c r="AE1064">
        <v>2</v>
      </c>
      <c r="AF1064">
        <v>2</v>
      </c>
      <c r="AG1064">
        <v>2</v>
      </c>
      <c r="AH1064">
        <v>1063</v>
      </c>
    </row>
    <row r="1065" spans="1:34" x14ac:dyDescent="0.3">
      <c r="A1065">
        <v>29</v>
      </c>
      <c r="B1065" t="str" cm="1">
        <f t="array" ref="B1065">_xlfn.IFS(A1065&lt;=25,"18-25",A1065&lt;=35,"26-35",A1065&lt;=45,"36-45",A1065&lt;=55,"46-55",A1065&gt;55,"55+")</f>
        <v>26-35</v>
      </c>
      <c r="C1065">
        <v>0</v>
      </c>
      <c r="D1065" t="s">
        <v>32</v>
      </c>
      <c r="E1065">
        <v>1246</v>
      </c>
      <c r="F1065" t="s">
        <v>33</v>
      </c>
      <c r="G1065">
        <v>19</v>
      </c>
      <c r="H1065" t="s">
        <v>61</v>
      </c>
      <c r="I1065" t="s">
        <v>35</v>
      </c>
      <c r="J1065" t="s">
        <v>38</v>
      </c>
      <c r="K1065" t="s">
        <v>50</v>
      </c>
      <c r="L1065">
        <v>77</v>
      </c>
      <c r="M1065" t="s">
        <v>36</v>
      </c>
      <c r="N1065" t="s">
        <v>39</v>
      </c>
      <c r="O1065" t="s">
        <v>40</v>
      </c>
      <c r="P1065" t="s">
        <v>38</v>
      </c>
      <c r="Q1065" t="s">
        <v>62</v>
      </c>
      <c r="R1065">
        <v>8620</v>
      </c>
      <c r="S1065">
        <v>23757</v>
      </c>
      <c r="T1065">
        <v>1</v>
      </c>
      <c r="U1065" t="s">
        <v>46</v>
      </c>
      <c r="V1065">
        <v>14</v>
      </c>
      <c r="W1065" t="s">
        <v>43</v>
      </c>
      <c r="X1065" t="s">
        <v>38</v>
      </c>
      <c r="Y1065">
        <v>2</v>
      </c>
      <c r="Z1065">
        <v>10</v>
      </c>
      <c r="AA1065">
        <v>3</v>
      </c>
      <c r="AB1065" t="s">
        <v>54</v>
      </c>
      <c r="AC1065">
        <v>10</v>
      </c>
      <c r="AD1065" t="str" cm="1">
        <f t="array" ref="AD1065">_xlfn.IFS(AC1065&lt;=5,"0-5",AC1065&lt;=10,"5-10",AC1065&lt;=40,"10-40")</f>
        <v>5-10</v>
      </c>
      <c r="AE1065">
        <v>7</v>
      </c>
      <c r="AF1065">
        <v>0</v>
      </c>
      <c r="AG1065">
        <v>4</v>
      </c>
      <c r="AH1065">
        <v>1064</v>
      </c>
    </row>
    <row r="1066" spans="1:34" x14ac:dyDescent="0.3">
      <c r="A1066">
        <v>30</v>
      </c>
      <c r="B1066" t="str" cm="1">
        <f t="array" ref="B1066">_xlfn.IFS(A1066&lt;=25,"18-25",A1066&lt;=35,"26-35",A1066&lt;=45,"36-45",A1066&lt;=55,"46-55",A1066&gt;55,"55+")</f>
        <v>26-35</v>
      </c>
      <c r="C1066">
        <v>0</v>
      </c>
      <c r="D1066" t="s">
        <v>32</v>
      </c>
      <c r="E1066">
        <v>330</v>
      </c>
      <c r="F1066" t="s">
        <v>76</v>
      </c>
      <c r="G1066">
        <v>1</v>
      </c>
      <c r="H1066" t="s">
        <v>61</v>
      </c>
      <c r="I1066" t="s">
        <v>35</v>
      </c>
      <c r="J1066" t="s">
        <v>38</v>
      </c>
      <c r="K1066" t="s">
        <v>50</v>
      </c>
      <c r="L1066">
        <v>46</v>
      </c>
      <c r="M1066" t="s">
        <v>38</v>
      </c>
      <c r="N1066" t="s">
        <v>56</v>
      </c>
      <c r="O1066" t="s">
        <v>76</v>
      </c>
      <c r="P1066" t="s">
        <v>38</v>
      </c>
      <c r="Q1066" t="s">
        <v>62</v>
      </c>
      <c r="R1066">
        <v>2064</v>
      </c>
      <c r="S1066">
        <v>15428</v>
      </c>
      <c r="T1066">
        <v>0</v>
      </c>
      <c r="U1066" t="s">
        <v>46</v>
      </c>
      <c r="V1066">
        <v>21</v>
      </c>
      <c r="W1066" t="s">
        <v>53</v>
      </c>
      <c r="X1066" t="s">
        <v>44</v>
      </c>
      <c r="Y1066">
        <v>1</v>
      </c>
      <c r="Z1066">
        <v>6</v>
      </c>
      <c r="AA1066">
        <v>3</v>
      </c>
      <c r="AB1066" t="s">
        <v>73</v>
      </c>
      <c r="AC1066">
        <v>5</v>
      </c>
      <c r="AD1066" t="str" cm="1">
        <f t="array" ref="AD1066">_xlfn.IFS(AC1066&lt;=5,"0-5",AC1066&lt;=10,"5-10",AC1066&lt;=40,"10-40")</f>
        <v>0-5</v>
      </c>
      <c r="AE1066">
        <v>3</v>
      </c>
      <c r="AF1066">
        <v>1</v>
      </c>
      <c r="AG1066">
        <v>3</v>
      </c>
      <c r="AH1066">
        <v>1065</v>
      </c>
    </row>
    <row r="1067" spans="1:34" x14ac:dyDescent="0.3">
      <c r="A1067">
        <v>55</v>
      </c>
      <c r="B1067" t="str" cm="1">
        <f t="array" ref="B1067">_xlfn.IFS(A1067&lt;=25,"18-25",A1067&lt;=35,"26-35",A1067&lt;=45,"36-45",A1067&lt;=55,"46-55",A1067&gt;55,"55+")</f>
        <v>46-55</v>
      </c>
      <c r="C1067">
        <v>0</v>
      </c>
      <c r="D1067" t="s">
        <v>32</v>
      </c>
      <c r="E1067">
        <v>1229</v>
      </c>
      <c r="F1067" t="s">
        <v>48</v>
      </c>
      <c r="G1067">
        <v>4</v>
      </c>
      <c r="H1067" t="s">
        <v>58</v>
      </c>
      <c r="I1067" t="s">
        <v>35</v>
      </c>
      <c r="J1067" t="s">
        <v>41</v>
      </c>
      <c r="K1067" t="s">
        <v>50</v>
      </c>
      <c r="L1067">
        <v>30</v>
      </c>
      <c r="M1067" t="s">
        <v>38</v>
      </c>
      <c r="N1067" t="s">
        <v>39</v>
      </c>
      <c r="O1067" t="s">
        <v>65</v>
      </c>
      <c r="P1067" t="s">
        <v>38</v>
      </c>
      <c r="Q1067" t="s">
        <v>52</v>
      </c>
      <c r="R1067">
        <v>4035</v>
      </c>
      <c r="S1067">
        <v>16143</v>
      </c>
      <c r="T1067">
        <v>0</v>
      </c>
      <c r="U1067" t="s">
        <v>31</v>
      </c>
      <c r="V1067">
        <v>16</v>
      </c>
      <c r="W1067" t="s">
        <v>43</v>
      </c>
      <c r="X1067" t="s">
        <v>36</v>
      </c>
      <c r="Y1067">
        <v>0</v>
      </c>
      <c r="Z1067">
        <v>4</v>
      </c>
      <c r="AA1067">
        <v>2</v>
      </c>
      <c r="AB1067" t="s">
        <v>54</v>
      </c>
      <c r="AC1067">
        <v>3</v>
      </c>
      <c r="AD1067" t="str" cm="1">
        <f t="array" ref="AD1067">_xlfn.IFS(AC1067&lt;=5,"0-5",AC1067&lt;=10,"5-10",AC1067&lt;=40,"10-40")</f>
        <v>0-5</v>
      </c>
      <c r="AE1067">
        <v>2</v>
      </c>
      <c r="AF1067">
        <v>1</v>
      </c>
      <c r="AG1067">
        <v>2</v>
      </c>
      <c r="AH1067">
        <v>1066</v>
      </c>
    </row>
    <row r="1068" spans="1:34" x14ac:dyDescent="0.3">
      <c r="A1068">
        <v>33</v>
      </c>
      <c r="B1068" t="str" cm="1">
        <f t="array" ref="B1068">_xlfn.IFS(A1068&lt;=25,"18-25",A1068&lt;=35,"26-35",A1068&lt;=45,"36-45",A1068&lt;=55,"46-55",A1068&gt;55,"55+")</f>
        <v>26-35</v>
      </c>
      <c r="C1068">
        <v>0</v>
      </c>
      <c r="D1068" t="s">
        <v>32</v>
      </c>
      <c r="E1068">
        <v>1099</v>
      </c>
      <c r="F1068" t="s">
        <v>48</v>
      </c>
      <c r="G1068">
        <v>4</v>
      </c>
      <c r="H1068" t="s">
        <v>58</v>
      </c>
      <c r="I1068" t="s">
        <v>59</v>
      </c>
      <c r="J1068" t="s">
        <v>44</v>
      </c>
      <c r="K1068" t="s">
        <v>37</v>
      </c>
      <c r="L1068">
        <v>82</v>
      </c>
      <c r="M1068" t="s">
        <v>36</v>
      </c>
      <c r="N1068" t="s">
        <v>56</v>
      </c>
      <c r="O1068" t="s">
        <v>57</v>
      </c>
      <c r="P1068" t="s">
        <v>36</v>
      </c>
      <c r="Q1068" t="s">
        <v>52</v>
      </c>
      <c r="R1068">
        <v>3838</v>
      </c>
      <c r="S1068">
        <v>8192</v>
      </c>
      <c r="T1068">
        <v>8</v>
      </c>
      <c r="U1068" t="s">
        <v>46</v>
      </c>
      <c r="V1068">
        <v>11</v>
      </c>
      <c r="W1068" t="s">
        <v>43</v>
      </c>
      <c r="X1068" t="s">
        <v>41</v>
      </c>
      <c r="Y1068">
        <v>0</v>
      </c>
      <c r="Z1068">
        <v>8</v>
      </c>
      <c r="AA1068">
        <v>5</v>
      </c>
      <c r="AB1068" t="s">
        <v>54</v>
      </c>
      <c r="AC1068">
        <v>5</v>
      </c>
      <c r="AD1068" t="str" cm="1">
        <f t="array" ref="AD1068">_xlfn.IFS(AC1068&lt;=5,"0-5",AC1068&lt;=10,"5-10",AC1068&lt;=40,"10-40")</f>
        <v>0-5</v>
      </c>
      <c r="AE1068">
        <v>4</v>
      </c>
      <c r="AF1068">
        <v>0</v>
      </c>
      <c r="AG1068">
        <v>2</v>
      </c>
      <c r="AH1068">
        <v>1067</v>
      </c>
    </row>
    <row r="1069" spans="1:34" x14ac:dyDescent="0.3">
      <c r="A1069">
        <v>47</v>
      </c>
      <c r="B1069" t="str" cm="1">
        <f t="array" ref="B1069">_xlfn.IFS(A1069&lt;=25,"18-25",A1069&lt;=35,"26-35",A1069&lt;=45,"36-45",A1069&lt;=55,"46-55",A1069&gt;55,"55+")</f>
        <v>46-55</v>
      </c>
      <c r="C1069">
        <v>0</v>
      </c>
      <c r="D1069" t="s">
        <v>32</v>
      </c>
      <c r="E1069">
        <v>571</v>
      </c>
      <c r="F1069" t="s">
        <v>33</v>
      </c>
      <c r="G1069">
        <v>14</v>
      </c>
      <c r="H1069" t="s">
        <v>61</v>
      </c>
      <c r="I1069" t="s">
        <v>59</v>
      </c>
      <c r="J1069" t="s">
        <v>38</v>
      </c>
      <c r="K1069" t="s">
        <v>37</v>
      </c>
      <c r="L1069">
        <v>78</v>
      </c>
      <c r="M1069" t="s">
        <v>38</v>
      </c>
      <c r="N1069" t="s">
        <v>39</v>
      </c>
      <c r="O1069" t="s">
        <v>40</v>
      </c>
      <c r="P1069" t="s">
        <v>38</v>
      </c>
      <c r="Q1069" t="s">
        <v>52</v>
      </c>
      <c r="R1069">
        <v>4591</v>
      </c>
      <c r="S1069">
        <v>24200</v>
      </c>
      <c r="T1069">
        <v>3</v>
      </c>
      <c r="U1069" t="s">
        <v>31</v>
      </c>
      <c r="V1069">
        <v>17</v>
      </c>
      <c r="W1069" t="s">
        <v>43</v>
      </c>
      <c r="X1069" t="s">
        <v>38</v>
      </c>
      <c r="Y1069">
        <v>1</v>
      </c>
      <c r="Z1069">
        <v>11</v>
      </c>
      <c r="AA1069">
        <v>4</v>
      </c>
      <c r="AB1069" t="s">
        <v>60</v>
      </c>
      <c r="AC1069">
        <v>5</v>
      </c>
      <c r="AD1069" t="str" cm="1">
        <f t="array" ref="AD1069">_xlfn.IFS(AC1069&lt;=5,"0-5",AC1069&lt;=10,"5-10",AC1069&lt;=40,"10-40")</f>
        <v>0-5</v>
      </c>
      <c r="AE1069">
        <v>4</v>
      </c>
      <c r="AF1069">
        <v>1</v>
      </c>
      <c r="AG1069">
        <v>2</v>
      </c>
      <c r="AH1069">
        <v>1068</v>
      </c>
    </row>
    <row r="1070" spans="1:34" x14ac:dyDescent="0.3">
      <c r="A1070">
        <v>28</v>
      </c>
      <c r="B1070" t="str" cm="1">
        <f t="array" ref="B1070">_xlfn.IFS(A1070&lt;=25,"18-25",A1070&lt;=35,"26-35",A1070&lt;=45,"36-45",A1070&lt;=55,"46-55",A1070&gt;55,"55+")</f>
        <v>26-35</v>
      </c>
      <c r="C1070">
        <v>1</v>
      </c>
      <c r="D1070" t="s">
        <v>47</v>
      </c>
      <c r="E1070">
        <v>289</v>
      </c>
      <c r="F1070" t="s">
        <v>48</v>
      </c>
      <c r="G1070">
        <v>2</v>
      </c>
      <c r="H1070" t="s">
        <v>34</v>
      </c>
      <c r="I1070" t="s">
        <v>59</v>
      </c>
      <c r="J1070" t="s">
        <v>38</v>
      </c>
      <c r="K1070" t="s">
        <v>50</v>
      </c>
      <c r="L1070">
        <v>38</v>
      </c>
      <c r="M1070" t="s">
        <v>36</v>
      </c>
      <c r="N1070" t="s">
        <v>56</v>
      </c>
      <c r="O1070" t="s">
        <v>57</v>
      </c>
      <c r="P1070" t="s">
        <v>44</v>
      </c>
      <c r="Q1070" t="s">
        <v>42</v>
      </c>
      <c r="R1070">
        <v>2561</v>
      </c>
      <c r="S1070">
        <v>5355</v>
      </c>
      <c r="T1070">
        <v>7</v>
      </c>
      <c r="U1070" t="s">
        <v>46</v>
      </c>
      <c r="V1070">
        <v>11</v>
      </c>
      <c r="W1070" t="s">
        <v>43</v>
      </c>
      <c r="X1070" t="s">
        <v>38</v>
      </c>
      <c r="Y1070">
        <v>0</v>
      </c>
      <c r="Z1070">
        <v>8</v>
      </c>
      <c r="AA1070">
        <v>2</v>
      </c>
      <c r="AB1070" t="s">
        <v>60</v>
      </c>
      <c r="AC1070">
        <v>0</v>
      </c>
      <c r="AD1070" t="str" cm="1">
        <f t="array" ref="AD1070">_xlfn.IFS(AC1070&lt;=5,"0-5",AC1070&lt;=10,"5-10",AC1070&lt;=40,"10-40")</f>
        <v>0-5</v>
      </c>
      <c r="AE1070">
        <v>0</v>
      </c>
      <c r="AF1070">
        <v>0</v>
      </c>
      <c r="AG1070">
        <v>0</v>
      </c>
      <c r="AH1070">
        <v>1069</v>
      </c>
    </row>
    <row r="1071" spans="1:34" x14ac:dyDescent="0.3">
      <c r="A1071">
        <v>28</v>
      </c>
      <c r="B1071" t="str" cm="1">
        <f t="array" ref="B1071">_xlfn.IFS(A1071&lt;=25,"18-25",A1071&lt;=35,"26-35",A1071&lt;=45,"36-45",A1071&lt;=55,"46-55",A1071&gt;55,"55+")</f>
        <v>26-35</v>
      </c>
      <c r="C1071">
        <v>0</v>
      </c>
      <c r="D1071" t="s">
        <v>32</v>
      </c>
      <c r="E1071">
        <v>1423</v>
      </c>
      <c r="F1071" t="s">
        <v>48</v>
      </c>
      <c r="G1071">
        <v>1</v>
      </c>
      <c r="H1071" t="s">
        <v>61</v>
      </c>
      <c r="I1071" t="s">
        <v>35</v>
      </c>
      <c r="J1071" t="s">
        <v>44</v>
      </c>
      <c r="K1071" t="s">
        <v>50</v>
      </c>
      <c r="L1071">
        <v>72</v>
      </c>
      <c r="M1071" t="s">
        <v>36</v>
      </c>
      <c r="N1071" t="s">
        <v>56</v>
      </c>
      <c r="O1071" t="s">
        <v>51</v>
      </c>
      <c r="P1071" t="s">
        <v>38</v>
      </c>
      <c r="Q1071" t="s">
        <v>62</v>
      </c>
      <c r="R1071">
        <v>1563</v>
      </c>
      <c r="S1071">
        <v>12530</v>
      </c>
      <c r="T1071">
        <v>1</v>
      </c>
      <c r="U1071" t="s">
        <v>46</v>
      </c>
      <c r="V1071">
        <v>14</v>
      </c>
      <c r="W1071" t="s">
        <v>43</v>
      </c>
      <c r="X1071" t="s">
        <v>41</v>
      </c>
      <c r="Y1071">
        <v>1</v>
      </c>
      <c r="Z1071">
        <v>1</v>
      </c>
      <c r="AA1071">
        <v>2</v>
      </c>
      <c r="AB1071" t="s">
        <v>45</v>
      </c>
      <c r="AC1071">
        <v>1</v>
      </c>
      <c r="AD1071" t="str" cm="1">
        <f t="array" ref="AD1071">_xlfn.IFS(AC1071&lt;=5,"0-5",AC1071&lt;=10,"5-10",AC1071&lt;=40,"10-40")</f>
        <v>0-5</v>
      </c>
      <c r="AE1071">
        <v>0</v>
      </c>
      <c r="AF1071">
        <v>0</v>
      </c>
      <c r="AG1071">
        <v>0</v>
      </c>
      <c r="AH1071">
        <v>1070</v>
      </c>
    </row>
    <row r="1072" spans="1:34" x14ac:dyDescent="0.3">
      <c r="A1072">
        <v>28</v>
      </c>
      <c r="B1072" t="str" cm="1">
        <f t="array" ref="B1072">_xlfn.IFS(A1072&lt;=25,"18-25",A1072&lt;=35,"26-35",A1072&lt;=45,"36-45",A1072&lt;=55,"46-55",A1072&gt;55,"55+")</f>
        <v>26-35</v>
      </c>
      <c r="C1072">
        <v>0</v>
      </c>
      <c r="D1072" t="s">
        <v>47</v>
      </c>
      <c r="E1072">
        <v>467</v>
      </c>
      <c r="F1072" t="s">
        <v>33</v>
      </c>
      <c r="G1072">
        <v>7</v>
      </c>
      <c r="H1072" t="s">
        <v>61</v>
      </c>
      <c r="I1072" t="s">
        <v>35</v>
      </c>
      <c r="J1072" t="s">
        <v>38</v>
      </c>
      <c r="K1072" t="s">
        <v>50</v>
      </c>
      <c r="L1072">
        <v>55</v>
      </c>
      <c r="M1072" t="s">
        <v>38</v>
      </c>
      <c r="N1072" t="s">
        <v>39</v>
      </c>
      <c r="O1072" t="s">
        <v>40</v>
      </c>
      <c r="P1072" t="s">
        <v>44</v>
      </c>
      <c r="Q1072" t="s">
        <v>42</v>
      </c>
      <c r="R1072">
        <v>4898</v>
      </c>
      <c r="S1072">
        <v>11827</v>
      </c>
      <c r="T1072">
        <v>0</v>
      </c>
      <c r="U1072" t="s">
        <v>46</v>
      </c>
      <c r="V1072">
        <v>14</v>
      </c>
      <c r="W1072" t="s">
        <v>43</v>
      </c>
      <c r="X1072" t="s">
        <v>41</v>
      </c>
      <c r="Y1072">
        <v>0</v>
      </c>
      <c r="Z1072">
        <v>5</v>
      </c>
      <c r="AA1072">
        <v>5</v>
      </c>
      <c r="AB1072" t="s">
        <v>54</v>
      </c>
      <c r="AC1072">
        <v>4</v>
      </c>
      <c r="AD1072" t="str" cm="1">
        <f t="array" ref="AD1072">_xlfn.IFS(AC1072&lt;=5,"0-5",AC1072&lt;=10,"5-10",AC1072&lt;=40,"10-40")</f>
        <v>0-5</v>
      </c>
      <c r="AE1072">
        <v>2</v>
      </c>
      <c r="AF1072">
        <v>1</v>
      </c>
      <c r="AG1072">
        <v>3</v>
      </c>
      <c r="AH1072">
        <v>1071</v>
      </c>
    </row>
    <row r="1073" spans="1:34" x14ac:dyDescent="0.3">
      <c r="A1073">
        <v>49</v>
      </c>
      <c r="B1073" t="str" cm="1">
        <f t="array" ref="B1073">_xlfn.IFS(A1073&lt;=25,"18-25",A1073&lt;=35,"26-35",A1073&lt;=45,"36-45",A1073&lt;=55,"46-55",A1073&gt;55,"55+")</f>
        <v>46-55</v>
      </c>
      <c r="C1073">
        <v>0</v>
      </c>
      <c r="D1073" t="s">
        <v>32</v>
      </c>
      <c r="E1073">
        <v>271</v>
      </c>
      <c r="F1073" t="s">
        <v>48</v>
      </c>
      <c r="G1073">
        <v>3</v>
      </c>
      <c r="H1073" t="s">
        <v>34</v>
      </c>
      <c r="I1073" t="s">
        <v>59</v>
      </c>
      <c r="J1073" t="s">
        <v>38</v>
      </c>
      <c r="K1073" t="s">
        <v>37</v>
      </c>
      <c r="L1073">
        <v>43</v>
      </c>
      <c r="M1073" t="s">
        <v>36</v>
      </c>
      <c r="N1073" t="s">
        <v>39</v>
      </c>
      <c r="O1073" t="s">
        <v>57</v>
      </c>
      <c r="P1073" t="s">
        <v>44</v>
      </c>
      <c r="Q1073" t="s">
        <v>52</v>
      </c>
      <c r="R1073">
        <v>4789</v>
      </c>
      <c r="S1073">
        <v>23070</v>
      </c>
      <c r="T1073">
        <v>4</v>
      </c>
      <c r="U1073" t="s">
        <v>46</v>
      </c>
      <c r="V1073">
        <v>25</v>
      </c>
      <c r="W1073" t="s">
        <v>53</v>
      </c>
      <c r="X1073" t="s">
        <v>44</v>
      </c>
      <c r="Y1073">
        <v>1</v>
      </c>
      <c r="Z1073">
        <v>10</v>
      </c>
      <c r="AA1073">
        <v>3</v>
      </c>
      <c r="AB1073" t="s">
        <v>54</v>
      </c>
      <c r="AC1073">
        <v>3</v>
      </c>
      <c r="AD1073" t="str" cm="1">
        <f t="array" ref="AD1073">_xlfn.IFS(AC1073&lt;=5,"0-5",AC1073&lt;=10,"5-10",AC1073&lt;=40,"10-40")</f>
        <v>0-5</v>
      </c>
      <c r="AE1073">
        <v>2</v>
      </c>
      <c r="AF1073">
        <v>1</v>
      </c>
      <c r="AG1073">
        <v>2</v>
      </c>
      <c r="AH1073">
        <v>1072</v>
      </c>
    </row>
    <row r="1074" spans="1:34" x14ac:dyDescent="0.3">
      <c r="A1074">
        <v>29</v>
      </c>
      <c r="B1074" t="str" cm="1">
        <f t="array" ref="B1074">_xlfn.IFS(A1074&lt;=25,"18-25",A1074&lt;=35,"26-35",A1074&lt;=45,"36-45",A1074&lt;=55,"46-55",A1074&gt;55,"55+")</f>
        <v>26-35</v>
      </c>
      <c r="C1074">
        <v>0</v>
      </c>
      <c r="D1074" t="s">
        <v>47</v>
      </c>
      <c r="E1074">
        <v>410</v>
      </c>
      <c r="F1074" t="s">
        <v>48</v>
      </c>
      <c r="G1074">
        <v>2</v>
      </c>
      <c r="H1074" t="s">
        <v>49</v>
      </c>
      <c r="I1074" t="s">
        <v>35</v>
      </c>
      <c r="J1074" t="s">
        <v>41</v>
      </c>
      <c r="K1074" t="s">
        <v>37</v>
      </c>
      <c r="L1074">
        <v>97</v>
      </c>
      <c r="M1074" t="s">
        <v>38</v>
      </c>
      <c r="N1074" t="s">
        <v>56</v>
      </c>
      <c r="O1074" t="s">
        <v>57</v>
      </c>
      <c r="P1074" t="s">
        <v>36</v>
      </c>
      <c r="Q1074" t="s">
        <v>52</v>
      </c>
      <c r="R1074">
        <v>3180</v>
      </c>
      <c r="S1074">
        <v>4668</v>
      </c>
      <c r="T1074">
        <v>0</v>
      </c>
      <c r="U1074" t="s">
        <v>46</v>
      </c>
      <c r="V1074">
        <v>13</v>
      </c>
      <c r="W1074" t="s">
        <v>43</v>
      </c>
      <c r="X1074" t="s">
        <v>38</v>
      </c>
      <c r="Y1074">
        <v>3</v>
      </c>
      <c r="Z1074">
        <v>4</v>
      </c>
      <c r="AA1074">
        <v>3</v>
      </c>
      <c r="AB1074" t="s">
        <v>54</v>
      </c>
      <c r="AC1074">
        <v>3</v>
      </c>
      <c r="AD1074" t="str" cm="1">
        <f t="array" ref="AD1074">_xlfn.IFS(AC1074&lt;=5,"0-5",AC1074&lt;=10,"5-10",AC1074&lt;=40,"10-40")</f>
        <v>0-5</v>
      </c>
      <c r="AE1074">
        <v>2</v>
      </c>
      <c r="AF1074">
        <v>0</v>
      </c>
      <c r="AG1074">
        <v>2</v>
      </c>
      <c r="AH1074">
        <v>1073</v>
      </c>
    </row>
    <row r="1075" spans="1:34" x14ac:dyDescent="0.3">
      <c r="A1075">
        <v>28</v>
      </c>
      <c r="B1075" t="str" cm="1">
        <f t="array" ref="B1075">_xlfn.IFS(A1075&lt;=25,"18-25",A1075&lt;=35,"26-35",A1075&lt;=45,"36-45",A1075&lt;=55,"46-55",A1075&gt;55,"55+")</f>
        <v>26-35</v>
      </c>
      <c r="C1075">
        <v>0</v>
      </c>
      <c r="D1075" t="s">
        <v>32</v>
      </c>
      <c r="E1075">
        <v>1083</v>
      </c>
      <c r="F1075" t="s">
        <v>48</v>
      </c>
      <c r="G1075">
        <v>29</v>
      </c>
      <c r="H1075" t="s">
        <v>49</v>
      </c>
      <c r="I1075" t="s">
        <v>35</v>
      </c>
      <c r="J1075" t="s">
        <v>38</v>
      </c>
      <c r="K1075" t="s">
        <v>50</v>
      </c>
      <c r="L1075">
        <v>96</v>
      </c>
      <c r="M1075" t="s">
        <v>44</v>
      </c>
      <c r="N1075" t="s">
        <v>39</v>
      </c>
      <c r="O1075" t="s">
        <v>64</v>
      </c>
      <c r="P1075" t="s">
        <v>36</v>
      </c>
      <c r="Q1075" t="s">
        <v>52</v>
      </c>
      <c r="R1075">
        <v>6549</v>
      </c>
      <c r="S1075">
        <v>3173</v>
      </c>
      <c r="T1075">
        <v>1</v>
      </c>
      <c r="U1075" t="s">
        <v>46</v>
      </c>
      <c r="V1075">
        <v>14</v>
      </c>
      <c r="W1075" t="s">
        <v>43</v>
      </c>
      <c r="X1075" t="s">
        <v>36</v>
      </c>
      <c r="Y1075">
        <v>2</v>
      </c>
      <c r="Z1075">
        <v>8</v>
      </c>
      <c r="AA1075">
        <v>2</v>
      </c>
      <c r="AB1075" t="s">
        <v>60</v>
      </c>
      <c r="AC1075">
        <v>8</v>
      </c>
      <c r="AD1075" t="str" cm="1">
        <f t="array" ref="AD1075">_xlfn.IFS(AC1075&lt;=5,"0-5",AC1075&lt;=10,"5-10",AC1075&lt;=40,"10-40")</f>
        <v>5-10</v>
      </c>
      <c r="AE1075">
        <v>6</v>
      </c>
      <c r="AF1075">
        <v>1</v>
      </c>
      <c r="AG1075">
        <v>7</v>
      </c>
      <c r="AH1075">
        <v>1074</v>
      </c>
    </row>
    <row r="1076" spans="1:34" x14ac:dyDescent="0.3">
      <c r="A1076">
        <v>33</v>
      </c>
      <c r="B1076" t="str" cm="1">
        <f t="array" ref="B1076">_xlfn.IFS(A1076&lt;=25,"18-25",A1076&lt;=35,"26-35",A1076&lt;=45,"36-45",A1076&lt;=55,"46-55",A1076&gt;55,"55+")</f>
        <v>26-35</v>
      </c>
      <c r="C1076">
        <v>0</v>
      </c>
      <c r="D1076" t="s">
        <v>32</v>
      </c>
      <c r="E1076">
        <v>516</v>
      </c>
      <c r="F1076" t="s">
        <v>48</v>
      </c>
      <c r="G1076">
        <v>8</v>
      </c>
      <c r="H1076" t="s">
        <v>75</v>
      </c>
      <c r="I1076" t="s">
        <v>35</v>
      </c>
      <c r="J1076" t="s">
        <v>41</v>
      </c>
      <c r="K1076" t="s">
        <v>50</v>
      </c>
      <c r="L1076">
        <v>69</v>
      </c>
      <c r="M1076" t="s">
        <v>38</v>
      </c>
      <c r="N1076" t="s">
        <v>39</v>
      </c>
      <c r="O1076" t="s">
        <v>65</v>
      </c>
      <c r="P1076" t="s">
        <v>38</v>
      </c>
      <c r="Q1076" t="s">
        <v>42</v>
      </c>
      <c r="R1076">
        <v>6388</v>
      </c>
      <c r="S1076">
        <v>22049</v>
      </c>
      <c r="T1076">
        <v>2</v>
      </c>
      <c r="U1076" t="s">
        <v>31</v>
      </c>
      <c r="V1076">
        <v>17</v>
      </c>
      <c r="W1076" t="s">
        <v>43</v>
      </c>
      <c r="X1076" t="s">
        <v>44</v>
      </c>
      <c r="Y1076">
        <v>0</v>
      </c>
      <c r="Z1076">
        <v>14</v>
      </c>
      <c r="AA1076">
        <v>6</v>
      </c>
      <c r="AB1076" t="s">
        <v>54</v>
      </c>
      <c r="AC1076">
        <v>0</v>
      </c>
      <c r="AD1076" t="str" cm="1">
        <f t="array" ref="AD1076">_xlfn.IFS(AC1076&lt;=5,"0-5",AC1076&lt;=10,"5-10",AC1076&lt;=40,"10-40")</f>
        <v>0-5</v>
      </c>
      <c r="AE1076">
        <v>0</v>
      </c>
      <c r="AF1076">
        <v>0</v>
      </c>
      <c r="AG1076">
        <v>0</v>
      </c>
      <c r="AH1076">
        <v>1075</v>
      </c>
    </row>
    <row r="1077" spans="1:34" x14ac:dyDescent="0.3">
      <c r="A1077">
        <v>32</v>
      </c>
      <c r="B1077" t="str" cm="1">
        <f t="array" ref="B1077">_xlfn.IFS(A1077&lt;=25,"18-25",A1077&lt;=35,"26-35",A1077&lt;=45,"36-45",A1077&lt;=55,"46-55",A1077&gt;55,"55+")</f>
        <v>26-35</v>
      </c>
      <c r="C1077">
        <v>0</v>
      </c>
      <c r="D1077" t="s">
        <v>32</v>
      </c>
      <c r="E1077">
        <v>495</v>
      </c>
      <c r="F1077" t="s">
        <v>48</v>
      </c>
      <c r="G1077">
        <v>10</v>
      </c>
      <c r="H1077" t="s">
        <v>61</v>
      </c>
      <c r="I1077" t="s">
        <v>59</v>
      </c>
      <c r="J1077" t="s">
        <v>38</v>
      </c>
      <c r="K1077" t="s">
        <v>50</v>
      </c>
      <c r="L1077">
        <v>64</v>
      </c>
      <c r="M1077" t="s">
        <v>38</v>
      </c>
      <c r="N1077" t="s">
        <v>63</v>
      </c>
      <c r="O1077" t="s">
        <v>68</v>
      </c>
      <c r="P1077" t="s">
        <v>41</v>
      </c>
      <c r="Q1077" t="s">
        <v>42</v>
      </c>
      <c r="R1077">
        <v>11244</v>
      </c>
      <c r="S1077">
        <v>21072</v>
      </c>
      <c r="T1077">
        <v>2</v>
      </c>
      <c r="U1077" t="s">
        <v>46</v>
      </c>
      <c r="V1077">
        <v>25</v>
      </c>
      <c r="W1077" t="s">
        <v>53</v>
      </c>
      <c r="X1077" t="s">
        <v>36</v>
      </c>
      <c r="Y1077">
        <v>0</v>
      </c>
      <c r="Z1077">
        <v>10</v>
      </c>
      <c r="AA1077">
        <v>5</v>
      </c>
      <c r="AB1077" t="s">
        <v>73</v>
      </c>
      <c r="AC1077">
        <v>5</v>
      </c>
      <c r="AD1077" t="str" cm="1">
        <f t="array" ref="AD1077">_xlfn.IFS(AC1077&lt;=5,"0-5",AC1077&lt;=10,"5-10",AC1077&lt;=40,"10-40")</f>
        <v>0-5</v>
      </c>
      <c r="AE1077">
        <v>2</v>
      </c>
      <c r="AF1077">
        <v>0</v>
      </c>
      <c r="AG1077">
        <v>0</v>
      </c>
      <c r="AH1077">
        <v>1076</v>
      </c>
    </row>
    <row r="1078" spans="1:34" x14ac:dyDescent="0.3">
      <c r="A1078">
        <v>54</v>
      </c>
      <c r="B1078" t="str" cm="1">
        <f t="array" ref="B1078">_xlfn.IFS(A1078&lt;=25,"18-25",A1078&lt;=35,"26-35",A1078&lt;=45,"36-45",A1078&lt;=55,"46-55",A1078&gt;55,"55+")</f>
        <v>46-55</v>
      </c>
      <c r="C1078">
        <v>0</v>
      </c>
      <c r="D1078" t="s">
        <v>47</v>
      </c>
      <c r="E1078">
        <v>1050</v>
      </c>
      <c r="F1078" t="s">
        <v>48</v>
      </c>
      <c r="G1078">
        <v>11</v>
      </c>
      <c r="H1078" t="s">
        <v>58</v>
      </c>
      <c r="I1078" t="s">
        <v>59</v>
      </c>
      <c r="J1078" t="s">
        <v>36</v>
      </c>
      <c r="K1078" t="s">
        <v>37</v>
      </c>
      <c r="L1078">
        <v>87</v>
      </c>
      <c r="M1078" t="s">
        <v>38</v>
      </c>
      <c r="N1078" t="s">
        <v>67</v>
      </c>
      <c r="O1078" t="s">
        <v>68</v>
      </c>
      <c r="P1078" t="s">
        <v>41</v>
      </c>
      <c r="Q1078" t="s">
        <v>62</v>
      </c>
      <c r="R1078">
        <v>16032</v>
      </c>
      <c r="S1078">
        <v>24456</v>
      </c>
      <c r="T1078">
        <v>3</v>
      </c>
      <c r="U1078" t="s">
        <v>46</v>
      </c>
      <c r="V1078">
        <v>20</v>
      </c>
      <c r="W1078" t="s">
        <v>53</v>
      </c>
      <c r="X1078" t="s">
        <v>44</v>
      </c>
      <c r="Y1078">
        <v>1</v>
      </c>
      <c r="Z1078">
        <v>26</v>
      </c>
      <c r="AA1078">
        <v>2</v>
      </c>
      <c r="AB1078" t="s">
        <v>54</v>
      </c>
      <c r="AC1078">
        <v>14</v>
      </c>
      <c r="AD1078" t="str" cm="1">
        <f t="array" ref="AD1078">_xlfn.IFS(AC1078&lt;=5,"0-5",AC1078&lt;=10,"5-10",AC1078&lt;=40,"10-40")</f>
        <v>10-40</v>
      </c>
      <c r="AE1078">
        <v>9</v>
      </c>
      <c r="AF1078">
        <v>1</v>
      </c>
      <c r="AG1078">
        <v>12</v>
      </c>
      <c r="AH1078">
        <v>1077</v>
      </c>
    </row>
    <row r="1079" spans="1:34" x14ac:dyDescent="0.3">
      <c r="A1079">
        <v>29</v>
      </c>
      <c r="B1079" t="str" cm="1">
        <f t="array" ref="B1079">_xlfn.IFS(A1079&lt;=25,"18-25",A1079&lt;=35,"26-35",A1079&lt;=45,"36-45",A1079&lt;=55,"46-55",A1079&gt;55,"55+")</f>
        <v>26-35</v>
      </c>
      <c r="C1079">
        <v>1</v>
      </c>
      <c r="D1079" t="s">
        <v>32</v>
      </c>
      <c r="E1079">
        <v>224</v>
      </c>
      <c r="F1079" t="s">
        <v>48</v>
      </c>
      <c r="G1079">
        <v>1</v>
      </c>
      <c r="H1079" t="s">
        <v>58</v>
      </c>
      <c r="I1079" t="s">
        <v>74</v>
      </c>
      <c r="J1079" t="s">
        <v>44</v>
      </c>
      <c r="K1079" t="s">
        <v>50</v>
      </c>
      <c r="L1079">
        <v>100</v>
      </c>
      <c r="M1079" t="s">
        <v>36</v>
      </c>
      <c r="N1079" t="s">
        <v>56</v>
      </c>
      <c r="O1079" t="s">
        <v>51</v>
      </c>
      <c r="P1079" t="s">
        <v>44</v>
      </c>
      <c r="Q1079" t="s">
        <v>42</v>
      </c>
      <c r="R1079">
        <v>2362</v>
      </c>
      <c r="S1079">
        <v>7568</v>
      </c>
      <c r="T1079">
        <v>6</v>
      </c>
      <c r="U1079" t="s">
        <v>46</v>
      </c>
      <c r="V1079">
        <v>13</v>
      </c>
      <c r="W1079" t="s">
        <v>43</v>
      </c>
      <c r="X1079" t="s">
        <v>38</v>
      </c>
      <c r="Y1079">
        <v>0</v>
      </c>
      <c r="Z1079">
        <v>11</v>
      </c>
      <c r="AA1079">
        <v>2</v>
      </c>
      <c r="AB1079" t="s">
        <v>45</v>
      </c>
      <c r="AC1079">
        <v>9</v>
      </c>
      <c r="AD1079" t="str" cm="1">
        <f t="array" ref="AD1079">_xlfn.IFS(AC1079&lt;=5,"0-5",AC1079&lt;=10,"5-10",AC1079&lt;=40,"10-40")</f>
        <v>5-10</v>
      </c>
      <c r="AE1079">
        <v>7</v>
      </c>
      <c r="AF1079">
        <v>0</v>
      </c>
      <c r="AG1079">
        <v>7</v>
      </c>
      <c r="AH1079">
        <v>1078</v>
      </c>
    </row>
    <row r="1080" spans="1:34" x14ac:dyDescent="0.3">
      <c r="A1080">
        <v>44</v>
      </c>
      <c r="B1080" t="str" cm="1">
        <f t="array" ref="B1080">_xlfn.IFS(A1080&lt;=25,"18-25",A1080&lt;=35,"26-35",A1080&lt;=45,"36-45",A1080&lt;=55,"46-55",A1080&gt;55,"55+")</f>
        <v>36-45</v>
      </c>
      <c r="C1080">
        <v>0</v>
      </c>
      <c r="D1080" t="s">
        <v>32</v>
      </c>
      <c r="E1080">
        <v>136</v>
      </c>
      <c r="F1080" t="s">
        <v>48</v>
      </c>
      <c r="G1080">
        <v>28</v>
      </c>
      <c r="H1080" t="s">
        <v>61</v>
      </c>
      <c r="I1080" t="s">
        <v>35</v>
      </c>
      <c r="J1080" t="s">
        <v>41</v>
      </c>
      <c r="K1080" t="s">
        <v>50</v>
      </c>
      <c r="L1080">
        <v>32</v>
      </c>
      <c r="M1080" t="s">
        <v>38</v>
      </c>
      <c r="N1080" t="s">
        <v>67</v>
      </c>
      <c r="O1080" t="s">
        <v>70</v>
      </c>
      <c r="P1080" t="s">
        <v>44</v>
      </c>
      <c r="Q1080" t="s">
        <v>52</v>
      </c>
      <c r="R1080">
        <v>16328</v>
      </c>
      <c r="S1080">
        <v>22074</v>
      </c>
      <c r="T1080">
        <v>3</v>
      </c>
      <c r="U1080" t="s">
        <v>46</v>
      </c>
      <c r="V1080">
        <v>13</v>
      </c>
      <c r="W1080" t="s">
        <v>43</v>
      </c>
      <c r="X1080" t="s">
        <v>38</v>
      </c>
      <c r="Y1080">
        <v>1</v>
      </c>
      <c r="Z1080">
        <v>24</v>
      </c>
      <c r="AA1080">
        <v>1</v>
      </c>
      <c r="AB1080" t="s">
        <v>73</v>
      </c>
      <c r="AC1080">
        <v>20</v>
      </c>
      <c r="AD1080" t="str" cm="1">
        <f t="array" ref="AD1080">_xlfn.IFS(AC1080&lt;=5,"0-5",AC1080&lt;=10,"5-10",AC1080&lt;=40,"10-40")</f>
        <v>10-40</v>
      </c>
      <c r="AE1080">
        <v>6</v>
      </c>
      <c r="AF1080">
        <v>14</v>
      </c>
      <c r="AG1080">
        <v>17</v>
      </c>
      <c r="AH1080">
        <v>1079</v>
      </c>
    </row>
    <row r="1081" spans="1:34" x14ac:dyDescent="0.3">
      <c r="A1081">
        <v>39</v>
      </c>
      <c r="B1081" t="str" cm="1">
        <f t="array" ref="B1081">_xlfn.IFS(A1081&lt;=25,"18-25",A1081&lt;=35,"26-35",A1081&lt;=45,"36-45",A1081&lt;=55,"46-55",A1081&gt;55,"55+")</f>
        <v>36-45</v>
      </c>
      <c r="C1081">
        <v>0</v>
      </c>
      <c r="D1081" t="s">
        <v>32</v>
      </c>
      <c r="E1081">
        <v>1089</v>
      </c>
      <c r="F1081" t="s">
        <v>48</v>
      </c>
      <c r="G1081">
        <v>6</v>
      </c>
      <c r="H1081" t="s">
        <v>61</v>
      </c>
      <c r="I1081" t="s">
        <v>35</v>
      </c>
      <c r="J1081" t="s">
        <v>36</v>
      </c>
      <c r="K1081" t="s">
        <v>37</v>
      </c>
      <c r="L1081">
        <v>32</v>
      </c>
      <c r="M1081" t="s">
        <v>38</v>
      </c>
      <c r="N1081" t="s">
        <v>63</v>
      </c>
      <c r="O1081" t="s">
        <v>64</v>
      </c>
      <c r="P1081" t="s">
        <v>36</v>
      </c>
      <c r="Q1081" t="s">
        <v>42</v>
      </c>
      <c r="R1081">
        <v>8376</v>
      </c>
      <c r="S1081">
        <v>9150</v>
      </c>
      <c r="T1081">
        <v>4</v>
      </c>
      <c r="U1081" t="s">
        <v>46</v>
      </c>
      <c r="V1081">
        <v>18</v>
      </c>
      <c r="W1081" t="s">
        <v>43</v>
      </c>
      <c r="X1081" t="s">
        <v>41</v>
      </c>
      <c r="Y1081">
        <v>0</v>
      </c>
      <c r="Z1081">
        <v>9</v>
      </c>
      <c r="AA1081">
        <v>3</v>
      </c>
      <c r="AB1081" t="s">
        <v>54</v>
      </c>
      <c r="AC1081">
        <v>2</v>
      </c>
      <c r="AD1081" t="str" cm="1">
        <f t="array" ref="AD1081">_xlfn.IFS(AC1081&lt;=5,"0-5",AC1081&lt;=10,"5-10",AC1081&lt;=40,"10-40")</f>
        <v>0-5</v>
      </c>
      <c r="AE1081">
        <v>0</v>
      </c>
      <c r="AF1081">
        <v>2</v>
      </c>
      <c r="AG1081">
        <v>2</v>
      </c>
      <c r="AH1081">
        <v>1080</v>
      </c>
    </row>
    <row r="1082" spans="1:34" x14ac:dyDescent="0.3">
      <c r="A1082">
        <v>46</v>
      </c>
      <c r="B1082" t="str" cm="1">
        <f t="array" ref="B1082">_xlfn.IFS(A1082&lt;=25,"18-25",A1082&lt;=35,"26-35",A1082&lt;=45,"36-45",A1082&lt;=55,"46-55",A1082&gt;55,"55+")</f>
        <v>46-55</v>
      </c>
      <c r="C1082">
        <v>0</v>
      </c>
      <c r="D1082" t="s">
        <v>32</v>
      </c>
      <c r="E1082">
        <v>228</v>
      </c>
      <c r="F1082" t="s">
        <v>33</v>
      </c>
      <c r="G1082">
        <v>3</v>
      </c>
      <c r="H1082" t="s">
        <v>61</v>
      </c>
      <c r="I1082" t="s">
        <v>35</v>
      </c>
      <c r="J1082" t="s">
        <v>38</v>
      </c>
      <c r="K1082" t="s">
        <v>37</v>
      </c>
      <c r="L1082">
        <v>51</v>
      </c>
      <c r="M1082" t="s">
        <v>38</v>
      </c>
      <c r="N1082" t="s">
        <v>67</v>
      </c>
      <c r="O1082" t="s">
        <v>68</v>
      </c>
      <c r="P1082" t="s">
        <v>36</v>
      </c>
      <c r="Q1082" t="s">
        <v>52</v>
      </c>
      <c r="R1082">
        <v>16606</v>
      </c>
      <c r="S1082">
        <v>11380</v>
      </c>
      <c r="T1082">
        <v>8</v>
      </c>
      <c r="U1082" t="s">
        <v>46</v>
      </c>
      <c r="V1082">
        <v>12</v>
      </c>
      <c r="W1082" t="s">
        <v>43</v>
      </c>
      <c r="X1082" t="s">
        <v>41</v>
      </c>
      <c r="Y1082">
        <v>1</v>
      </c>
      <c r="Z1082">
        <v>23</v>
      </c>
      <c r="AA1082">
        <v>2</v>
      </c>
      <c r="AB1082" t="s">
        <v>73</v>
      </c>
      <c r="AC1082">
        <v>13</v>
      </c>
      <c r="AD1082" t="str" cm="1">
        <f t="array" ref="AD1082">_xlfn.IFS(AC1082&lt;=5,"0-5",AC1082&lt;=10,"5-10",AC1082&lt;=40,"10-40")</f>
        <v>10-40</v>
      </c>
      <c r="AE1082">
        <v>12</v>
      </c>
      <c r="AF1082">
        <v>5</v>
      </c>
      <c r="AG1082">
        <v>1</v>
      </c>
      <c r="AH1082">
        <v>1081</v>
      </c>
    </row>
    <row r="1083" spans="1:34" x14ac:dyDescent="0.3">
      <c r="A1083">
        <v>35</v>
      </c>
      <c r="B1083" t="str" cm="1">
        <f t="array" ref="B1083">_xlfn.IFS(A1083&lt;=25,"18-25",A1083&lt;=35,"26-35",A1083&lt;=45,"36-45",A1083&lt;=55,"46-55",A1083&gt;55,"55+")</f>
        <v>26-35</v>
      </c>
      <c r="C1083">
        <v>0</v>
      </c>
      <c r="D1083" t="s">
        <v>32</v>
      </c>
      <c r="E1083">
        <v>1029</v>
      </c>
      <c r="F1083" t="s">
        <v>48</v>
      </c>
      <c r="G1083">
        <v>16</v>
      </c>
      <c r="H1083" t="s">
        <v>61</v>
      </c>
      <c r="I1083" t="s">
        <v>35</v>
      </c>
      <c r="J1083" t="s">
        <v>41</v>
      </c>
      <c r="K1083" t="s">
        <v>37</v>
      </c>
      <c r="L1083">
        <v>91</v>
      </c>
      <c r="M1083" t="s">
        <v>36</v>
      </c>
      <c r="N1083" t="s">
        <v>63</v>
      </c>
      <c r="O1083" t="s">
        <v>65</v>
      </c>
      <c r="P1083" t="s">
        <v>36</v>
      </c>
      <c r="Q1083" t="s">
        <v>42</v>
      </c>
      <c r="R1083">
        <v>8606</v>
      </c>
      <c r="S1083">
        <v>21195</v>
      </c>
      <c r="T1083">
        <v>1</v>
      </c>
      <c r="U1083" t="s">
        <v>46</v>
      </c>
      <c r="V1083">
        <v>19</v>
      </c>
      <c r="W1083" t="s">
        <v>43</v>
      </c>
      <c r="X1083" t="s">
        <v>41</v>
      </c>
      <c r="Y1083">
        <v>0</v>
      </c>
      <c r="Z1083">
        <v>11</v>
      </c>
      <c r="AA1083">
        <v>3</v>
      </c>
      <c r="AB1083" t="s">
        <v>45</v>
      </c>
      <c r="AC1083">
        <v>11</v>
      </c>
      <c r="AD1083" t="str" cm="1">
        <f t="array" ref="AD1083">_xlfn.IFS(AC1083&lt;=5,"0-5",AC1083&lt;=10,"5-10",AC1083&lt;=40,"10-40")</f>
        <v>10-40</v>
      </c>
      <c r="AE1083">
        <v>8</v>
      </c>
      <c r="AF1083">
        <v>3</v>
      </c>
      <c r="AG1083">
        <v>3</v>
      </c>
      <c r="AH1083">
        <v>1082</v>
      </c>
    </row>
    <row r="1084" spans="1:34" x14ac:dyDescent="0.3">
      <c r="A1084">
        <v>23</v>
      </c>
      <c r="B1084" t="str" cm="1">
        <f t="array" ref="B1084">_xlfn.IFS(A1084&lt;=25,"18-25",A1084&lt;=35,"26-35",A1084&lt;=45,"36-45",A1084&lt;=55,"46-55",A1084&gt;55,"55+")</f>
        <v>18-25</v>
      </c>
      <c r="C1084">
        <v>0</v>
      </c>
      <c r="D1084" t="s">
        <v>32</v>
      </c>
      <c r="E1084">
        <v>507</v>
      </c>
      <c r="F1084" t="s">
        <v>48</v>
      </c>
      <c r="G1084">
        <v>20</v>
      </c>
      <c r="H1084" t="s">
        <v>49</v>
      </c>
      <c r="I1084" t="s">
        <v>35</v>
      </c>
      <c r="J1084" t="s">
        <v>44</v>
      </c>
      <c r="K1084" t="s">
        <v>50</v>
      </c>
      <c r="L1084">
        <v>97</v>
      </c>
      <c r="M1084" t="s">
        <v>38</v>
      </c>
      <c r="N1084" t="s">
        <v>39</v>
      </c>
      <c r="O1084" t="s">
        <v>57</v>
      </c>
      <c r="P1084" t="s">
        <v>38</v>
      </c>
      <c r="Q1084" t="s">
        <v>42</v>
      </c>
      <c r="R1084">
        <v>2272</v>
      </c>
      <c r="S1084">
        <v>24812</v>
      </c>
      <c r="T1084">
        <v>0</v>
      </c>
      <c r="U1084" t="s">
        <v>46</v>
      </c>
      <c r="V1084">
        <v>14</v>
      </c>
      <c r="W1084" t="s">
        <v>43</v>
      </c>
      <c r="X1084" t="s">
        <v>36</v>
      </c>
      <c r="Y1084">
        <v>0</v>
      </c>
      <c r="Z1084">
        <v>5</v>
      </c>
      <c r="AA1084">
        <v>2</v>
      </c>
      <c r="AB1084" t="s">
        <v>54</v>
      </c>
      <c r="AC1084">
        <v>4</v>
      </c>
      <c r="AD1084" t="str" cm="1">
        <f t="array" ref="AD1084">_xlfn.IFS(AC1084&lt;=5,"0-5",AC1084&lt;=10,"5-10",AC1084&lt;=40,"10-40")</f>
        <v>0-5</v>
      </c>
      <c r="AE1084">
        <v>3</v>
      </c>
      <c r="AF1084">
        <v>1</v>
      </c>
      <c r="AG1084">
        <v>2</v>
      </c>
      <c r="AH1084">
        <v>1083</v>
      </c>
    </row>
    <row r="1085" spans="1:34" x14ac:dyDescent="0.3">
      <c r="A1085">
        <v>40</v>
      </c>
      <c r="B1085" t="str" cm="1">
        <f t="array" ref="B1085">_xlfn.IFS(A1085&lt;=25,"18-25",A1085&lt;=35,"26-35",A1085&lt;=45,"36-45",A1085&lt;=55,"46-55",A1085&gt;55,"55+")</f>
        <v>36-45</v>
      </c>
      <c r="C1085">
        <v>1</v>
      </c>
      <c r="D1085" t="s">
        <v>32</v>
      </c>
      <c r="E1085">
        <v>676</v>
      </c>
      <c r="F1085" t="s">
        <v>48</v>
      </c>
      <c r="G1085">
        <v>9</v>
      </c>
      <c r="H1085" t="s">
        <v>58</v>
      </c>
      <c r="I1085" t="s">
        <v>35</v>
      </c>
      <c r="J1085" t="s">
        <v>41</v>
      </c>
      <c r="K1085" t="s">
        <v>50</v>
      </c>
      <c r="L1085">
        <v>86</v>
      </c>
      <c r="M1085" t="s">
        <v>38</v>
      </c>
      <c r="N1085" t="s">
        <v>56</v>
      </c>
      <c r="O1085" t="s">
        <v>57</v>
      </c>
      <c r="P1085" t="s">
        <v>44</v>
      </c>
      <c r="Q1085" t="s">
        <v>42</v>
      </c>
      <c r="R1085">
        <v>2018</v>
      </c>
      <c r="S1085">
        <v>21831</v>
      </c>
      <c r="T1085">
        <v>3</v>
      </c>
      <c r="U1085" t="s">
        <v>46</v>
      </c>
      <c r="V1085">
        <v>14</v>
      </c>
      <c r="W1085" t="s">
        <v>43</v>
      </c>
      <c r="X1085" t="s">
        <v>36</v>
      </c>
      <c r="Y1085">
        <v>0</v>
      </c>
      <c r="Z1085">
        <v>15</v>
      </c>
      <c r="AA1085">
        <v>3</v>
      </c>
      <c r="AB1085" t="s">
        <v>45</v>
      </c>
      <c r="AC1085">
        <v>5</v>
      </c>
      <c r="AD1085" t="str" cm="1">
        <f t="array" ref="AD1085">_xlfn.IFS(AC1085&lt;=5,"0-5",AC1085&lt;=10,"5-10",AC1085&lt;=40,"10-40")</f>
        <v>0-5</v>
      </c>
      <c r="AE1085">
        <v>4</v>
      </c>
      <c r="AF1085">
        <v>1</v>
      </c>
      <c r="AG1085">
        <v>0</v>
      </c>
      <c r="AH1085">
        <v>1084</v>
      </c>
    </row>
    <row r="1086" spans="1:34" x14ac:dyDescent="0.3">
      <c r="A1086">
        <v>34</v>
      </c>
      <c r="B1086" t="str" cm="1">
        <f t="array" ref="B1086">_xlfn.IFS(A1086&lt;=25,"18-25",A1086&lt;=35,"26-35",A1086&lt;=45,"36-45",A1086&lt;=55,"46-55",A1086&gt;55,"55+")</f>
        <v>26-35</v>
      </c>
      <c r="C1086">
        <v>0</v>
      </c>
      <c r="D1086" t="s">
        <v>32</v>
      </c>
      <c r="E1086">
        <v>971</v>
      </c>
      <c r="F1086" t="s">
        <v>33</v>
      </c>
      <c r="G1086">
        <v>1</v>
      </c>
      <c r="H1086" t="s">
        <v>61</v>
      </c>
      <c r="I1086" t="s">
        <v>74</v>
      </c>
      <c r="J1086" t="s">
        <v>41</v>
      </c>
      <c r="K1086" t="s">
        <v>50</v>
      </c>
      <c r="L1086">
        <v>64</v>
      </c>
      <c r="M1086" t="s">
        <v>36</v>
      </c>
      <c r="N1086" t="s">
        <v>63</v>
      </c>
      <c r="O1086" t="s">
        <v>40</v>
      </c>
      <c r="P1086" t="s">
        <v>38</v>
      </c>
      <c r="Q1086" t="s">
        <v>52</v>
      </c>
      <c r="R1086">
        <v>7083</v>
      </c>
      <c r="S1086">
        <v>12288</v>
      </c>
      <c r="T1086">
        <v>1</v>
      </c>
      <c r="U1086" t="s">
        <v>31</v>
      </c>
      <c r="V1086">
        <v>14</v>
      </c>
      <c r="W1086" t="s">
        <v>43</v>
      </c>
      <c r="X1086" t="s">
        <v>41</v>
      </c>
      <c r="Y1086">
        <v>0</v>
      </c>
      <c r="Z1086">
        <v>10</v>
      </c>
      <c r="AA1086">
        <v>3</v>
      </c>
      <c r="AB1086" t="s">
        <v>54</v>
      </c>
      <c r="AC1086">
        <v>10</v>
      </c>
      <c r="AD1086" t="str" cm="1">
        <f t="array" ref="AD1086">_xlfn.IFS(AC1086&lt;=5,"0-5",AC1086&lt;=10,"5-10",AC1086&lt;=40,"10-40")</f>
        <v>5-10</v>
      </c>
      <c r="AE1086">
        <v>9</v>
      </c>
      <c r="AF1086">
        <v>8</v>
      </c>
      <c r="AG1086">
        <v>6</v>
      </c>
      <c r="AH1086">
        <v>1085</v>
      </c>
    </row>
    <row r="1087" spans="1:34" x14ac:dyDescent="0.3">
      <c r="A1087">
        <v>31</v>
      </c>
      <c r="B1087" t="str" cm="1">
        <f t="array" ref="B1087">_xlfn.IFS(A1087&lt;=25,"18-25",A1087&lt;=35,"26-35",A1087&lt;=45,"36-45",A1087&lt;=55,"46-55",A1087&gt;55,"55+")</f>
        <v>26-35</v>
      </c>
      <c r="C1087">
        <v>1</v>
      </c>
      <c r="D1087" t="s">
        <v>47</v>
      </c>
      <c r="E1087">
        <v>561</v>
      </c>
      <c r="F1087" t="s">
        <v>48</v>
      </c>
      <c r="G1087">
        <v>3</v>
      </c>
      <c r="H1087" t="s">
        <v>61</v>
      </c>
      <c r="I1087" t="s">
        <v>35</v>
      </c>
      <c r="J1087" t="s">
        <v>41</v>
      </c>
      <c r="K1087" t="s">
        <v>37</v>
      </c>
      <c r="L1087">
        <v>33</v>
      </c>
      <c r="M1087" t="s">
        <v>38</v>
      </c>
      <c r="N1087" t="s">
        <v>56</v>
      </c>
      <c r="O1087" t="s">
        <v>51</v>
      </c>
      <c r="P1087" t="s">
        <v>38</v>
      </c>
      <c r="Q1087" t="s">
        <v>42</v>
      </c>
      <c r="R1087">
        <v>4084</v>
      </c>
      <c r="S1087">
        <v>4156</v>
      </c>
      <c r="T1087">
        <v>1</v>
      </c>
      <c r="U1087" t="s">
        <v>46</v>
      </c>
      <c r="V1087">
        <v>12</v>
      </c>
      <c r="W1087" t="s">
        <v>43</v>
      </c>
      <c r="X1087" t="s">
        <v>44</v>
      </c>
      <c r="Y1087">
        <v>0</v>
      </c>
      <c r="Z1087">
        <v>7</v>
      </c>
      <c r="AA1087">
        <v>2</v>
      </c>
      <c r="AB1087" t="s">
        <v>45</v>
      </c>
      <c r="AC1087">
        <v>7</v>
      </c>
      <c r="AD1087" t="str" cm="1">
        <f t="array" ref="AD1087">_xlfn.IFS(AC1087&lt;=5,"0-5",AC1087&lt;=10,"5-10",AC1087&lt;=40,"10-40")</f>
        <v>5-10</v>
      </c>
      <c r="AE1087">
        <v>2</v>
      </c>
      <c r="AF1087">
        <v>7</v>
      </c>
      <c r="AG1087">
        <v>7</v>
      </c>
      <c r="AH1087">
        <v>1086</v>
      </c>
    </row>
    <row r="1088" spans="1:34" x14ac:dyDescent="0.3">
      <c r="A1088">
        <v>50</v>
      </c>
      <c r="B1088" t="str" cm="1">
        <f t="array" ref="B1088">_xlfn.IFS(A1088&lt;=25,"18-25",A1088&lt;=35,"26-35",A1088&lt;=45,"36-45",A1088&lt;=55,"46-55",A1088&gt;55,"55+")</f>
        <v>46-55</v>
      </c>
      <c r="C1088">
        <v>0</v>
      </c>
      <c r="D1088" t="s">
        <v>47</v>
      </c>
      <c r="E1088">
        <v>333</v>
      </c>
      <c r="F1088" t="s">
        <v>48</v>
      </c>
      <c r="G1088">
        <v>22</v>
      </c>
      <c r="H1088" t="s">
        <v>75</v>
      </c>
      <c r="I1088" t="s">
        <v>59</v>
      </c>
      <c r="J1088" t="s">
        <v>38</v>
      </c>
      <c r="K1088" t="s">
        <v>50</v>
      </c>
      <c r="L1088">
        <v>88</v>
      </c>
      <c r="M1088" t="s">
        <v>44</v>
      </c>
      <c r="N1088" t="s">
        <v>67</v>
      </c>
      <c r="O1088" t="s">
        <v>70</v>
      </c>
      <c r="P1088" t="s">
        <v>41</v>
      </c>
      <c r="Q1088" t="s">
        <v>42</v>
      </c>
      <c r="R1088">
        <v>14411</v>
      </c>
      <c r="S1088">
        <v>24450</v>
      </c>
      <c r="T1088">
        <v>1</v>
      </c>
      <c r="U1088" t="s">
        <v>31</v>
      </c>
      <c r="V1088">
        <v>13</v>
      </c>
      <c r="W1088" t="s">
        <v>43</v>
      </c>
      <c r="X1088" t="s">
        <v>41</v>
      </c>
      <c r="Y1088">
        <v>0</v>
      </c>
      <c r="Z1088">
        <v>32</v>
      </c>
      <c r="AA1088">
        <v>2</v>
      </c>
      <c r="AB1088" t="s">
        <v>54</v>
      </c>
      <c r="AC1088">
        <v>32</v>
      </c>
      <c r="AD1088" t="str" cm="1">
        <f t="array" ref="AD1088">_xlfn.IFS(AC1088&lt;=5,"0-5",AC1088&lt;=10,"5-10",AC1088&lt;=40,"10-40")</f>
        <v>10-40</v>
      </c>
      <c r="AE1088">
        <v>6</v>
      </c>
      <c r="AF1088">
        <v>13</v>
      </c>
      <c r="AG1088">
        <v>9</v>
      </c>
      <c r="AH1088">
        <v>1087</v>
      </c>
    </row>
    <row r="1089" spans="1:34" x14ac:dyDescent="0.3">
      <c r="A1089">
        <v>34</v>
      </c>
      <c r="B1089" t="str" cm="1">
        <f t="array" ref="B1089">_xlfn.IFS(A1089&lt;=25,"18-25",A1089&lt;=35,"26-35",A1089&lt;=45,"36-45",A1089&lt;=55,"46-55",A1089&gt;55,"55+")</f>
        <v>26-35</v>
      </c>
      <c r="C1089">
        <v>0</v>
      </c>
      <c r="D1089" t="s">
        <v>32</v>
      </c>
      <c r="E1089">
        <v>1440</v>
      </c>
      <c r="F1089" t="s">
        <v>33</v>
      </c>
      <c r="G1089">
        <v>7</v>
      </c>
      <c r="H1089" t="s">
        <v>34</v>
      </c>
      <c r="I1089" t="s">
        <v>74</v>
      </c>
      <c r="J1089" t="s">
        <v>36</v>
      </c>
      <c r="K1089" t="s">
        <v>50</v>
      </c>
      <c r="L1089">
        <v>55</v>
      </c>
      <c r="M1089" t="s">
        <v>38</v>
      </c>
      <c r="N1089" t="s">
        <v>56</v>
      </c>
      <c r="O1089" t="s">
        <v>69</v>
      </c>
      <c r="P1089" t="s">
        <v>38</v>
      </c>
      <c r="Q1089" t="s">
        <v>52</v>
      </c>
      <c r="R1089">
        <v>2308</v>
      </c>
      <c r="S1089">
        <v>4944</v>
      </c>
      <c r="T1089">
        <v>0</v>
      </c>
      <c r="U1089" t="s">
        <v>31</v>
      </c>
      <c r="V1089">
        <v>25</v>
      </c>
      <c r="W1089" t="s">
        <v>53</v>
      </c>
      <c r="X1089" t="s">
        <v>36</v>
      </c>
      <c r="Y1089">
        <v>1</v>
      </c>
      <c r="Z1089">
        <v>12</v>
      </c>
      <c r="AA1089">
        <v>4</v>
      </c>
      <c r="AB1089" t="s">
        <v>54</v>
      </c>
      <c r="AC1089">
        <v>11</v>
      </c>
      <c r="AD1089" t="str" cm="1">
        <f t="array" ref="AD1089">_xlfn.IFS(AC1089&lt;=5,"0-5",AC1089&lt;=10,"5-10",AC1089&lt;=40,"10-40")</f>
        <v>10-40</v>
      </c>
      <c r="AE1089">
        <v>10</v>
      </c>
      <c r="AF1089">
        <v>5</v>
      </c>
      <c r="AG1089">
        <v>7</v>
      </c>
      <c r="AH1089">
        <v>1088</v>
      </c>
    </row>
    <row r="1090" spans="1:34" x14ac:dyDescent="0.3">
      <c r="A1090">
        <v>42</v>
      </c>
      <c r="B1090" t="str" cm="1">
        <f t="array" ref="B1090">_xlfn.IFS(A1090&lt;=25,"18-25",A1090&lt;=35,"26-35",A1090&lt;=45,"36-45",A1090&lt;=55,"46-55",A1090&gt;55,"55+")</f>
        <v>36-45</v>
      </c>
      <c r="C1090">
        <v>0</v>
      </c>
      <c r="D1090" t="s">
        <v>32</v>
      </c>
      <c r="E1090">
        <v>1210</v>
      </c>
      <c r="F1090" t="s">
        <v>48</v>
      </c>
      <c r="G1090">
        <v>2</v>
      </c>
      <c r="H1090" t="s">
        <v>61</v>
      </c>
      <c r="I1090" t="s">
        <v>59</v>
      </c>
      <c r="J1090" t="s">
        <v>38</v>
      </c>
      <c r="K1090" t="s">
        <v>50</v>
      </c>
      <c r="L1090">
        <v>68</v>
      </c>
      <c r="M1090" t="s">
        <v>36</v>
      </c>
      <c r="N1090" t="s">
        <v>56</v>
      </c>
      <c r="O1090" t="s">
        <v>57</v>
      </c>
      <c r="P1090" t="s">
        <v>36</v>
      </c>
      <c r="Q1090" t="s">
        <v>52</v>
      </c>
      <c r="R1090">
        <v>4841</v>
      </c>
      <c r="S1090">
        <v>24052</v>
      </c>
      <c r="T1090">
        <v>4</v>
      </c>
      <c r="U1090" t="s">
        <v>46</v>
      </c>
      <c r="V1090">
        <v>14</v>
      </c>
      <c r="W1090" t="s">
        <v>43</v>
      </c>
      <c r="X1090" t="s">
        <v>36</v>
      </c>
      <c r="Y1090">
        <v>1</v>
      </c>
      <c r="Z1090">
        <v>4</v>
      </c>
      <c r="AA1090">
        <v>3</v>
      </c>
      <c r="AB1090" t="s">
        <v>54</v>
      </c>
      <c r="AC1090">
        <v>1</v>
      </c>
      <c r="AD1090" t="str" cm="1">
        <f t="array" ref="AD1090">_xlfn.IFS(AC1090&lt;=5,"0-5",AC1090&lt;=10,"5-10",AC1090&lt;=40,"10-40")</f>
        <v>0-5</v>
      </c>
      <c r="AE1090">
        <v>0</v>
      </c>
      <c r="AF1090">
        <v>0</v>
      </c>
      <c r="AG1090">
        <v>0</v>
      </c>
      <c r="AH1090">
        <v>1089</v>
      </c>
    </row>
    <row r="1091" spans="1:34" x14ac:dyDescent="0.3">
      <c r="A1091">
        <v>37</v>
      </c>
      <c r="B1091" t="str" cm="1">
        <f t="array" ref="B1091">_xlfn.IFS(A1091&lt;=25,"18-25",A1091&lt;=35,"26-35",A1091&lt;=45,"36-45",A1091&lt;=55,"46-55",A1091&gt;55,"55+")</f>
        <v>36-45</v>
      </c>
      <c r="C1091">
        <v>0</v>
      </c>
      <c r="D1091" t="s">
        <v>32</v>
      </c>
      <c r="E1091">
        <v>674</v>
      </c>
      <c r="F1091" t="s">
        <v>48</v>
      </c>
      <c r="G1091">
        <v>13</v>
      </c>
      <c r="H1091" t="s">
        <v>61</v>
      </c>
      <c r="I1091" t="s">
        <v>59</v>
      </c>
      <c r="J1091" t="s">
        <v>44</v>
      </c>
      <c r="K1091" t="s">
        <v>50</v>
      </c>
      <c r="L1091">
        <v>47</v>
      </c>
      <c r="M1091" t="s">
        <v>38</v>
      </c>
      <c r="N1091" t="s">
        <v>39</v>
      </c>
      <c r="O1091" t="s">
        <v>51</v>
      </c>
      <c r="P1091" t="s">
        <v>41</v>
      </c>
      <c r="Q1091" t="s">
        <v>52</v>
      </c>
      <c r="R1091">
        <v>4285</v>
      </c>
      <c r="S1091">
        <v>3031</v>
      </c>
      <c r="T1091">
        <v>1</v>
      </c>
      <c r="U1091" t="s">
        <v>46</v>
      </c>
      <c r="V1091">
        <v>17</v>
      </c>
      <c r="W1091" t="s">
        <v>43</v>
      </c>
      <c r="X1091" t="s">
        <v>44</v>
      </c>
      <c r="Y1091">
        <v>0</v>
      </c>
      <c r="Z1091">
        <v>10</v>
      </c>
      <c r="AA1091">
        <v>2</v>
      </c>
      <c r="AB1091" t="s">
        <v>54</v>
      </c>
      <c r="AC1091">
        <v>10</v>
      </c>
      <c r="AD1091" t="str" cm="1">
        <f t="array" ref="AD1091">_xlfn.IFS(AC1091&lt;=5,"0-5",AC1091&lt;=10,"5-10",AC1091&lt;=40,"10-40")</f>
        <v>5-10</v>
      </c>
      <c r="AE1091">
        <v>8</v>
      </c>
      <c r="AF1091">
        <v>3</v>
      </c>
      <c r="AG1091">
        <v>7</v>
      </c>
      <c r="AH1091">
        <v>1090</v>
      </c>
    </row>
    <row r="1092" spans="1:34" x14ac:dyDescent="0.3">
      <c r="A1092">
        <v>29</v>
      </c>
      <c r="B1092" t="str" cm="1">
        <f t="array" ref="B1092">_xlfn.IFS(A1092&lt;=25,"18-25",A1092&lt;=35,"26-35",A1092&lt;=45,"36-45",A1092&lt;=55,"46-55",A1092&gt;55,"55+")</f>
        <v>26-35</v>
      </c>
      <c r="C1092">
        <v>0</v>
      </c>
      <c r="D1092" t="s">
        <v>32</v>
      </c>
      <c r="E1092">
        <v>441</v>
      </c>
      <c r="F1092" t="s">
        <v>48</v>
      </c>
      <c r="G1092">
        <v>8</v>
      </c>
      <c r="H1092" t="s">
        <v>49</v>
      </c>
      <c r="I1092" t="s">
        <v>55</v>
      </c>
      <c r="J1092" t="s">
        <v>38</v>
      </c>
      <c r="K1092" t="s">
        <v>37</v>
      </c>
      <c r="L1092">
        <v>39</v>
      </c>
      <c r="M1092" t="s">
        <v>44</v>
      </c>
      <c r="N1092" t="s">
        <v>39</v>
      </c>
      <c r="O1092" t="s">
        <v>65</v>
      </c>
      <c r="P1092" t="s">
        <v>44</v>
      </c>
      <c r="Q1092" t="s">
        <v>52</v>
      </c>
      <c r="R1092">
        <v>9715</v>
      </c>
      <c r="S1092">
        <v>7288</v>
      </c>
      <c r="T1092">
        <v>3</v>
      </c>
      <c r="U1092" t="s">
        <v>46</v>
      </c>
      <c r="V1092">
        <v>13</v>
      </c>
      <c r="W1092" t="s">
        <v>43</v>
      </c>
      <c r="X1092" t="s">
        <v>38</v>
      </c>
      <c r="Y1092">
        <v>1</v>
      </c>
      <c r="Z1092">
        <v>9</v>
      </c>
      <c r="AA1092">
        <v>3</v>
      </c>
      <c r="AB1092" t="s">
        <v>54</v>
      </c>
      <c r="AC1092">
        <v>7</v>
      </c>
      <c r="AD1092" t="str" cm="1">
        <f t="array" ref="AD1092">_xlfn.IFS(AC1092&lt;=5,"0-5",AC1092&lt;=10,"5-10",AC1092&lt;=40,"10-40")</f>
        <v>5-10</v>
      </c>
      <c r="AE1092">
        <v>7</v>
      </c>
      <c r="AF1092">
        <v>0</v>
      </c>
      <c r="AG1092">
        <v>7</v>
      </c>
      <c r="AH1092">
        <v>1091</v>
      </c>
    </row>
    <row r="1093" spans="1:34" x14ac:dyDescent="0.3">
      <c r="A1093">
        <v>33</v>
      </c>
      <c r="B1093" t="str" cm="1">
        <f t="array" ref="B1093">_xlfn.IFS(A1093&lt;=25,"18-25",A1093&lt;=35,"26-35",A1093&lt;=45,"36-45",A1093&lt;=55,"46-55",A1093&gt;55,"55+")</f>
        <v>26-35</v>
      </c>
      <c r="C1093">
        <v>0</v>
      </c>
      <c r="D1093" t="s">
        <v>32</v>
      </c>
      <c r="E1093">
        <v>575</v>
      </c>
      <c r="F1093" t="s">
        <v>48</v>
      </c>
      <c r="G1093">
        <v>25</v>
      </c>
      <c r="H1093" t="s">
        <v>61</v>
      </c>
      <c r="I1093" t="s">
        <v>35</v>
      </c>
      <c r="J1093" t="s">
        <v>41</v>
      </c>
      <c r="K1093" t="s">
        <v>50</v>
      </c>
      <c r="L1093">
        <v>44</v>
      </c>
      <c r="M1093" t="s">
        <v>36</v>
      </c>
      <c r="N1093" t="s">
        <v>39</v>
      </c>
      <c r="O1093" t="s">
        <v>64</v>
      </c>
      <c r="P1093" t="s">
        <v>36</v>
      </c>
      <c r="Q1093" t="s">
        <v>42</v>
      </c>
      <c r="R1093">
        <v>4320</v>
      </c>
      <c r="S1093">
        <v>24152</v>
      </c>
      <c r="T1093">
        <v>1</v>
      </c>
      <c r="U1093" t="s">
        <v>46</v>
      </c>
      <c r="V1093">
        <v>13</v>
      </c>
      <c r="W1093" t="s">
        <v>43</v>
      </c>
      <c r="X1093" t="s">
        <v>41</v>
      </c>
      <c r="Y1093">
        <v>0</v>
      </c>
      <c r="Z1093">
        <v>5</v>
      </c>
      <c r="AA1093">
        <v>2</v>
      </c>
      <c r="AB1093" t="s">
        <v>54</v>
      </c>
      <c r="AC1093">
        <v>5</v>
      </c>
      <c r="AD1093" t="str" cm="1">
        <f t="array" ref="AD1093">_xlfn.IFS(AC1093&lt;=5,"0-5",AC1093&lt;=10,"5-10",AC1093&lt;=40,"10-40")</f>
        <v>0-5</v>
      </c>
      <c r="AE1093">
        <v>3</v>
      </c>
      <c r="AF1093">
        <v>0</v>
      </c>
      <c r="AG1093">
        <v>2</v>
      </c>
      <c r="AH1093">
        <v>1092</v>
      </c>
    </row>
    <row r="1094" spans="1:34" x14ac:dyDescent="0.3">
      <c r="A1094">
        <v>45</v>
      </c>
      <c r="B1094" t="str" cm="1">
        <f t="array" ref="B1094">_xlfn.IFS(A1094&lt;=25,"18-25",A1094&lt;=35,"26-35",A1094&lt;=45,"36-45",A1094&lt;=55,"46-55",A1094&gt;55,"55+")</f>
        <v>36-45</v>
      </c>
      <c r="C1094">
        <v>0</v>
      </c>
      <c r="D1094" t="s">
        <v>32</v>
      </c>
      <c r="E1094">
        <v>950</v>
      </c>
      <c r="F1094" t="s">
        <v>48</v>
      </c>
      <c r="G1094">
        <v>28</v>
      </c>
      <c r="H1094" t="s">
        <v>61</v>
      </c>
      <c r="I1094" t="s">
        <v>74</v>
      </c>
      <c r="J1094" t="s">
        <v>41</v>
      </c>
      <c r="K1094" t="s">
        <v>50</v>
      </c>
      <c r="L1094">
        <v>97</v>
      </c>
      <c r="M1094" t="s">
        <v>38</v>
      </c>
      <c r="N1094" t="s">
        <v>56</v>
      </c>
      <c r="O1094" t="s">
        <v>51</v>
      </c>
      <c r="P1094" t="s">
        <v>41</v>
      </c>
      <c r="Q1094" t="s">
        <v>52</v>
      </c>
      <c r="R1094">
        <v>2132</v>
      </c>
      <c r="S1094">
        <v>4585</v>
      </c>
      <c r="T1094">
        <v>4</v>
      </c>
      <c r="U1094" t="s">
        <v>46</v>
      </c>
      <c r="V1094">
        <v>20</v>
      </c>
      <c r="W1094" t="s">
        <v>53</v>
      </c>
      <c r="X1094" t="s">
        <v>41</v>
      </c>
      <c r="Y1094">
        <v>1</v>
      </c>
      <c r="Z1094">
        <v>8</v>
      </c>
      <c r="AA1094">
        <v>3</v>
      </c>
      <c r="AB1094" t="s">
        <v>54</v>
      </c>
      <c r="AC1094">
        <v>5</v>
      </c>
      <c r="AD1094" t="str" cm="1">
        <f t="array" ref="AD1094">_xlfn.IFS(AC1094&lt;=5,"0-5",AC1094&lt;=10,"5-10",AC1094&lt;=40,"10-40")</f>
        <v>0-5</v>
      </c>
      <c r="AE1094">
        <v>4</v>
      </c>
      <c r="AF1094">
        <v>0</v>
      </c>
      <c r="AG1094">
        <v>3</v>
      </c>
      <c r="AH1094">
        <v>1093</v>
      </c>
    </row>
    <row r="1095" spans="1:34" x14ac:dyDescent="0.3">
      <c r="A1095">
        <v>42</v>
      </c>
      <c r="B1095" t="str" cm="1">
        <f t="array" ref="B1095">_xlfn.IFS(A1095&lt;=25,"18-25",A1095&lt;=35,"26-35",A1095&lt;=45,"36-45",A1095&lt;=55,"46-55",A1095&gt;55,"55+")</f>
        <v>36-45</v>
      </c>
      <c r="C1095">
        <v>0</v>
      </c>
      <c r="D1095" t="s">
        <v>47</v>
      </c>
      <c r="E1095">
        <v>288</v>
      </c>
      <c r="F1095" t="s">
        <v>48</v>
      </c>
      <c r="G1095">
        <v>2</v>
      </c>
      <c r="H1095" t="s">
        <v>61</v>
      </c>
      <c r="I1095" t="s">
        <v>35</v>
      </c>
      <c r="J1095" t="s">
        <v>41</v>
      </c>
      <c r="K1095" t="s">
        <v>50</v>
      </c>
      <c r="L1095">
        <v>40</v>
      </c>
      <c r="M1095" t="s">
        <v>38</v>
      </c>
      <c r="N1095" t="s">
        <v>63</v>
      </c>
      <c r="O1095" t="s">
        <v>65</v>
      </c>
      <c r="P1095" t="s">
        <v>41</v>
      </c>
      <c r="Q1095" t="s">
        <v>52</v>
      </c>
      <c r="R1095">
        <v>10124</v>
      </c>
      <c r="S1095">
        <v>18611</v>
      </c>
      <c r="T1095">
        <v>2</v>
      </c>
      <c r="U1095" t="s">
        <v>31</v>
      </c>
      <c r="V1095">
        <v>14</v>
      </c>
      <c r="W1095" t="s">
        <v>43</v>
      </c>
      <c r="X1095" t="s">
        <v>38</v>
      </c>
      <c r="Y1095">
        <v>1</v>
      </c>
      <c r="Z1095">
        <v>24</v>
      </c>
      <c r="AA1095">
        <v>3</v>
      </c>
      <c r="AB1095" t="s">
        <v>45</v>
      </c>
      <c r="AC1095">
        <v>20</v>
      </c>
      <c r="AD1095" t="str" cm="1">
        <f t="array" ref="AD1095">_xlfn.IFS(AC1095&lt;=5,"0-5",AC1095&lt;=10,"5-10",AC1095&lt;=40,"10-40")</f>
        <v>10-40</v>
      </c>
      <c r="AE1095">
        <v>8</v>
      </c>
      <c r="AF1095">
        <v>13</v>
      </c>
      <c r="AG1095">
        <v>9</v>
      </c>
      <c r="AH1095">
        <v>1094</v>
      </c>
    </row>
    <row r="1096" spans="1:34" x14ac:dyDescent="0.3">
      <c r="A1096">
        <v>40</v>
      </c>
      <c r="B1096" t="str" cm="1">
        <f t="array" ref="B1096">_xlfn.IFS(A1096&lt;=25,"18-25",A1096&lt;=35,"26-35",A1096&lt;=45,"36-45",A1096&lt;=55,"46-55",A1096&gt;55,"55+")</f>
        <v>36-45</v>
      </c>
      <c r="C1096">
        <v>0</v>
      </c>
      <c r="D1096" t="s">
        <v>32</v>
      </c>
      <c r="E1096">
        <v>1342</v>
      </c>
      <c r="F1096" t="s">
        <v>33</v>
      </c>
      <c r="G1096">
        <v>9</v>
      </c>
      <c r="H1096" t="s">
        <v>34</v>
      </c>
      <c r="I1096" t="s">
        <v>59</v>
      </c>
      <c r="J1096" t="s">
        <v>44</v>
      </c>
      <c r="K1096" t="s">
        <v>50</v>
      </c>
      <c r="L1096">
        <v>47</v>
      </c>
      <c r="M1096" t="s">
        <v>38</v>
      </c>
      <c r="N1096" t="s">
        <v>39</v>
      </c>
      <c r="O1096" t="s">
        <v>40</v>
      </c>
      <c r="P1096" t="s">
        <v>44</v>
      </c>
      <c r="Q1096" t="s">
        <v>52</v>
      </c>
      <c r="R1096">
        <v>5473</v>
      </c>
      <c r="S1096">
        <v>19345</v>
      </c>
      <c r="T1096">
        <v>0</v>
      </c>
      <c r="U1096" t="s">
        <v>46</v>
      </c>
      <c r="V1096">
        <v>12</v>
      </c>
      <c r="W1096" t="s">
        <v>43</v>
      </c>
      <c r="X1096" t="s">
        <v>41</v>
      </c>
      <c r="Y1096">
        <v>0</v>
      </c>
      <c r="Z1096">
        <v>9</v>
      </c>
      <c r="AA1096">
        <v>5</v>
      </c>
      <c r="AB1096" t="s">
        <v>73</v>
      </c>
      <c r="AC1096">
        <v>8</v>
      </c>
      <c r="AD1096" t="str" cm="1">
        <f t="array" ref="AD1096">_xlfn.IFS(AC1096&lt;=5,"0-5",AC1096&lt;=10,"5-10",AC1096&lt;=40,"10-40")</f>
        <v>5-10</v>
      </c>
      <c r="AE1096">
        <v>4</v>
      </c>
      <c r="AF1096">
        <v>7</v>
      </c>
      <c r="AG1096">
        <v>1</v>
      </c>
      <c r="AH1096">
        <v>1095</v>
      </c>
    </row>
    <row r="1097" spans="1:34" x14ac:dyDescent="0.3">
      <c r="A1097">
        <v>33</v>
      </c>
      <c r="B1097" t="str" cm="1">
        <f t="array" ref="B1097">_xlfn.IFS(A1097&lt;=25,"18-25",A1097&lt;=35,"26-35",A1097&lt;=45,"36-45",A1097&lt;=55,"46-55",A1097&gt;55,"55+")</f>
        <v>26-35</v>
      </c>
      <c r="C1097">
        <v>0</v>
      </c>
      <c r="D1097" t="s">
        <v>32</v>
      </c>
      <c r="E1097">
        <v>589</v>
      </c>
      <c r="F1097" t="s">
        <v>48</v>
      </c>
      <c r="G1097">
        <v>28</v>
      </c>
      <c r="H1097" t="s">
        <v>58</v>
      </c>
      <c r="I1097" t="s">
        <v>35</v>
      </c>
      <c r="J1097" t="s">
        <v>36</v>
      </c>
      <c r="K1097" t="s">
        <v>50</v>
      </c>
      <c r="L1097">
        <v>79</v>
      </c>
      <c r="M1097" t="s">
        <v>38</v>
      </c>
      <c r="N1097" t="s">
        <v>39</v>
      </c>
      <c r="O1097" t="s">
        <v>57</v>
      </c>
      <c r="P1097" t="s">
        <v>38</v>
      </c>
      <c r="Q1097" t="s">
        <v>52</v>
      </c>
      <c r="R1097">
        <v>5207</v>
      </c>
      <c r="S1097">
        <v>22949</v>
      </c>
      <c r="T1097">
        <v>1</v>
      </c>
      <c r="U1097" t="s">
        <v>31</v>
      </c>
      <c r="V1097">
        <v>12</v>
      </c>
      <c r="W1097" t="s">
        <v>43</v>
      </c>
      <c r="X1097" t="s">
        <v>36</v>
      </c>
      <c r="Y1097">
        <v>1</v>
      </c>
      <c r="Z1097">
        <v>15</v>
      </c>
      <c r="AA1097">
        <v>3</v>
      </c>
      <c r="AB1097" t="s">
        <v>54</v>
      </c>
      <c r="AC1097">
        <v>15</v>
      </c>
      <c r="AD1097" t="str" cm="1">
        <f t="array" ref="AD1097">_xlfn.IFS(AC1097&lt;=5,"0-5",AC1097&lt;=10,"5-10",AC1097&lt;=40,"10-40")</f>
        <v>10-40</v>
      </c>
      <c r="AE1097">
        <v>14</v>
      </c>
      <c r="AF1097">
        <v>5</v>
      </c>
      <c r="AG1097">
        <v>7</v>
      </c>
      <c r="AH1097">
        <v>1096</v>
      </c>
    </row>
    <row r="1098" spans="1:34" x14ac:dyDescent="0.3">
      <c r="A1098">
        <v>40</v>
      </c>
      <c r="B1098" t="str" cm="1">
        <f t="array" ref="B1098">_xlfn.IFS(A1098&lt;=25,"18-25",A1098&lt;=35,"26-35",A1098&lt;=45,"36-45",A1098&lt;=55,"46-55",A1098&gt;55,"55+")</f>
        <v>36-45</v>
      </c>
      <c r="C1098">
        <v>0</v>
      </c>
      <c r="D1098" t="s">
        <v>32</v>
      </c>
      <c r="E1098">
        <v>898</v>
      </c>
      <c r="F1098" t="s">
        <v>76</v>
      </c>
      <c r="G1098">
        <v>6</v>
      </c>
      <c r="H1098" t="s">
        <v>34</v>
      </c>
      <c r="I1098" t="s">
        <v>59</v>
      </c>
      <c r="J1098" t="s">
        <v>38</v>
      </c>
      <c r="K1098" t="s">
        <v>50</v>
      </c>
      <c r="L1098">
        <v>38</v>
      </c>
      <c r="M1098" t="s">
        <v>38</v>
      </c>
      <c r="N1098" t="s">
        <v>67</v>
      </c>
      <c r="O1098" t="s">
        <v>68</v>
      </c>
      <c r="P1098" t="s">
        <v>41</v>
      </c>
      <c r="Q1098" t="s">
        <v>42</v>
      </c>
      <c r="R1098">
        <v>16437</v>
      </c>
      <c r="S1098">
        <v>17381</v>
      </c>
      <c r="T1098">
        <v>1</v>
      </c>
      <c r="U1098" t="s">
        <v>31</v>
      </c>
      <c r="V1098">
        <v>21</v>
      </c>
      <c r="W1098" t="s">
        <v>53</v>
      </c>
      <c r="X1098" t="s">
        <v>41</v>
      </c>
      <c r="Y1098">
        <v>0</v>
      </c>
      <c r="Z1098">
        <v>21</v>
      </c>
      <c r="AA1098">
        <v>2</v>
      </c>
      <c r="AB1098" t="s">
        <v>54</v>
      </c>
      <c r="AC1098">
        <v>21</v>
      </c>
      <c r="AD1098" t="str" cm="1">
        <f t="array" ref="AD1098">_xlfn.IFS(AC1098&lt;=5,"0-5",AC1098&lt;=10,"5-10",AC1098&lt;=40,"10-40")</f>
        <v>10-40</v>
      </c>
      <c r="AE1098">
        <v>7</v>
      </c>
      <c r="AF1098">
        <v>7</v>
      </c>
      <c r="AG1098">
        <v>7</v>
      </c>
      <c r="AH1098">
        <v>1097</v>
      </c>
    </row>
    <row r="1099" spans="1:34" x14ac:dyDescent="0.3">
      <c r="A1099">
        <v>24</v>
      </c>
      <c r="B1099" t="str" cm="1">
        <f t="array" ref="B1099">_xlfn.IFS(A1099&lt;=25,"18-25",A1099&lt;=35,"26-35",A1099&lt;=45,"36-45",A1099&lt;=55,"46-55",A1099&gt;55,"55+")</f>
        <v>18-25</v>
      </c>
      <c r="C1099">
        <v>0</v>
      </c>
      <c r="D1099" t="s">
        <v>32</v>
      </c>
      <c r="E1099">
        <v>350</v>
      </c>
      <c r="F1099" t="s">
        <v>48</v>
      </c>
      <c r="G1099">
        <v>21</v>
      </c>
      <c r="H1099" t="s">
        <v>34</v>
      </c>
      <c r="I1099" t="s">
        <v>74</v>
      </c>
      <c r="J1099" t="s">
        <v>38</v>
      </c>
      <c r="K1099" t="s">
        <v>50</v>
      </c>
      <c r="L1099">
        <v>57</v>
      </c>
      <c r="M1099" t="s">
        <v>36</v>
      </c>
      <c r="N1099" t="s">
        <v>56</v>
      </c>
      <c r="O1099" t="s">
        <v>57</v>
      </c>
      <c r="P1099" t="s">
        <v>44</v>
      </c>
      <c r="Q1099" t="s">
        <v>62</v>
      </c>
      <c r="R1099">
        <v>2296</v>
      </c>
      <c r="S1099">
        <v>10036</v>
      </c>
      <c r="T1099">
        <v>0</v>
      </c>
      <c r="U1099" t="s">
        <v>46</v>
      </c>
      <c r="V1099">
        <v>14</v>
      </c>
      <c r="W1099" t="s">
        <v>43</v>
      </c>
      <c r="X1099" t="s">
        <v>36</v>
      </c>
      <c r="Y1099">
        <v>3</v>
      </c>
      <c r="Z1099">
        <v>2</v>
      </c>
      <c r="AA1099">
        <v>3</v>
      </c>
      <c r="AB1099" t="s">
        <v>54</v>
      </c>
      <c r="AC1099">
        <v>1</v>
      </c>
      <c r="AD1099" t="str" cm="1">
        <f t="array" ref="AD1099">_xlfn.IFS(AC1099&lt;=5,"0-5",AC1099&lt;=10,"5-10",AC1099&lt;=40,"10-40")</f>
        <v>0-5</v>
      </c>
      <c r="AE1099">
        <v>1</v>
      </c>
      <c r="AF1099">
        <v>0</v>
      </c>
      <c r="AG1099">
        <v>0</v>
      </c>
      <c r="AH1099">
        <v>1098</v>
      </c>
    </row>
    <row r="1100" spans="1:34" x14ac:dyDescent="0.3">
      <c r="A1100">
        <v>40</v>
      </c>
      <c r="B1100" t="str" cm="1">
        <f t="array" ref="B1100">_xlfn.IFS(A1100&lt;=25,"18-25",A1100&lt;=35,"26-35",A1100&lt;=45,"36-45",A1100&lt;=55,"46-55",A1100&gt;55,"55+")</f>
        <v>36-45</v>
      </c>
      <c r="C1100">
        <v>0</v>
      </c>
      <c r="D1100" t="s">
        <v>66</v>
      </c>
      <c r="E1100">
        <v>1142</v>
      </c>
      <c r="F1100" t="s">
        <v>48</v>
      </c>
      <c r="G1100">
        <v>8</v>
      </c>
      <c r="H1100" t="s">
        <v>34</v>
      </c>
      <c r="I1100" t="s">
        <v>35</v>
      </c>
      <c r="J1100" t="s">
        <v>41</v>
      </c>
      <c r="K1100" t="s">
        <v>50</v>
      </c>
      <c r="L1100">
        <v>72</v>
      </c>
      <c r="M1100" t="s">
        <v>38</v>
      </c>
      <c r="N1100" t="s">
        <v>39</v>
      </c>
      <c r="O1100" t="s">
        <v>65</v>
      </c>
      <c r="P1100" t="s">
        <v>41</v>
      </c>
      <c r="Q1100" t="s">
        <v>62</v>
      </c>
      <c r="R1100">
        <v>4069</v>
      </c>
      <c r="S1100">
        <v>8841</v>
      </c>
      <c r="T1100">
        <v>3</v>
      </c>
      <c r="U1100" t="s">
        <v>31</v>
      </c>
      <c r="V1100">
        <v>18</v>
      </c>
      <c r="W1100" t="s">
        <v>43</v>
      </c>
      <c r="X1100" t="s">
        <v>38</v>
      </c>
      <c r="Y1100">
        <v>0</v>
      </c>
      <c r="Z1100">
        <v>8</v>
      </c>
      <c r="AA1100">
        <v>2</v>
      </c>
      <c r="AB1100" t="s">
        <v>54</v>
      </c>
      <c r="AC1100">
        <v>2</v>
      </c>
      <c r="AD1100" t="str" cm="1">
        <f t="array" ref="AD1100">_xlfn.IFS(AC1100&lt;=5,"0-5",AC1100&lt;=10,"5-10",AC1100&lt;=40,"10-40")</f>
        <v>0-5</v>
      </c>
      <c r="AE1100">
        <v>2</v>
      </c>
      <c r="AF1100">
        <v>2</v>
      </c>
      <c r="AG1100">
        <v>2</v>
      </c>
      <c r="AH1100">
        <v>1099</v>
      </c>
    </row>
    <row r="1101" spans="1:34" x14ac:dyDescent="0.3">
      <c r="A1101">
        <v>45</v>
      </c>
      <c r="B1101" t="str" cm="1">
        <f t="array" ref="B1101">_xlfn.IFS(A1101&lt;=25,"18-25",A1101&lt;=35,"26-35",A1101&lt;=45,"36-45",A1101&lt;=55,"46-55",A1101&gt;55,"55+")</f>
        <v>36-45</v>
      </c>
      <c r="C1101">
        <v>0</v>
      </c>
      <c r="D1101" t="s">
        <v>32</v>
      </c>
      <c r="E1101">
        <v>538</v>
      </c>
      <c r="F1101" t="s">
        <v>48</v>
      </c>
      <c r="G1101">
        <v>1</v>
      </c>
      <c r="H1101" t="s">
        <v>58</v>
      </c>
      <c r="I1101" t="s">
        <v>74</v>
      </c>
      <c r="J1101" t="s">
        <v>44</v>
      </c>
      <c r="K1101" t="s">
        <v>50</v>
      </c>
      <c r="L1101">
        <v>66</v>
      </c>
      <c r="M1101" t="s">
        <v>38</v>
      </c>
      <c r="N1101" t="s">
        <v>63</v>
      </c>
      <c r="O1101" t="s">
        <v>65</v>
      </c>
      <c r="P1101" t="s">
        <v>36</v>
      </c>
      <c r="Q1101" t="s">
        <v>62</v>
      </c>
      <c r="R1101">
        <v>7441</v>
      </c>
      <c r="S1101">
        <v>20933</v>
      </c>
      <c r="T1101">
        <v>1</v>
      </c>
      <c r="U1101" t="s">
        <v>46</v>
      </c>
      <c r="V1101">
        <v>12</v>
      </c>
      <c r="W1101" t="s">
        <v>43</v>
      </c>
      <c r="X1101" t="s">
        <v>44</v>
      </c>
      <c r="Y1101">
        <v>3</v>
      </c>
      <c r="Z1101">
        <v>10</v>
      </c>
      <c r="AA1101">
        <v>4</v>
      </c>
      <c r="AB1101" t="s">
        <v>54</v>
      </c>
      <c r="AC1101">
        <v>10</v>
      </c>
      <c r="AD1101" t="str" cm="1">
        <f t="array" ref="AD1101">_xlfn.IFS(AC1101&lt;=5,"0-5",AC1101&lt;=10,"5-10",AC1101&lt;=40,"10-40")</f>
        <v>5-10</v>
      </c>
      <c r="AE1101">
        <v>8</v>
      </c>
      <c r="AF1101">
        <v>7</v>
      </c>
      <c r="AG1101">
        <v>7</v>
      </c>
      <c r="AH1101">
        <v>1100</v>
      </c>
    </row>
    <row r="1102" spans="1:34" x14ac:dyDescent="0.3">
      <c r="A1102">
        <v>35</v>
      </c>
      <c r="B1102" t="str" cm="1">
        <f t="array" ref="B1102">_xlfn.IFS(A1102&lt;=25,"18-25",A1102&lt;=35,"26-35",A1102&lt;=45,"36-45",A1102&lt;=55,"46-55",A1102&gt;55,"55+")</f>
        <v>26-35</v>
      </c>
      <c r="C1102">
        <v>0</v>
      </c>
      <c r="D1102" t="s">
        <v>32</v>
      </c>
      <c r="E1102">
        <v>1402</v>
      </c>
      <c r="F1102" t="s">
        <v>33</v>
      </c>
      <c r="G1102">
        <v>28</v>
      </c>
      <c r="H1102" t="s">
        <v>58</v>
      </c>
      <c r="I1102" t="s">
        <v>35</v>
      </c>
      <c r="J1102" t="s">
        <v>36</v>
      </c>
      <c r="K1102" t="s">
        <v>37</v>
      </c>
      <c r="L1102">
        <v>98</v>
      </c>
      <c r="M1102" t="s">
        <v>36</v>
      </c>
      <c r="N1102" t="s">
        <v>56</v>
      </c>
      <c r="O1102" t="s">
        <v>69</v>
      </c>
      <c r="P1102" t="s">
        <v>38</v>
      </c>
      <c r="Q1102" t="s">
        <v>52</v>
      </c>
      <c r="R1102">
        <v>2430</v>
      </c>
      <c r="S1102">
        <v>26204</v>
      </c>
      <c r="T1102">
        <v>0</v>
      </c>
      <c r="U1102" t="s">
        <v>46</v>
      </c>
      <c r="V1102">
        <v>23</v>
      </c>
      <c r="W1102" t="s">
        <v>53</v>
      </c>
      <c r="X1102" t="s">
        <v>44</v>
      </c>
      <c r="Y1102">
        <v>2</v>
      </c>
      <c r="Z1102">
        <v>6</v>
      </c>
      <c r="AA1102">
        <v>5</v>
      </c>
      <c r="AB1102" t="s">
        <v>54</v>
      </c>
      <c r="AC1102">
        <v>5</v>
      </c>
      <c r="AD1102" t="str" cm="1">
        <f t="array" ref="AD1102">_xlfn.IFS(AC1102&lt;=5,"0-5",AC1102&lt;=10,"5-10",AC1102&lt;=40,"10-40")</f>
        <v>0-5</v>
      </c>
      <c r="AE1102">
        <v>3</v>
      </c>
      <c r="AF1102">
        <v>4</v>
      </c>
      <c r="AG1102">
        <v>2</v>
      </c>
      <c r="AH1102">
        <v>1101</v>
      </c>
    </row>
    <row r="1103" spans="1:34" x14ac:dyDescent="0.3">
      <c r="A1103">
        <v>32</v>
      </c>
      <c r="B1103" t="str" cm="1">
        <f t="array" ref="B1103">_xlfn.IFS(A1103&lt;=25,"18-25",A1103&lt;=35,"26-35",A1103&lt;=45,"36-45",A1103&lt;=55,"46-55",A1103&gt;55,"55+")</f>
        <v>26-35</v>
      </c>
      <c r="C1103">
        <v>0</v>
      </c>
      <c r="D1103" t="s">
        <v>32</v>
      </c>
      <c r="E1103">
        <v>824</v>
      </c>
      <c r="F1103" t="s">
        <v>48</v>
      </c>
      <c r="G1103">
        <v>5</v>
      </c>
      <c r="H1103" t="s">
        <v>34</v>
      </c>
      <c r="I1103" t="s">
        <v>35</v>
      </c>
      <c r="J1103" t="s">
        <v>41</v>
      </c>
      <c r="K1103" t="s">
        <v>37</v>
      </c>
      <c r="L1103">
        <v>67</v>
      </c>
      <c r="M1103" t="s">
        <v>36</v>
      </c>
      <c r="N1103" t="s">
        <v>39</v>
      </c>
      <c r="O1103" t="s">
        <v>51</v>
      </c>
      <c r="P1103" t="s">
        <v>36</v>
      </c>
      <c r="Q1103" t="s">
        <v>52</v>
      </c>
      <c r="R1103">
        <v>5878</v>
      </c>
      <c r="S1103">
        <v>15624</v>
      </c>
      <c r="T1103">
        <v>3</v>
      </c>
      <c r="U1103" t="s">
        <v>46</v>
      </c>
      <c r="V1103">
        <v>12</v>
      </c>
      <c r="W1103" t="s">
        <v>43</v>
      </c>
      <c r="X1103" t="s">
        <v>44</v>
      </c>
      <c r="Y1103">
        <v>1</v>
      </c>
      <c r="Z1103">
        <v>12</v>
      </c>
      <c r="AA1103">
        <v>2</v>
      </c>
      <c r="AB1103" t="s">
        <v>54</v>
      </c>
      <c r="AC1103">
        <v>7</v>
      </c>
      <c r="AD1103" t="str" cm="1">
        <f t="array" ref="AD1103">_xlfn.IFS(AC1103&lt;=5,"0-5",AC1103&lt;=10,"5-10",AC1103&lt;=40,"10-40")</f>
        <v>5-10</v>
      </c>
      <c r="AE1103">
        <v>1</v>
      </c>
      <c r="AF1103">
        <v>2</v>
      </c>
      <c r="AG1103">
        <v>5</v>
      </c>
      <c r="AH1103">
        <v>1102</v>
      </c>
    </row>
    <row r="1104" spans="1:34" x14ac:dyDescent="0.3">
      <c r="A1104">
        <v>36</v>
      </c>
      <c r="B1104" t="str" cm="1">
        <f t="array" ref="B1104">_xlfn.IFS(A1104&lt;=25,"18-25",A1104&lt;=35,"26-35",A1104&lt;=45,"36-45",A1104&lt;=55,"46-55",A1104&gt;55,"55+")</f>
        <v>36-45</v>
      </c>
      <c r="C1104">
        <v>0</v>
      </c>
      <c r="D1104" t="s">
        <v>32</v>
      </c>
      <c r="E1104">
        <v>1157</v>
      </c>
      <c r="F1104" t="s">
        <v>33</v>
      </c>
      <c r="G1104">
        <v>2</v>
      </c>
      <c r="H1104" t="s">
        <v>58</v>
      </c>
      <c r="I1104" t="s">
        <v>35</v>
      </c>
      <c r="J1104" t="s">
        <v>38</v>
      </c>
      <c r="K1104" t="s">
        <v>50</v>
      </c>
      <c r="L1104">
        <v>70</v>
      </c>
      <c r="M1104" t="s">
        <v>38</v>
      </c>
      <c r="N1104" t="s">
        <v>56</v>
      </c>
      <c r="O1104" t="s">
        <v>69</v>
      </c>
      <c r="P1104" t="s">
        <v>41</v>
      </c>
      <c r="Q1104" t="s">
        <v>42</v>
      </c>
      <c r="R1104">
        <v>2644</v>
      </c>
      <c r="S1104">
        <v>17001</v>
      </c>
      <c r="T1104">
        <v>3</v>
      </c>
      <c r="U1104" t="s">
        <v>31</v>
      </c>
      <c r="V1104">
        <v>21</v>
      </c>
      <c r="W1104" t="s">
        <v>53</v>
      </c>
      <c r="X1104" t="s">
        <v>41</v>
      </c>
      <c r="Y1104">
        <v>0</v>
      </c>
      <c r="Z1104">
        <v>7</v>
      </c>
      <c r="AA1104">
        <v>3</v>
      </c>
      <c r="AB1104" t="s">
        <v>60</v>
      </c>
      <c r="AC1104">
        <v>3</v>
      </c>
      <c r="AD1104" t="str" cm="1">
        <f t="array" ref="AD1104">_xlfn.IFS(AC1104&lt;=5,"0-5",AC1104&lt;=10,"5-10",AC1104&lt;=40,"10-40")</f>
        <v>0-5</v>
      </c>
      <c r="AE1104">
        <v>2</v>
      </c>
      <c r="AF1104">
        <v>1</v>
      </c>
      <c r="AG1104">
        <v>2</v>
      </c>
      <c r="AH1104">
        <v>1103</v>
      </c>
    </row>
    <row r="1105" spans="1:34" x14ac:dyDescent="0.3">
      <c r="A1105">
        <v>48</v>
      </c>
      <c r="B1105" t="str" cm="1">
        <f t="array" ref="B1105">_xlfn.IFS(A1105&lt;=25,"18-25",A1105&lt;=35,"26-35",A1105&lt;=45,"36-45",A1105&lt;=55,"46-55",A1105&gt;55,"55+")</f>
        <v>46-55</v>
      </c>
      <c r="C1105">
        <v>0</v>
      </c>
      <c r="D1105" t="s">
        <v>32</v>
      </c>
      <c r="E1105">
        <v>492</v>
      </c>
      <c r="F1105" t="s">
        <v>33</v>
      </c>
      <c r="G1105">
        <v>16</v>
      </c>
      <c r="H1105" t="s">
        <v>58</v>
      </c>
      <c r="I1105" t="s">
        <v>35</v>
      </c>
      <c r="J1105" t="s">
        <v>38</v>
      </c>
      <c r="K1105" t="s">
        <v>37</v>
      </c>
      <c r="L1105">
        <v>96</v>
      </c>
      <c r="M1105" t="s">
        <v>38</v>
      </c>
      <c r="N1105" t="s">
        <v>39</v>
      </c>
      <c r="O1105" t="s">
        <v>40</v>
      </c>
      <c r="P1105" t="s">
        <v>38</v>
      </c>
      <c r="Q1105" t="s">
        <v>62</v>
      </c>
      <c r="R1105">
        <v>6439</v>
      </c>
      <c r="S1105">
        <v>13693</v>
      </c>
      <c r="T1105">
        <v>8</v>
      </c>
      <c r="U1105" t="s">
        <v>46</v>
      </c>
      <c r="V1105">
        <v>14</v>
      </c>
      <c r="W1105" t="s">
        <v>43</v>
      </c>
      <c r="X1105" t="s">
        <v>38</v>
      </c>
      <c r="Y1105">
        <v>1</v>
      </c>
      <c r="Z1105">
        <v>18</v>
      </c>
      <c r="AA1105">
        <v>2</v>
      </c>
      <c r="AB1105" t="s">
        <v>54</v>
      </c>
      <c r="AC1105">
        <v>8</v>
      </c>
      <c r="AD1105" t="str" cm="1">
        <f t="array" ref="AD1105">_xlfn.IFS(AC1105&lt;=5,"0-5",AC1105&lt;=10,"5-10",AC1105&lt;=40,"10-40")</f>
        <v>5-10</v>
      </c>
      <c r="AE1105">
        <v>7</v>
      </c>
      <c r="AF1105">
        <v>7</v>
      </c>
      <c r="AG1105">
        <v>7</v>
      </c>
      <c r="AH1105">
        <v>1104</v>
      </c>
    </row>
    <row r="1106" spans="1:34" x14ac:dyDescent="0.3">
      <c r="A1106">
        <v>29</v>
      </c>
      <c r="B1106" t="str" cm="1">
        <f t="array" ref="B1106">_xlfn.IFS(A1106&lt;=25,"18-25",A1106&lt;=35,"26-35",A1106&lt;=45,"36-45",A1106&lt;=55,"46-55",A1106&gt;55,"55+")</f>
        <v>26-35</v>
      </c>
      <c r="C1106">
        <v>0</v>
      </c>
      <c r="D1106" t="s">
        <v>32</v>
      </c>
      <c r="E1106">
        <v>598</v>
      </c>
      <c r="F1106" t="s">
        <v>48</v>
      </c>
      <c r="G1106">
        <v>9</v>
      </c>
      <c r="H1106" t="s">
        <v>61</v>
      </c>
      <c r="I1106" t="s">
        <v>35</v>
      </c>
      <c r="J1106" t="s">
        <v>38</v>
      </c>
      <c r="K1106" t="s">
        <v>50</v>
      </c>
      <c r="L1106">
        <v>91</v>
      </c>
      <c r="M1106" t="s">
        <v>41</v>
      </c>
      <c r="N1106" t="s">
        <v>56</v>
      </c>
      <c r="O1106" t="s">
        <v>51</v>
      </c>
      <c r="P1106" t="s">
        <v>38</v>
      </c>
      <c r="Q1106" t="s">
        <v>52</v>
      </c>
      <c r="R1106">
        <v>2451</v>
      </c>
      <c r="S1106">
        <v>22376</v>
      </c>
      <c r="T1106">
        <v>6</v>
      </c>
      <c r="U1106" t="s">
        <v>46</v>
      </c>
      <c r="V1106">
        <v>18</v>
      </c>
      <c r="W1106" t="s">
        <v>43</v>
      </c>
      <c r="X1106" t="s">
        <v>44</v>
      </c>
      <c r="Y1106">
        <v>2</v>
      </c>
      <c r="Z1106">
        <v>5</v>
      </c>
      <c r="AA1106">
        <v>2</v>
      </c>
      <c r="AB1106" t="s">
        <v>60</v>
      </c>
      <c r="AC1106">
        <v>1</v>
      </c>
      <c r="AD1106" t="str" cm="1">
        <f t="array" ref="AD1106">_xlfn.IFS(AC1106&lt;=5,"0-5",AC1106&lt;=10,"5-10",AC1106&lt;=40,"10-40")</f>
        <v>0-5</v>
      </c>
      <c r="AE1106">
        <v>0</v>
      </c>
      <c r="AF1106">
        <v>0</v>
      </c>
      <c r="AG1106">
        <v>0</v>
      </c>
      <c r="AH1106">
        <v>1105</v>
      </c>
    </row>
    <row r="1107" spans="1:34" x14ac:dyDescent="0.3">
      <c r="A1107">
        <v>33</v>
      </c>
      <c r="B1107" t="str" cm="1">
        <f t="array" ref="B1107">_xlfn.IFS(A1107&lt;=25,"18-25",A1107&lt;=35,"26-35",A1107&lt;=45,"36-45",A1107&lt;=55,"46-55",A1107&gt;55,"55+")</f>
        <v>26-35</v>
      </c>
      <c r="C1107">
        <v>0</v>
      </c>
      <c r="D1107" t="s">
        <v>32</v>
      </c>
      <c r="E1107">
        <v>1242</v>
      </c>
      <c r="F1107" t="s">
        <v>33</v>
      </c>
      <c r="G1107">
        <v>8</v>
      </c>
      <c r="H1107" t="s">
        <v>58</v>
      </c>
      <c r="I1107" t="s">
        <v>35</v>
      </c>
      <c r="J1107" t="s">
        <v>44</v>
      </c>
      <c r="K1107" t="s">
        <v>50</v>
      </c>
      <c r="L1107">
        <v>46</v>
      </c>
      <c r="M1107" t="s">
        <v>38</v>
      </c>
      <c r="N1107" t="s">
        <v>39</v>
      </c>
      <c r="O1107" t="s">
        <v>40</v>
      </c>
      <c r="P1107" t="s">
        <v>44</v>
      </c>
      <c r="Q1107" t="s">
        <v>52</v>
      </c>
      <c r="R1107">
        <v>6392</v>
      </c>
      <c r="S1107">
        <v>10589</v>
      </c>
      <c r="T1107">
        <v>2</v>
      </c>
      <c r="U1107" t="s">
        <v>46</v>
      </c>
      <c r="V1107">
        <v>13</v>
      </c>
      <c r="W1107" t="s">
        <v>43</v>
      </c>
      <c r="X1107" t="s">
        <v>41</v>
      </c>
      <c r="Y1107">
        <v>1</v>
      </c>
      <c r="Z1107">
        <v>8</v>
      </c>
      <c r="AA1107">
        <v>6</v>
      </c>
      <c r="AB1107" t="s">
        <v>45</v>
      </c>
      <c r="AC1107">
        <v>2</v>
      </c>
      <c r="AD1107" t="str" cm="1">
        <f t="array" ref="AD1107">_xlfn.IFS(AC1107&lt;=5,"0-5",AC1107&lt;=10,"5-10",AC1107&lt;=40,"10-40")</f>
        <v>0-5</v>
      </c>
      <c r="AE1107">
        <v>2</v>
      </c>
      <c r="AF1107">
        <v>2</v>
      </c>
      <c r="AG1107">
        <v>2</v>
      </c>
      <c r="AH1107">
        <v>1106</v>
      </c>
    </row>
    <row r="1108" spans="1:34" x14ac:dyDescent="0.3">
      <c r="A1108">
        <v>30</v>
      </c>
      <c r="B1108" t="str" cm="1">
        <f t="array" ref="B1108">_xlfn.IFS(A1108&lt;=25,"18-25",A1108&lt;=35,"26-35",A1108&lt;=45,"36-45",A1108&lt;=55,"46-55",A1108&gt;55,"55+")</f>
        <v>26-35</v>
      </c>
      <c r="C1108">
        <v>1</v>
      </c>
      <c r="D1108" t="s">
        <v>32</v>
      </c>
      <c r="E1108">
        <v>740</v>
      </c>
      <c r="F1108" t="s">
        <v>33</v>
      </c>
      <c r="G1108">
        <v>1</v>
      </c>
      <c r="H1108" t="s">
        <v>61</v>
      </c>
      <c r="I1108" t="s">
        <v>35</v>
      </c>
      <c r="J1108" t="s">
        <v>36</v>
      </c>
      <c r="K1108" t="s">
        <v>50</v>
      </c>
      <c r="L1108">
        <v>64</v>
      </c>
      <c r="M1108" t="s">
        <v>36</v>
      </c>
      <c r="N1108" t="s">
        <v>39</v>
      </c>
      <c r="O1108" t="s">
        <v>40</v>
      </c>
      <c r="P1108" t="s">
        <v>44</v>
      </c>
      <c r="Q1108" t="s">
        <v>52</v>
      </c>
      <c r="R1108">
        <v>9714</v>
      </c>
      <c r="S1108">
        <v>5323</v>
      </c>
      <c r="T1108">
        <v>1</v>
      </c>
      <c r="U1108" t="s">
        <v>46</v>
      </c>
      <c r="V1108">
        <v>11</v>
      </c>
      <c r="W1108" t="s">
        <v>43</v>
      </c>
      <c r="X1108" t="s">
        <v>41</v>
      </c>
      <c r="Y1108">
        <v>1</v>
      </c>
      <c r="Z1108">
        <v>10</v>
      </c>
      <c r="AA1108">
        <v>4</v>
      </c>
      <c r="AB1108" t="s">
        <v>54</v>
      </c>
      <c r="AC1108">
        <v>10</v>
      </c>
      <c r="AD1108" t="str" cm="1">
        <f t="array" ref="AD1108">_xlfn.IFS(AC1108&lt;=5,"0-5",AC1108&lt;=10,"5-10",AC1108&lt;=40,"10-40")</f>
        <v>5-10</v>
      </c>
      <c r="AE1108">
        <v>8</v>
      </c>
      <c r="AF1108">
        <v>6</v>
      </c>
      <c r="AG1108">
        <v>7</v>
      </c>
      <c r="AH1108">
        <v>1107</v>
      </c>
    </row>
    <row r="1109" spans="1:34" x14ac:dyDescent="0.3">
      <c r="A1109">
        <v>38</v>
      </c>
      <c r="B1109" t="str" cm="1">
        <f t="array" ref="B1109">_xlfn.IFS(A1109&lt;=25,"18-25",A1109&lt;=35,"26-35",A1109&lt;=45,"36-45",A1109&lt;=55,"46-55",A1109&gt;55,"55+")</f>
        <v>36-45</v>
      </c>
      <c r="C1109">
        <v>0</v>
      </c>
      <c r="D1109" t="s">
        <v>47</v>
      </c>
      <c r="E1109">
        <v>888</v>
      </c>
      <c r="F1109" t="s">
        <v>76</v>
      </c>
      <c r="G1109">
        <v>10</v>
      </c>
      <c r="H1109" t="s">
        <v>58</v>
      </c>
      <c r="I1109" t="s">
        <v>76</v>
      </c>
      <c r="J1109" t="s">
        <v>38</v>
      </c>
      <c r="K1109" t="s">
        <v>50</v>
      </c>
      <c r="L1109">
        <v>71</v>
      </c>
      <c r="M1109" t="s">
        <v>38</v>
      </c>
      <c r="N1109" t="s">
        <v>39</v>
      </c>
      <c r="O1109" t="s">
        <v>76</v>
      </c>
      <c r="P1109" t="s">
        <v>38</v>
      </c>
      <c r="Q1109" t="s">
        <v>52</v>
      </c>
      <c r="R1109">
        <v>6077</v>
      </c>
      <c r="S1109">
        <v>14814</v>
      </c>
      <c r="T1109">
        <v>3</v>
      </c>
      <c r="U1109" t="s">
        <v>46</v>
      </c>
      <c r="V1109">
        <v>11</v>
      </c>
      <c r="W1109" t="s">
        <v>43</v>
      </c>
      <c r="X1109" t="s">
        <v>38</v>
      </c>
      <c r="Y1109">
        <v>0</v>
      </c>
      <c r="Z1109">
        <v>10</v>
      </c>
      <c r="AA1109">
        <v>2</v>
      </c>
      <c r="AB1109" t="s">
        <v>54</v>
      </c>
      <c r="AC1109">
        <v>6</v>
      </c>
      <c r="AD1109" t="str" cm="1">
        <f t="array" ref="AD1109">_xlfn.IFS(AC1109&lt;=5,"0-5",AC1109&lt;=10,"5-10",AC1109&lt;=40,"10-40")</f>
        <v>5-10</v>
      </c>
      <c r="AE1109">
        <v>3</v>
      </c>
      <c r="AF1109">
        <v>1</v>
      </c>
      <c r="AG1109">
        <v>2</v>
      </c>
      <c r="AH1109">
        <v>1108</v>
      </c>
    </row>
    <row r="1110" spans="1:34" x14ac:dyDescent="0.3">
      <c r="A1110">
        <v>35</v>
      </c>
      <c r="B1110" t="str" cm="1">
        <f t="array" ref="B1110">_xlfn.IFS(A1110&lt;=25,"18-25",A1110&lt;=35,"26-35",A1110&lt;=45,"36-45",A1110&lt;=55,"46-55",A1110&gt;55,"55+")</f>
        <v>26-35</v>
      </c>
      <c r="C1110">
        <v>0</v>
      </c>
      <c r="D1110" t="s">
        <v>32</v>
      </c>
      <c r="E1110">
        <v>992</v>
      </c>
      <c r="F1110" t="s">
        <v>48</v>
      </c>
      <c r="G1110">
        <v>1</v>
      </c>
      <c r="H1110" t="s">
        <v>61</v>
      </c>
      <c r="I1110" t="s">
        <v>59</v>
      </c>
      <c r="J1110" t="s">
        <v>41</v>
      </c>
      <c r="K1110" t="s">
        <v>50</v>
      </c>
      <c r="L1110">
        <v>68</v>
      </c>
      <c r="M1110" t="s">
        <v>36</v>
      </c>
      <c r="N1110" t="s">
        <v>56</v>
      </c>
      <c r="O1110" t="s">
        <v>57</v>
      </c>
      <c r="P1110" t="s">
        <v>44</v>
      </c>
      <c r="Q1110" t="s">
        <v>42</v>
      </c>
      <c r="R1110">
        <v>2450</v>
      </c>
      <c r="S1110">
        <v>21731</v>
      </c>
      <c r="T1110">
        <v>1</v>
      </c>
      <c r="U1110" t="s">
        <v>46</v>
      </c>
      <c r="V1110">
        <v>19</v>
      </c>
      <c r="W1110" t="s">
        <v>43</v>
      </c>
      <c r="X1110" t="s">
        <v>36</v>
      </c>
      <c r="Y1110">
        <v>0</v>
      </c>
      <c r="Z1110">
        <v>3</v>
      </c>
      <c r="AA1110">
        <v>3</v>
      </c>
      <c r="AB1110" t="s">
        <v>54</v>
      </c>
      <c r="AC1110">
        <v>3</v>
      </c>
      <c r="AD1110" t="str" cm="1">
        <f t="array" ref="AD1110">_xlfn.IFS(AC1110&lt;=5,"0-5",AC1110&lt;=10,"5-10",AC1110&lt;=40,"10-40")</f>
        <v>0-5</v>
      </c>
      <c r="AE1110">
        <v>0</v>
      </c>
      <c r="AF1110">
        <v>1</v>
      </c>
      <c r="AG1110">
        <v>2</v>
      </c>
      <c r="AH1110">
        <v>1109</v>
      </c>
    </row>
    <row r="1111" spans="1:34" x14ac:dyDescent="0.3">
      <c r="A1111">
        <v>30</v>
      </c>
      <c r="B1111" t="str" cm="1">
        <f t="array" ref="B1111">_xlfn.IFS(A1111&lt;=25,"18-25",A1111&lt;=35,"26-35",A1111&lt;=45,"36-45",A1111&lt;=55,"46-55",A1111&gt;55,"55+")</f>
        <v>26-35</v>
      </c>
      <c r="C1111">
        <v>0</v>
      </c>
      <c r="D1111" t="s">
        <v>32</v>
      </c>
      <c r="E1111">
        <v>1288</v>
      </c>
      <c r="F1111" t="s">
        <v>33</v>
      </c>
      <c r="G1111">
        <v>29</v>
      </c>
      <c r="H1111" t="s">
        <v>58</v>
      </c>
      <c r="I1111" t="s">
        <v>74</v>
      </c>
      <c r="J1111" t="s">
        <v>38</v>
      </c>
      <c r="K1111" t="s">
        <v>50</v>
      </c>
      <c r="L1111">
        <v>33</v>
      </c>
      <c r="M1111" t="s">
        <v>38</v>
      </c>
      <c r="N1111" t="s">
        <v>63</v>
      </c>
      <c r="O1111" t="s">
        <v>40</v>
      </c>
      <c r="P1111" t="s">
        <v>36</v>
      </c>
      <c r="Q1111" t="s">
        <v>52</v>
      </c>
      <c r="R1111">
        <v>9250</v>
      </c>
      <c r="S1111">
        <v>17799</v>
      </c>
      <c r="T1111">
        <v>3</v>
      </c>
      <c r="U1111" t="s">
        <v>46</v>
      </c>
      <c r="V1111">
        <v>12</v>
      </c>
      <c r="W1111" t="s">
        <v>43</v>
      </c>
      <c r="X1111" t="s">
        <v>36</v>
      </c>
      <c r="Y1111">
        <v>1</v>
      </c>
      <c r="Z1111">
        <v>9</v>
      </c>
      <c r="AA1111">
        <v>3</v>
      </c>
      <c r="AB1111" t="s">
        <v>54</v>
      </c>
      <c r="AC1111">
        <v>4</v>
      </c>
      <c r="AD1111" t="str" cm="1">
        <f t="array" ref="AD1111">_xlfn.IFS(AC1111&lt;=5,"0-5",AC1111&lt;=10,"5-10",AC1111&lt;=40,"10-40")</f>
        <v>0-5</v>
      </c>
      <c r="AE1111">
        <v>2</v>
      </c>
      <c r="AF1111">
        <v>1</v>
      </c>
      <c r="AG1111">
        <v>3</v>
      </c>
      <c r="AH1111">
        <v>1110</v>
      </c>
    </row>
    <row r="1112" spans="1:34" x14ac:dyDescent="0.3">
      <c r="A1112">
        <v>35</v>
      </c>
      <c r="B1112" t="str" cm="1">
        <f t="array" ref="B1112">_xlfn.IFS(A1112&lt;=25,"18-25",A1112&lt;=35,"26-35",A1112&lt;=45,"36-45",A1112&lt;=55,"46-55",A1112&gt;55,"55+")</f>
        <v>26-35</v>
      </c>
      <c r="C1112">
        <v>1</v>
      </c>
      <c r="D1112" t="s">
        <v>32</v>
      </c>
      <c r="E1112">
        <v>104</v>
      </c>
      <c r="F1112" t="s">
        <v>48</v>
      </c>
      <c r="G1112">
        <v>2</v>
      </c>
      <c r="H1112" t="s">
        <v>61</v>
      </c>
      <c r="I1112" t="s">
        <v>35</v>
      </c>
      <c r="J1112" t="s">
        <v>44</v>
      </c>
      <c r="K1112" t="s">
        <v>37</v>
      </c>
      <c r="L1112">
        <v>69</v>
      </c>
      <c r="M1112" t="s">
        <v>38</v>
      </c>
      <c r="N1112" t="s">
        <v>56</v>
      </c>
      <c r="O1112" t="s">
        <v>57</v>
      </c>
      <c r="P1112" t="s">
        <v>44</v>
      </c>
      <c r="Q1112" t="s">
        <v>62</v>
      </c>
      <c r="R1112">
        <v>2074</v>
      </c>
      <c r="S1112">
        <v>26619</v>
      </c>
      <c r="T1112">
        <v>1</v>
      </c>
      <c r="U1112" t="s">
        <v>31</v>
      </c>
      <c r="V1112">
        <v>12</v>
      </c>
      <c r="W1112" t="s">
        <v>43</v>
      </c>
      <c r="X1112" t="s">
        <v>41</v>
      </c>
      <c r="Y1112">
        <v>1</v>
      </c>
      <c r="Z1112">
        <v>1</v>
      </c>
      <c r="AA1112">
        <v>2</v>
      </c>
      <c r="AB1112" t="s">
        <v>54</v>
      </c>
      <c r="AC1112">
        <v>1</v>
      </c>
      <c r="AD1112" t="str" cm="1">
        <f t="array" ref="AD1112">_xlfn.IFS(AC1112&lt;=5,"0-5",AC1112&lt;=10,"5-10",AC1112&lt;=40,"10-40")</f>
        <v>0-5</v>
      </c>
      <c r="AE1112">
        <v>0</v>
      </c>
      <c r="AF1112">
        <v>0</v>
      </c>
      <c r="AG1112">
        <v>0</v>
      </c>
      <c r="AH1112">
        <v>1111</v>
      </c>
    </row>
    <row r="1113" spans="1:34" x14ac:dyDescent="0.3">
      <c r="A1113">
        <v>53</v>
      </c>
      <c r="B1113" t="str" cm="1">
        <f t="array" ref="B1113">_xlfn.IFS(A1113&lt;=25,"18-25",A1113&lt;=35,"26-35",A1113&lt;=45,"36-45",A1113&lt;=55,"46-55",A1113&gt;55,"55+")</f>
        <v>46-55</v>
      </c>
      <c r="C1113">
        <v>1</v>
      </c>
      <c r="D1113" t="s">
        <v>32</v>
      </c>
      <c r="E1113">
        <v>607</v>
      </c>
      <c r="F1113" t="s">
        <v>48</v>
      </c>
      <c r="G1113">
        <v>2</v>
      </c>
      <c r="H1113" t="s">
        <v>75</v>
      </c>
      <c r="I1113" t="s">
        <v>74</v>
      </c>
      <c r="J1113" t="s">
        <v>38</v>
      </c>
      <c r="K1113" t="s">
        <v>37</v>
      </c>
      <c r="L1113">
        <v>78</v>
      </c>
      <c r="M1113" t="s">
        <v>36</v>
      </c>
      <c r="N1113" t="s">
        <v>63</v>
      </c>
      <c r="O1113" t="s">
        <v>64</v>
      </c>
      <c r="P1113" t="s">
        <v>41</v>
      </c>
      <c r="Q1113" t="s">
        <v>52</v>
      </c>
      <c r="R1113">
        <v>10169</v>
      </c>
      <c r="S1113">
        <v>14618</v>
      </c>
      <c r="T1113">
        <v>0</v>
      </c>
      <c r="U1113" t="s">
        <v>46</v>
      </c>
      <c r="V1113">
        <v>16</v>
      </c>
      <c r="W1113" t="s">
        <v>43</v>
      </c>
      <c r="X1113" t="s">
        <v>36</v>
      </c>
      <c r="Y1113">
        <v>1</v>
      </c>
      <c r="Z1113">
        <v>34</v>
      </c>
      <c r="AA1113">
        <v>4</v>
      </c>
      <c r="AB1113" t="s">
        <v>54</v>
      </c>
      <c r="AC1113">
        <v>33</v>
      </c>
      <c r="AD1113" t="str" cm="1">
        <f t="array" ref="AD1113">_xlfn.IFS(AC1113&lt;=5,"0-5",AC1113&lt;=10,"5-10",AC1113&lt;=40,"10-40")</f>
        <v>10-40</v>
      </c>
      <c r="AE1113">
        <v>7</v>
      </c>
      <c r="AF1113">
        <v>1</v>
      </c>
      <c r="AG1113">
        <v>9</v>
      </c>
      <c r="AH1113">
        <v>1112</v>
      </c>
    </row>
    <row r="1114" spans="1:34" x14ac:dyDescent="0.3">
      <c r="A1114">
        <v>38</v>
      </c>
      <c r="B1114" t="str" cm="1">
        <f t="array" ref="B1114">_xlfn.IFS(A1114&lt;=25,"18-25",A1114&lt;=35,"26-35",A1114&lt;=45,"36-45",A1114&lt;=55,"46-55",A1114&gt;55,"55+")</f>
        <v>36-45</v>
      </c>
      <c r="C1114">
        <v>1</v>
      </c>
      <c r="D1114" t="s">
        <v>32</v>
      </c>
      <c r="E1114">
        <v>903</v>
      </c>
      <c r="F1114" t="s">
        <v>48</v>
      </c>
      <c r="G1114">
        <v>2</v>
      </c>
      <c r="H1114" t="s">
        <v>61</v>
      </c>
      <c r="I1114" t="s">
        <v>59</v>
      </c>
      <c r="J1114" t="s">
        <v>38</v>
      </c>
      <c r="K1114" t="s">
        <v>50</v>
      </c>
      <c r="L1114">
        <v>81</v>
      </c>
      <c r="M1114" t="s">
        <v>38</v>
      </c>
      <c r="N1114" t="s">
        <v>39</v>
      </c>
      <c r="O1114" t="s">
        <v>64</v>
      </c>
      <c r="P1114" t="s">
        <v>36</v>
      </c>
      <c r="Q1114" t="s">
        <v>52</v>
      </c>
      <c r="R1114">
        <v>4855</v>
      </c>
      <c r="S1114">
        <v>7653</v>
      </c>
      <c r="T1114">
        <v>4</v>
      </c>
      <c r="U1114" t="s">
        <v>46</v>
      </c>
      <c r="V1114">
        <v>11</v>
      </c>
      <c r="W1114" t="s">
        <v>43</v>
      </c>
      <c r="X1114" t="s">
        <v>44</v>
      </c>
      <c r="Y1114">
        <v>2</v>
      </c>
      <c r="Z1114">
        <v>7</v>
      </c>
      <c r="AA1114">
        <v>2</v>
      </c>
      <c r="AB1114" t="s">
        <v>54</v>
      </c>
      <c r="AC1114">
        <v>5</v>
      </c>
      <c r="AD1114" t="str" cm="1">
        <f t="array" ref="AD1114">_xlfn.IFS(AC1114&lt;=5,"0-5",AC1114&lt;=10,"5-10",AC1114&lt;=40,"10-40")</f>
        <v>0-5</v>
      </c>
      <c r="AE1114">
        <v>2</v>
      </c>
      <c r="AF1114">
        <v>1</v>
      </c>
      <c r="AG1114">
        <v>4</v>
      </c>
      <c r="AH1114">
        <v>1113</v>
      </c>
    </row>
    <row r="1115" spans="1:34" x14ac:dyDescent="0.3">
      <c r="A1115">
        <v>32</v>
      </c>
      <c r="B1115" t="str" cm="1">
        <f t="array" ref="B1115">_xlfn.IFS(A1115&lt;=25,"18-25",A1115&lt;=35,"26-35",A1115&lt;=45,"36-45",A1115&lt;=55,"46-55",A1115&gt;55,"55+")</f>
        <v>26-35</v>
      </c>
      <c r="C1115">
        <v>0</v>
      </c>
      <c r="D1115" t="s">
        <v>66</v>
      </c>
      <c r="E1115">
        <v>1200</v>
      </c>
      <c r="F1115" t="s">
        <v>48</v>
      </c>
      <c r="G1115">
        <v>1</v>
      </c>
      <c r="H1115" t="s">
        <v>58</v>
      </c>
      <c r="I1115" t="s">
        <v>74</v>
      </c>
      <c r="J1115" t="s">
        <v>41</v>
      </c>
      <c r="K1115" t="s">
        <v>50</v>
      </c>
      <c r="L1115">
        <v>62</v>
      </c>
      <c r="M1115" t="s">
        <v>38</v>
      </c>
      <c r="N1115" t="s">
        <v>39</v>
      </c>
      <c r="O1115" t="s">
        <v>51</v>
      </c>
      <c r="P1115" t="s">
        <v>44</v>
      </c>
      <c r="Q1115" t="s">
        <v>52</v>
      </c>
      <c r="R1115">
        <v>4087</v>
      </c>
      <c r="S1115">
        <v>25174</v>
      </c>
      <c r="T1115">
        <v>4</v>
      </c>
      <c r="U1115" t="s">
        <v>46</v>
      </c>
      <c r="V1115">
        <v>14</v>
      </c>
      <c r="W1115" t="s">
        <v>43</v>
      </c>
      <c r="X1115" t="s">
        <v>36</v>
      </c>
      <c r="Y1115">
        <v>1</v>
      </c>
      <c r="Z1115">
        <v>9</v>
      </c>
      <c r="AA1115">
        <v>3</v>
      </c>
      <c r="AB1115" t="s">
        <v>60</v>
      </c>
      <c r="AC1115">
        <v>6</v>
      </c>
      <c r="AD1115" t="str" cm="1">
        <f t="array" ref="AD1115">_xlfn.IFS(AC1115&lt;=5,"0-5",AC1115&lt;=10,"5-10",AC1115&lt;=40,"10-40")</f>
        <v>5-10</v>
      </c>
      <c r="AE1115">
        <v>5</v>
      </c>
      <c r="AF1115">
        <v>1</v>
      </c>
      <c r="AG1115">
        <v>2</v>
      </c>
      <c r="AH1115">
        <v>1114</v>
      </c>
    </row>
    <row r="1116" spans="1:34" x14ac:dyDescent="0.3">
      <c r="A1116">
        <v>48</v>
      </c>
      <c r="B1116" t="str" cm="1">
        <f t="array" ref="B1116">_xlfn.IFS(A1116&lt;=25,"18-25",A1116&lt;=35,"26-35",A1116&lt;=45,"36-45",A1116&lt;=55,"46-55",A1116&gt;55,"55+")</f>
        <v>46-55</v>
      </c>
      <c r="C1116">
        <v>0</v>
      </c>
      <c r="D1116" t="s">
        <v>32</v>
      </c>
      <c r="E1116">
        <v>1108</v>
      </c>
      <c r="F1116" t="s">
        <v>48</v>
      </c>
      <c r="G1116">
        <v>15</v>
      </c>
      <c r="H1116" t="s">
        <v>58</v>
      </c>
      <c r="I1116" t="s">
        <v>55</v>
      </c>
      <c r="J1116" t="s">
        <v>38</v>
      </c>
      <c r="K1116" t="s">
        <v>37</v>
      </c>
      <c r="L1116">
        <v>65</v>
      </c>
      <c r="M1116" t="s">
        <v>38</v>
      </c>
      <c r="N1116" t="s">
        <v>56</v>
      </c>
      <c r="O1116" t="s">
        <v>51</v>
      </c>
      <c r="P1116" t="s">
        <v>44</v>
      </c>
      <c r="Q1116" t="s">
        <v>52</v>
      </c>
      <c r="R1116">
        <v>2367</v>
      </c>
      <c r="S1116">
        <v>16530</v>
      </c>
      <c r="T1116">
        <v>8</v>
      </c>
      <c r="U1116" t="s">
        <v>46</v>
      </c>
      <c r="V1116">
        <v>12</v>
      </c>
      <c r="W1116" t="s">
        <v>43</v>
      </c>
      <c r="X1116" t="s">
        <v>41</v>
      </c>
      <c r="Y1116">
        <v>1</v>
      </c>
      <c r="Z1116">
        <v>10</v>
      </c>
      <c r="AA1116">
        <v>3</v>
      </c>
      <c r="AB1116" t="s">
        <v>60</v>
      </c>
      <c r="AC1116">
        <v>8</v>
      </c>
      <c r="AD1116" t="str" cm="1">
        <f t="array" ref="AD1116">_xlfn.IFS(AC1116&lt;=5,"0-5",AC1116&lt;=10,"5-10",AC1116&lt;=40,"10-40")</f>
        <v>5-10</v>
      </c>
      <c r="AE1116">
        <v>2</v>
      </c>
      <c r="AF1116">
        <v>7</v>
      </c>
      <c r="AG1116">
        <v>6</v>
      </c>
      <c r="AH1116">
        <v>1115</v>
      </c>
    </row>
    <row r="1117" spans="1:34" x14ac:dyDescent="0.3">
      <c r="A1117">
        <v>34</v>
      </c>
      <c r="B1117" t="str" cm="1">
        <f t="array" ref="B1117">_xlfn.IFS(A1117&lt;=25,"18-25",A1117&lt;=35,"26-35",A1117&lt;=45,"36-45",A1117&lt;=55,"46-55",A1117&gt;55,"55+")</f>
        <v>26-35</v>
      </c>
      <c r="C1117">
        <v>0</v>
      </c>
      <c r="D1117" t="s">
        <v>32</v>
      </c>
      <c r="E1117">
        <v>479</v>
      </c>
      <c r="F1117" t="s">
        <v>48</v>
      </c>
      <c r="G1117">
        <v>7</v>
      </c>
      <c r="H1117" t="s">
        <v>58</v>
      </c>
      <c r="I1117" t="s">
        <v>59</v>
      </c>
      <c r="J1117" t="s">
        <v>44</v>
      </c>
      <c r="K1117" t="s">
        <v>50</v>
      </c>
      <c r="L1117">
        <v>35</v>
      </c>
      <c r="M1117" t="s">
        <v>38</v>
      </c>
      <c r="N1117" t="s">
        <v>56</v>
      </c>
      <c r="O1117" t="s">
        <v>51</v>
      </c>
      <c r="P1117" t="s">
        <v>41</v>
      </c>
      <c r="Q1117" t="s">
        <v>42</v>
      </c>
      <c r="R1117">
        <v>2972</v>
      </c>
      <c r="S1117">
        <v>22061</v>
      </c>
      <c r="T1117">
        <v>1</v>
      </c>
      <c r="U1117" t="s">
        <v>46</v>
      </c>
      <c r="V1117">
        <v>13</v>
      </c>
      <c r="W1117" t="s">
        <v>43</v>
      </c>
      <c r="X1117" t="s">
        <v>38</v>
      </c>
      <c r="Y1117">
        <v>0</v>
      </c>
      <c r="Z1117">
        <v>1</v>
      </c>
      <c r="AA1117">
        <v>4</v>
      </c>
      <c r="AB1117" t="s">
        <v>45</v>
      </c>
      <c r="AC1117">
        <v>1</v>
      </c>
      <c r="AD1117" t="str" cm="1">
        <f t="array" ref="AD1117">_xlfn.IFS(AC1117&lt;=5,"0-5",AC1117&lt;=10,"5-10",AC1117&lt;=40,"10-40")</f>
        <v>0-5</v>
      </c>
      <c r="AE1117">
        <v>0</v>
      </c>
      <c r="AF1117">
        <v>0</v>
      </c>
      <c r="AG1117">
        <v>0</v>
      </c>
      <c r="AH1117">
        <v>1116</v>
      </c>
    </row>
    <row r="1118" spans="1:34" x14ac:dyDescent="0.3">
      <c r="A1118">
        <v>55</v>
      </c>
      <c r="B1118" t="str" cm="1">
        <f t="array" ref="B1118">_xlfn.IFS(A1118&lt;=25,"18-25",A1118&lt;=35,"26-35",A1118&lt;=45,"36-45",A1118&lt;=55,"46-55",A1118&gt;55,"55+")</f>
        <v>46-55</v>
      </c>
      <c r="C1118">
        <v>0</v>
      </c>
      <c r="D1118" t="s">
        <v>32</v>
      </c>
      <c r="E1118">
        <v>685</v>
      </c>
      <c r="F1118" t="s">
        <v>33</v>
      </c>
      <c r="G1118">
        <v>26</v>
      </c>
      <c r="H1118" t="s">
        <v>75</v>
      </c>
      <c r="I1118" t="s">
        <v>72</v>
      </c>
      <c r="J1118" t="s">
        <v>38</v>
      </c>
      <c r="K1118" t="s">
        <v>50</v>
      </c>
      <c r="L1118">
        <v>60</v>
      </c>
      <c r="M1118" t="s">
        <v>36</v>
      </c>
      <c r="N1118" t="s">
        <v>71</v>
      </c>
      <c r="O1118" t="s">
        <v>68</v>
      </c>
      <c r="P1118" t="s">
        <v>41</v>
      </c>
      <c r="Q1118" t="s">
        <v>52</v>
      </c>
      <c r="R1118">
        <v>19586</v>
      </c>
      <c r="S1118">
        <v>23037</v>
      </c>
      <c r="T1118">
        <v>1</v>
      </c>
      <c r="U1118" t="s">
        <v>46</v>
      </c>
      <c r="V1118">
        <v>21</v>
      </c>
      <c r="W1118" t="s">
        <v>53</v>
      </c>
      <c r="X1118" t="s">
        <v>38</v>
      </c>
      <c r="Y1118">
        <v>1</v>
      </c>
      <c r="Z1118">
        <v>36</v>
      </c>
      <c r="AA1118">
        <v>3</v>
      </c>
      <c r="AB1118" t="s">
        <v>54</v>
      </c>
      <c r="AC1118">
        <v>36</v>
      </c>
      <c r="AD1118" t="str" cm="1">
        <f t="array" ref="AD1118">_xlfn.IFS(AC1118&lt;=5,"0-5",AC1118&lt;=10,"5-10",AC1118&lt;=40,"10-40")</f>
        <v>10-40</v>
      </c>
      <c r="AE1118">
        <v>6</v>
      </c>
      <c r="AF1118">
        <v>2</v>
      </c>
      <c r="AG1118">
        <v>13</v>
      </c>
      <c r="AH1118">
        <v>1117</v>
      </c>
    </row>
    <row r="1119" spans="1:34" x14ac:dyDescent="0.3">
      <c r="A1119">
        <v>34</v>
      </c>
      <c r="B1119" t="str" cm="1">
        <f t="array" ref="B1119">_xlfn.IFS(A1119&lt;=25,"18-25",A1119&lt;=35,"26-35",A1119&lt;=45,"36-45",A1119&lt;=55,"46-55",A1119&gt;55,"55+")</f>
        <v>26-35</v>
      </c>
      <c r="C1119">
        <v>0</v>
      </c>
      <c r="D1119" t="s">
        <v>32</v>
      </c>
      <c r="E1119">
        <v>1351</v>
      </c>
      <c r="F1119" t="s">
        <v>48</v>
      </c>
      <c r="G1119">
        <v>1</v>
      </c>
      <c r="H1119" t="s">
        <v>58</v>
      </c>
      <c r="I1119" t="s">
        <v>35</v>
      </c>
      <c r="J1119" t="s">
        <v>36</v>
      </c>
      <c r="K1119" t="s">
        <v>50</v>
      </c>
      <c r="L1119">
        <v>45</v>
      </c>
      <c r="M1119" t="s">
        <v>38</v>
      </c>
      <c r="N1119" t="s">
        <v>39</v>
      </c>
      <c r="O1119" t="s">
        <v>51</v>
      </c>
      <c r="P1119" t="s">
        <v>41</v>
      </c>
      <c r="Q1119" t="s">
        <v>52</v>
      </c>
      <c r="R1119">
        <v>5484</v>
      </c>
      <c r="S1119">
        <v>13008</v>
      </c>
      <c r="T1119">
        <v>9</v>
      </c>
      <c r="U1119" t="s">
        <v>46</v>
      </c>
      <c r="V1119">
        <v>17</v>
      </c>
      <c r="W1119" t="s">
        <v>43</v>
      </c>
      <c r="X1119" t="s">
        <v>36</v>
      </c>
      <c r="Y1119">
        <v>1</v>
      </c>
      <c r="Z1119">
        <v>9</v>
      </c>
      <c r="AA1119">
        <v>3</v>
      </c>
      <c r="AB1119" t="s">
        <v>60</v>
      </c>
      <c r="AC1119">
        <v>2</v>
      </c>
      <c r="AD1119" t="str" cm="1">
        <f t="array" ref="AD1119">_xlfn.IFS(AC1119&lt;=5,"0-5",AC1119&lt;=10,"5-10",AC1119&lt;=40,"10-40")</f>
        <v>0-5</v>
      </c>
      <c r="AE1119">
        <v>2</v>
      </c>
      <c r="AF1119">
        <v>2</v>
      </c>
      <c r="AG1119">
        <v>1</v>
      </c>
      <c r="AH1119">
        <v>1118</v>
      </c>
    </row>
    <row r="1120" spans="1:34" x14ac:dyDescent="0.3">
      <c r="A1120">
        <v>26</v>
      </c>
      <c r="B1120" t="str" cm="1">
        <f t="array" ref="B1120">_xlfn.IFS(A1120&lt;=25,"18-25",A1120&lt;=35,"26-35",A1120&lt;=45,"36-45",A1120&lt;=55,"46-55",A1120&gt;55,"55+")</f>
        <v>26-35</v>
      </c>
      <c r="C1120">
        <v>0</v>
      </c>
      <c r="D1120" t="s">
        <v>32</v>
      </c>
      <c r="E1120">
        <v>474</v>
      </c>
      <c r="F1120" t="s">
        <v>48</v>
      </c>
      <c r="G1120">
        <v>3</v>
      </c>
      <c r="H1120" t="s">
        <v>61</v>
      </c>
      <c r="I1120" t="s">
        <v>35</v>
      </c>
      <c r="J1120" t="s">
        <v>44</v>
      </c>
      <c r="K1120" t="s">
        <v>37</v>
      </c>
      <c r="L1120">
        <v>89</v>
      </c>
      <c r="M1120" t="s">
        <v>38</v>
      </c>
      <c r="N1120" t="s">
        <v>56</v>
      </c>
      <c r="O1120" t="s">
        <v>51</v>
      </c>
      <c r="P1120" t="s">
        <v>41</v>
      </c>
      <c r="Q1120" t="s">
        <v>52</v>
      </c>
      <c r="R1120">
        <v>2061</v>
      </c>
      <c r="S1120">
        <v>11133</v>
      </c>
      <c r="T1120">
        <v>1</v>
      </c>
      <c r="U1120" t="s">
        <v>46</v>
      </c>
      <c r="V1120">
        <v>21</v>
      </c>
      <c r="W1120" t="s">
        <v>53</v>
      </c>
      <c r="X1120" t="s">
        <v>44</v>
      </c>
      <c r="Y1120">
        <v>0</v>
      </c>
      <c r="Z1120">
        <v>1</v>
      </c>
      <c r="AA1120">
        <v>5</v>
      </c>
      <c r="AB1120" t="s">
        <v>54</v>
      </c>
      <c r="AC1120">
        <v>1</v>
      </c>
      <c r="AD1120" t="str" cm="1">
        <f t="array" ref="AD1120">_xlfn.IFS(AC1120&lt;=5,"0-5",AC1120&lt;=10,"5-10",AC1120&lt;=40,"10-40")</f>
        <v>0-5</v>
      </c>
      <c r="AE1120">
        <v>0</v>
      </c>
      <c r="AF1120">
        <v>0</v>
      </c>
      <c r="AG1120">
        <v>0</v>
      </c>
      <c r="AH1120">
        <v>1119</v>
      </c>
    </row>
    <row r="1121" spans="1:34" x14ac:dyDescent="0.3">
      <c r="A1121">
        <v>38</v>
      </c>
      <c r="B1121" t="str" cm="1">
        <f t="array" ref="B1121">_xlfn.IFS(A1121&lt;=25,"18-25",A1121&lt;=35,"26-35",A1121&lt;=45,"36-45",A1121&lt;=55,"46-55",A1121&gt;55,"55+")</f>
        <v>36-45</v>
      </c>
      <c r="C1121">
        <v>0</v>
      </c>
      <c r="D1121" t="s">
        <v>32</v>
      </c>
      <c r="E1121">
        <v>1245</v>
      </c>
      <c r="F1121" t="s">
        <v>33</v>
      </c>
      <c r="G1121">
        <v>14</v>
      </c>
      <c r="H1121" t="s">
        <v>61</v>
      </c>
      <c r="I1121" t="s">
        <v>35</v>
      </c>
      <c r="J1121" t="s">
        <v>38</v>
      </c>
      <c r="K1121" t="s">
        <v>50</v>
      </c>
      <c r="L1121">
        <v>80</v>
      </c>
      <c r="M1121" t="s">
        <v>38</v>
      </c>
      <c r="N1121" t="s">
        <v>39</v>
      </c>
      <c r="O1121" t="s">
        <v>40</v>
      </c>
      <c r="P1121" t="s">
        <v>36</v>
      </c>
      <c r="Q1121" t="s">
        <v>52</v>
      </c>
      <c r="R1121">
        <v>9924</v>
      </c>
      <c r="S1121">
        <v>12355</v>
      </c>
      <c r="T1121">
        <v>0</v>
      </c>
      <c r="U1121" t="s">
        <v>46</v>
      </c>
      <c r="V1121">
        <v>11</v>
      </c>
      <c r="W1121" t="s">
        <v>43</v>
      </c>
      <c r="X1121" t="s">
        <v>41</v>
      </c>
      <c r="Y1121">
        <v>1</v>
      </c>
      <c r="Z1121">
        <v>10</v>
      </c>
      <c r="AA1121">
        <v>3</v>
      </c>
      <c r="AB1121" t="s">
        <v>54</v>
      </c>
      <c r="AC1121">
        <v>9</v>
      </c>
      <c r="AD1121" t="str" cm="1">
        <f t="array" ref="AD1121">_xlfn.IFS(AC1121&lt;=5,"0-5",AC1121&lt;=10,"5-10",AC1121&lt;=40,"10-40")</f>
        <v>5-10</v>
      </c>
      <c r="AE1121">
        <v>8</v>
      </c>
      <c r="AF1121">
        <v>7</v>
      </c>
      <c r="AG1121">
        <v>7</v>
      </c>
      <c r="AH1121">
        <v>1120</v>
      </c>
    </row>
    <row r="1122" spans="1:34" x14ac:dyDescent="0.3">
      <c r="A1122">
        <v>38</v>
      </c>
      <c r="B1122" t="str" cm="1">
        <f t="array" ref="B1122">_xlfn.IFS(A1122&lt;=25,"18-25",A1122&lt;=35,"26-35",A1122&lt;=45,"36-45",A1122&lt;=55,"46-55",A1122&gt;55,"55+")</f>
        <v>36-45</v>
      </c>
      <c r="C1122">
        <v>0</v>
      </c>
      <c r="D1122" t="s">
        <v>32</v>
      </c>
      <c r="E1122">
        <v>437</v>
      </c>
      <c r="F1122" t="s">
        <v>33</v>
      </c>
      <c r="G1122">
        <v>16</v>
      </c>
      <c r="H1122" t="s">
        <v>61</v>
      </c>
      <c r="I1122" t="s">
        <v>35</v>
      </c>
      <c r="J1122" t="s">
        <v>36</v>
      </c>
      <c r="K1122" t="s">
        <v>37</v>
      </c>
      <c r="L1122">
        <v>90</v>
      </c>
      <c r="M1122" t="s">
        <v>38</v>
      </c>
      <c r="N1122" t="s">
        <v>39</v>
      </c>
      <c r="O1122" t="s">
        <v>40</v>
      </c>
      <c r="P1122" t="s">
        <v>36</v>
      </c>
      <c r="Q1122" t="s">
        <v>42</v>
      </c>
      <c r="R1122">
        <v>4198</v>
      </c>
      <c r="S1122">
        <v>16379</v>
      </c>
      <c r="T1122">
        <v>2</v>
      </c>
      <c r="U1122" t="s">
        <v>46</v>
      </c>
      <c r="V1122">
        <v>12</v>
      </c>
      <c r="W1122" t="s">
        <v>43</v>
      </c>
      <c r="X1122" t="s">
        <v>36</v>
      </c>
      <c r="Y1122">
        <v>0</v>
      </c>
      <c r="Z1122">
        <v>8</v>
      </c>
      <c r="AA1122">
        <v>5</v>
      </c>
      <c r="AB1122" t="s">
        <v>73</v>
      </c>
      <c r="AC1122">
        <v>3</v>
      </c>
      <c r="AD1122" t="str" cm="1">
        <f t="array" ref="AD1122">_xlfn.IFS(AC1122&lt;=5,"0-5",AC1122&lt;=10,"5-10",AC1122&lt;=40,"10-40")</f>
        <v>0-5</v>
      </c>
      <c r="AE1122">
        <v>2</v>
      </c>
      <c r="AF1122">
        <v>1</v>
      </c>
      <c r="AG1122">
        <v>2</v>
      </c>
      <c r="AH1122">
        <v>1121</v>
      </c>
    </row>
    <row r="1123" spans="1:34" x14ac:dyDescent="0.3">
      <c r="A1123">
        <v>36</v>
      </c>
      <c r="B1123" t="str" cm="1">
        <f t="array" ref="B1123">_xlfn.IFS(A1123&lt;=25,"18-25",A1123&lt;=35,"26-35",A1123&lt;=45,"36-45",A1123&lt;=55,"46-55",A1123&gt;55,"55+")</f>
        <v>36-45</v>
      </c>
      <c r="C1123">
        <v>0</v>
      </c>
      <c r="D1123" t="s">
        <v>32</v>
      </c>
      <c r="E1123">
        <v>884</v>
      </c>
      <c r="F1123" t="s">
        <v>33</v>
      </c>
      <c r="G1123">
        <v>1</v>
      </c>
      <c r="H1123" t="s">
        <v>58</v>
      </c>
      <c r="I1123" t="s">
        <v>35</v>
      </c>
      <c r="J1123" t="s">
        <v>36</v>
      </c>
      <c r="K1123" t="s">
        <v>37</v>
      </c>
      <c r="L1123">
        <v>73</v>
      </c>
      <c r="M1123" t="s">
        <v>38</v>
      </c>
      <c r="N1123" t="s">
        <v>39</v>
      </c>
      <c r="O1123" t="s">
        <v>40</v>
      </c>
      <c r="P1123" t="s">
        <v>38</v>
      </c>
      <c r="Q1123" t="s">
        <v>42</v>
      </c>
      <c r="R1123">
        <v>6815</v>
      </c>
      <c r="S1123">
        <v>21447</v>
      </c>
      <c r="T1123">
        <v>6</v>
      </c>
      <c r="U1123" t="s">
        <v>46</v>
      </c>
      <c r="V1123">
        <v>13</v>
      </c>
      <c r="W1123" t="s">
        <v>43</v>
      </c>
      <c r="X1123" t="s">
        <v>44</v>
      </c>
      <c r="Y1123">
        <v>0</v>
      </c>
      <c r="Z1123">
        <v>15</v>
      </c>
      <c r="AA1123">
        <v>5</v>
      </c>
      <c r="AB1123" t="s">
        <v>54</v>
      </c>
      <c r="AC1123">
        <v>1</v>
      </c>
      <c r="AD1123" t="str" cm="1">
        <f t="array" ref="AD1123">_xlfn.IFS(AC1123&lt;=5,"0-5",AC1123&lt;=10,"5-10",AC1123&lt;=40,"10-40")</f>
        <v>0-5</v>
      </c>
      <c r="AE1123">
        <v>0</v>
      </c>
      <c r="AF1123">
        <v>0</v>
      </c>
      <c r="AG1123">
        <v>0</v>
      </c>
      <c r="AH1123">
        <v>1122</v>
      </c>
    </row>
    <row r="1124" spans="1:34" x14ac:dyDescent="0.3">
      <c r="A1124">
        <v>29</v>
      </c>
      <c r="B1124" t="str" cm="1">
        <f t="array" ref="B1124">_xlfn.IFS(A1124&lt;=25,"18-25",A1124&lt;=35,"26-35",A1124&lt;=45,"36-45",A1124&lt;=55,"46-55",A1124&gt;55,"55+")</f>
        <v>26-35</v>
      </c>
      <c r="C1124">
        <v>0</v>
      </c>
      <c r="D1124" t="s">
        <v>32</v>
      </c>
      <c r="E1124">
        <v>1370</v>
      </c>
      <c r="F1124" t="s">
        <v>48</v>
      </c>
      <c r="G1124">
        <v>3</v>
      </c>
      <c r="H1124" t="s">
        <v>49</v>
      </c>
      <c r="I1124" t="s">
        <v>59</v>
      </c>
      <c r="J1124" t="s">
        <v>36</v>
      </c>
      <c r="K1124" t="s">
        <v>50</v>
      </c>
      <c r="L1124">
        <v>87</v>
      </c>
      <c r="M1124" t="s">
        <v>38</v>
      </c>
      <c r="N1124" t="s">
        <v>56</v>
      </c>
      <c r="O1124" t="s">
        <v>57</v>
      </c>
      <c r="P1124" t="s">
        <v>44</v>
      </c>
      <c r="Q1124" t="s">
        <v>42</v>
      </c>
      <c r="R1124">
        <v>4723</v>
      </c>
      <c r="S1124">
        <v>16213</v>
      </c>
      <c r="T1124">
        <v>1</v>
      </c>
      <c r="U1124" t="s">
        <v>31</v>
      </c>
      <c r="V1124">
        <v>18</v>
      </c>
      <c r="W1124" t="s">
        <v>43</v>
      </c>
      <c r="X1124" t="s">
        <v>41</v>
      </c>
      <c r="Y1124">
        <v>0</v>
      </c>
      <c r="Z1124">
        <v>10</v>
      </c>
      <c r="AA1124">
        <v>3</v>
      </c>
      <c r="AB1124" t="s">
        <v>54</v>
      </c>
      <c r="AC1124">
        <v>10</v>
      </c>
      <c r="AD1124" t="str" cm="1">
        <f t="array" ref="AD1124">_xlfn.IFS(AC1124&lt;=5,"0-5",AC1124&lt;=10,"5-10",AC1124&lt;=40,"10-40")</f>
        <v>5-10</v>
      </c>
      <c r="AE1124">
        <v>9</v>
      </c>
      <c r="AF1124">
        <v>1</v>
      </c>
      <c r="AG1124">
        <v>5</v>
      </c>
      <c r="AH1124">
        <v>1123</v>
      </c>
    </row>
    <row r="1125" spans="1:34" x14ac:dyDescent="0.3">
      <c r="A1125">
        <v>35</v>
      </c>
      <c r="B1125" t="str" cm="1">
        <f t="array" ref="B1125">_xlfn.IFS(A1125&lt;=25,"18-25",A1125&lt;=35,"26-35",A1125&lt;=45,"36-45",A1125&lt;=55,"46-55",A1125&gt;55,"55+")</f>
        <v>26-35</v>
      </c>
      <c r="C1125">
        <v>0</v>
      </c>
      <c r="D1125" t="s">
        <v>32</v>
      </c>
      <c r="E1125">
        <v>670</v>
      </c>
      <c r="F1125" t="s">
        <v>48</v>
      </c>
      <c r="G1125">
        <v>10</v>
      </c>
      <c r="H1125" t="s">
        <v>58</v>
      </c>
      <c r="I1125" t="s">
        <v>59</v>
      </c>
      <c r="J1125" t="s">
        <v>44</v>
      </c>
      <c r="K1125" t="s">
        <v>37</v>
      </c>
      <c r="L1125">
        <v>51</v>
      </c>
      <c r="M1125" t="s">
        <v>38</v>
      </c>
      <c r="N1125" t="s">
        <v>39</v>
      </c>
      <c r="O1125" t="s">
        <v>65</v>
      </c>
      <c r="P1125" t="s">
        <v>38</v>
      </c>
      <c r="Q1125" t="s">
        <v>42</v>
      </c>
      <c r="R1125">
        <v>6142</v>
      </c>
      <c r="S1125">
        <v>4223</v>
      </c>
      <c r="T1125">
        <v>3</v>
      </c>
      <c r="U1125" t="s">
        <v>31</v>
      </c>
      <c r="V1125">
        <v>16</v>
      </c>
      <c r="W1125" t="s">
        <v>43</v>
      </c>
      <c r="X1125" t="s">
        <v>38</v>
      </c>
      <c r="Y1125">
        <v>0</v>
      </c>
      <c r="Z1125">
        <v>10</v>
      </c>
      <c r="AA1125">
        <v>4</v>
      </c>
      <c r="AB1125" t="s">
        <v>54</v>
      </c>
      <c r="AC1125">
        <v>5</v>
      </c>
      <c r="AD1125" t="str" cm="1">
        <f t="array" ref="AD1125">_xlfn.IFS(AC1125&lt;=5,"0-5",AC1125&lt;=10,"5-10",AC1125&lt;=40,"10-40")</f>
        <v>0-5</v>
      </c>
      <c r="AE1125">
        <v>2</v>
      </c>
      <c r="AF1125">
        <v>0</v>
      </c>
      <c r="AG1125">
        <v>4</v>
      </c>
      <c r="AH1125">
        <v>1124</v>
      </c>
    </row>
    <row r="1126" spans="1:34" x14ac:dyDescent="0.3">
      <c r="A1126">
        <v>39</v>
      </c>
      <c r="B1126" t="str" cm="1">
        <f t="array" ref="B1126">_xlfn.IFS(A1126&lt;=25,"18-25",A1126&lt;=35,"26-35",A1126&lt;=45,"36-45",A1126&lt;=55,"46-55",A1126&gt;55,"55+")</f>
        <v>36-45</v>
      </c>
      <c r="C1126">
        <v>0</v>
      </c>
      <c r="D1126" t="s">
        <v>32</v>
      </c>
      <c r="E1126">
        <v>1462</v>
      </c>
      <c r="F1126" t="s">
        <v>33</v>
      </c>
      <c r="G1126">
        <v>6</v>
      </c>
      <c r="H1126" t="s">
        <v>61</v>
      </c>
      <c r="I1126" t="s">
        <v>59</v>
      </c>
      <c r="J1126" t="s">
        <v>41</v>
      </c>
      <c r="K1126" t="s">
        <v>50</v>
      </c>
      <c r="L1126">
        <v>38</v>
      </c>
      <c r="M1126" t="s">
        <v>41</v>
      </c>
      <c r="N1126" t="s">
        <v>63</v>
      </c>
      <c r="O1126" t="s">
        <v>40</v>
      </c>
      <c r="P1126" t="s">
        <v>38</v>
      </c>
      <c r="Q1126" t="s">
        <v>52</v>
      </c>
      <c r="R1126">
        <v>8237</v>
      </c>
      <c r="S1126">
        <v>4658</v>
      </c>
      <c r="T1126">
        <v>2</v>
      </c>
      <c r="U1126" t="s">
        <v>46</v>
      </c>
      <c r="V1126">
        <v>11</v>
      </c>
      <c r="W1126" t="s">
        <v>43</v>
      </c>
      <c r="X1126" t="s">
        <v>44</v>
      </c>
      <c r="Y1126">
        <v>1</v>
      </c>
      <c r="Z1126">
        <v>11</v>
      </c>
      <c r="AA1126">
        <v>3</v>
      </c>
      <c r="AB1126" t="s">
        <v>54</v>
      </c>
      <c r="AC1126">
        <v>7</v>
      </c>
      <c r="AD1126" t="str" cm="1">
        <f t="array" ref="AD1126">_xlfn.IFS(AC1126&lt;=5,"0-5",AC1126&lt;=10,"5-10",AC1126&lt;=40,"10-40")</f>
        <v>5-10</v>
      </c>
      <c r="AE1126">
        <v>6</v>
      </c>
      <c r="AF1126">
        <v>7</v>
      </c>
      <c r="AG1126">
        <v>6</v>
      </c>
      <c r="AH1126">
        <v>1125</v>
      </c>
    </row>
    <row r="1127" spans="1:34" x14ac:dyDescent="0.3">
      <c r="A1127">
        <v>29</v>
      </c>
      <c r="B1127" t="str" cm="1">
        <f t="array" ref="B1127">_xlfn.IFS(A1127&lt;=25,"18-25",A1127&lt;=35,"26-35",A1127&lt;=45,"36-45",A1127&lt;=55,"46-55",A1127&gt;55,"55+")</f>
        <v>26-35</v>
      </c>
      <c r="C1127">
        <v>0</v>
      </c>
      <c r="D1127" t="s">
        <v>47</v>
      </c>
      <c r="E1127">
        <v>995</v>
      </c>
      <c r="F1127" t="s">
        <v>48</v>
      </c>
      <c r="G1127">
        <v>2</v>
      </c>
      <c r="H1127" t="s">
        <v>49</v>
      </c>
      <c r="I1127" t="s">
        <v>35</v>
      </c>
      <c r="J1127" t="s">
        <v>44</v>
      </c>
      <c r="K1127" t="s">
        <v>50</v>
      </c>
      <c r="L1127">
        <v>87</v>
      </c>
      <c r="M1127" t="s">
        <v>38</v>
      </c>
      <c r="N1127" t="s">
        <v>39</v>
      </c>
      <c r="O1127" t="s">
        <v>65</v>
      </c>
      <c r="P1127" t="s">
        <v>41</v>
      </c>
      <c r="Q1127" t="s">
        <v>62</v>
      </c>
      <c r="R1127">
        <v>8853</v>
      </c>
      <c r="S1127">
        <v>24483</v>
      </c>
      <c r="T1127">
        <v>1</v>
      </c>
      <c r="U1127" t="s">
        <v>46</v>
      </c>
      <c r="V1127">
        <v>19</v>
      </c>
      <c r="W1127" t="s">
        <v>43</v>
      </c>
      <c r="X1127" t="s">
        <v>41</v>
      </c>
      <c r="Y1127">
        <v>1</v>
      </c>
      <c r="Z1127">
        <v>6</v>
      </c>
      <c r="AA1127">
        <v>0</v>
      </c>
      <c r="AB1127" t="s">
        <v>73</v>
      </c>
      <c r="AC1127">
        <v>6</v>
      </c>
      <c r="AD1127" t="str" cm="1">
        <f t="array" ref="AD1127">_xlfn.IFS(AC1127&lt;=5,"0-5",AC1127&lt;=10,"5-10",AC1127&lt;=40,"10-40")</f>
        <v>5-10</v>
      </c>
      <c r="AE1127">
        <v>4</v>
      </c>
      <c r="AF1127">
        <v>1</v>
      </c>
      <c r="AG1127">
        <v>3</v>
      </c>
      <c r="AH1127">
        <v>1126</v>
      </c>
    </row>
    <row r="1128" spans="1:34" x14ac:dyDescent="0.3">
      <c r="A1128">
        <v>50</v>
      </c>
      <c r="B1128" t="str" cm="1">
        <f t="array" ref="B1128">_xlfn.IFS(A1128&lt;=25,"18-25",A1128&lt;=35,"26-35",A1128&lt;=45,"36-45",A1128&lt;=55,"46-55",A1128&gt;55,"55+")</f>
        <v>46-55</v>
      </c>
      <c r="C1128">
        <v>0</v>
      </c>
      <c r="D1128" t="s">
        <v>32</v>
      </c>
      <c r="E1128">
        <v>264</v>
      </c>
      <c r="F1128" t="s">
        <v>33</v>
      </c>
      <c r="G1128">
        <v>9</v>
      </c>
      <c r="H1128" t="s">
        <v>61</v>
      </c>
      <c r="I1128" t="s">
        <v>72</v>
      </c>
      <c r="J1128" t="s">
        <v>38</v>
      </c>
      <c r="K1128" t="s">
        <v>50</v>
      </c>
      <c r="L1128">
        <v>59</v>
      </c>
      <c r="M1128" t="s">
        <v>38</v>
      </c>
      <c r="N1128" t="s">
        <v>71</v>
      </c>
      <c r="O1128" t="s">
        <v>68</v>
      </c>
      <c r="P1128" t="s">
        <v>38</v>
      </c>
      <c r="Q1128" t="s">
        <v>52</v>
      </c>
      <c r="R1128">
        <v>19331</v>
      </c>
      <c r="S1128">
        <v>19519</v>
      </c>
      <c r="T1128">
        <v>4</v>
      </c>
      <c r="U1128" t="s">
        <v>31</v>
      </c>
      <c r="V1128">
        <v>16</v>
      </c>
      <c r="W1128" t="s">
        <v>43</v>
      </c>
      <c r="X1128" t="s">
        <v>38</v>
      </c>
      <c r="Y1128">
        <v>1</v>
      </c>
      <c r="Z1128">
        <v>27</v>
      </c>
      <c r="AA1128">
        <v>2</v>
      </c>
      <c r="AB1128" t="s">
        <v>54</v>
      </c>
      <c r="AC1128">
        <v>1</v>
      </c>
      <c r="AD1128" t="str" cm="1">
        <f t="array" ref="AD1128">_xlfn.IFS(AC1128&lt;=5,"0-5",AC1128&lt;=10,"5-10",AC1128&lt;=40,"10-40")</f>
        <v>0-5</v>
      </c>
      <c r="AE1128">
        <v>0</v>
      </c>
      <c r="AF1128">
        <v>0</v>
      </c>
      <c r="AG1128">
        <v>0</v>
      </c>
      <c r="AH1128">
        <v>1127</v>
      </c>
    </row>
    <row r="1129" spans="1:34" x14ac:dyDescent="0.3">
      <c r="A1129">
        <v>23</v>
      </c>
      <c r="B1129" t="str" cm="1">
        <f t="array" ref="B1129">_xlfn.IFS(A1129&lt;=25,"18-25",A1129&lt;=35,"26-35",A1129&lt;=45,"36-45",A1129&lt;=55,"46-55",A1129&gt;55,"55+")</f>
        <v>18-25</v>
      </c>
      <c r="C1129">
        <v>0</v>
      </c>
      <c r="D1129" t="s">
        <v>32</v>
      </c>
      <c r="E1129">
        <v>977</v>
      </c>
      <c r="F1129" t="s">
        <v>48</v>
      </c>
      <c r="G1129">
        <v>10</v>
      </c>
      <c r="H1129" t="s">
        <v>61</v>
      </c>
      <c r="I1129" t="s">
        <v>74</v>
      </c>
      <c r="J1129" t="s">
        <v>41</v>
      </c>
      <c r="K1129" t="s">
        <v>50</v>
      </c>
      <c r="L1129">
        <v>45</v>
      </c>
      <c r="M1129" t="s">
        <v>41</v>
      </c>
      <c r="N1129" t="s">
        <v>56</v>
      </c>
      <c r="O1129" t="s">
        <v>51</v>
      </c>
      <c r="P1129" t="s">
        <v>38</v>
      </c>
      <c r="Q1129" t="s">
        <v>52</v>
      </c>
      <c r="R1129">
        <v>2073</v>
      </c>
      <c r="S1129">
        <v>12826</v>
      </c>
      <c r="T1129">
        <v>2</v>
      </c>
      <c r="U1129" t="s">
        <v>46</v>
      </c>
      <c r="V1129">
        <v>16</v>
      </c>
      <c r="W1129" t="s">
        <v>43</v>
      </c>
      <c r="X1129" t="s">
        <v>41</v>
      </c>
      <c r="Y1129">
        <v>1</v>
      </c>
      <c r="Z1129">
        <v>4</v>
      </c>
      <c r="AA1129">
        <v>2</v>
      </c>
      <c r="AB1129" t="s">
        <v>54</v>
      </c>
      <c r="AC1129">
        <v>2</v>
      </c>
      <c r="AD1129" t="str" cm="1">
        <f t="array" ref="AD1129">_xlfn.IFS(AC1129&lt;=5,"0-5",AC1129&lt;=10,"5-10",AC1129&lt;=40,"10-40")</f>
        <v>0-5</v>
      </c>
      <c r="AE1129">
        <v>2</v>
      </c>
      <c r="AF1129">
        <v>2</v>
      </c>
      <c r="AG1129">
        <v>2</v>
      </c>
      <c r="AH1129">
        <v>1128</v>
      </c>
    </row>
    <row r="1130" spans="1:34" x14ac:dyDescent="0.3">
      <c r="A1130">
        <v>36</v>
      </c>
      <c r="B1130" t="str" cm="1">
        <f t="array" ref="B1130">_xlfn.IFS(A1130&lt;=25,"18-25",A1130&lt;=35,"26-35",A1130&lt;=45,"36-45",A1130&lt;=55,"46-55",A1130&gt;55,"55+")</f>
        <v>36-45</v>
      </c>
      <c r="C1130">
        <v>0</v>
      </c>
      <c r="D1130" t="s">
        <v>47</v>
      </c>
      <c r="E1130">
        <v>1302</v>
      </c>
      <c r="F1130" t="s">
        <v>48</v>
      </c>
      <c r="G1130">
        <v>6</v>
      </c>
      <c r="H1130" t="s">
        <v>58</v>
      </c>
      <c r="I1130" t="s">
        <v>35</v>
      </c>
      <c r="J1130" t="s">
        <v>44</v>
      </c>
      <c r="K1130" t="s">
        <v>50</v>
      </c>
      <c r="L1130">
        <v>80</v>
      </c>
      <c r="M1130" t="s">
        <v>41</v>
      </c>
      <c r="N1130" t="s">
        <v>39</v>
      </c>
      <c r="O1130" t="s">
        <v>57</v>
      </c>
      <c r="P1130" t="s">
        <v>44</v>
      </c>
      <c r="Q1130" t="s">
        <v>52</v>
      </c>
      <c r="R1130">
        <v>5562</v>
      </c>
      <c r="S1130">
        <v>19711</v>
      </c>
      <c r="T1130">
        <v>3</v>
      </c>
      <c r="U1130" t="s">
        <v>31</v>
      </c>
      <c r="V1130">
        <v>13</v>
      </c>
      <c r="W1130" t="s">
        <v>43</v>
      </c>
      <c r="X1130" t="s">
        <v>41</v>
      </c>
      <c r="Y1130">
        <v>1</v>
      </c>
      <c r="Z1130">
        <v>9</v>
      </c>
      <c r="AA1130">
        <v>3</v>
      </c>
      <c r="AB1130" t="s">
        <v>54</v>
      </c>
      <c r="AC1130">
        <v>3</v>
      </c>
      <c r="AD1130" t="str" cm="1">
        <f t="array" ref="AD1130">_xlfn.IFS(AC1130&lt;=5,"0-5",AC1130&lt;=10,"5-10",AC1130&lt;=40,"10-40")</f>
        <v>0-5</v>
      </c>
      <c r="AE1130">
        <v>2</v>
      </c>
      <c r="AF1130">
        <v>0</v>
      </c>
      <c r="AG1130">
        <v>2</v>
      </c>
      <c r="AH1130">
        <v>1129</v>
      </c>
    </row>
    <row r="1131" spans="1:34" x14ac:dyDescent="0.3">
      <c r="A1131">
        <v>42</v>
      </c>
      <c r="B1131" t="str" cm="1">
        <f t="array" ref="B1131">_xlfn.IFS(A1131&lt;=25,"18-25",A1131&lt;=35,"26-35",A1131&lt;=45,"36-45",A1131&lt;=55,"46-55",A1131&gt;55,"55+")</f>
        <v>36-45</v>
      </c>
      <c r="C1131">
        <v>0</v>
      </c>
      <c r="D1131" t="s">
        <v>32</v>
      </c>
      <c r="E1131">
        <v>1059</v>
      </c>
      <c r="F1131" t="s">
        <v>48</v>
      </c>
      <c r="G1131">
        <v>9</v>
      </c>
      <c r="H1131" t="s">
        <v>34</v>
      </c>
      <c r="I1131" t="s">
        <v>55</v>
      </c>
      <c r="J1131" t="s">
        <v>41</v>
      </c>
      <c r="K1131" t="s">
        <v>50</v>
      </c>
      <c r="L1131">
        <v>93</v>
      </c>
      <c r="M1131" t="s">
        <v>36</v>
      </c>
      <c r="N1131" t="s">
        <v>71</v>
      </c>
      <c r="O1131" t="s">
        <v>68</v>
      </c>
      <c r="P1131" t="s">
        <v>41</v>
      </c>
      <c r="Q1131" t="s">
        <v>42</v>
      </c>
      <c r="R1131">
        <v>19613</v>
      </c>
      <c r="S1131">
        <v>26362</v>
      </c>
      <c r="T1131">
        <v>8</v>
      </c>
      <c r="U1131" t="s">
        <v>46</v>
      </c>
      <c r="V1131">
        <v>22</v>
      </c>
      <c r="W1131" t="s">
        <v>53</v>
      </c>
      <c r="X1131" t="s">
        <v>41</v>
      </c>
      <c r="Y1131">
        <v>0</v>
      </c>
      <c r="Z1131">
        <v>24</v>
      </c>
      <c r="AA1131">
        <v>2</v>
      </c>
      <c r="AB1131" t="s">
        <v>54</v>
      </c>
      <c r="AC1131">
        <v>1</v>
      </c>
      <c r="AD1131" t="str" cm="1">
        <f t="array" ref="AD1131">_xlfn.IFS(AC1131&lt;=5,"0-5",AC1131&lt;=10,"5-10",AC1131&lt;=40,"10-40")</f>
        <v>0-5</v>
      </c>
      <c r="AE1131">
        <v>0</v>
      </c>
      <c r="AF1131">
        <v>0</v>
      </c>
      <c r="AG1131">
        <v>1</v>
      </c>
      <c r="AH1131">
        <v>1130</v>
      </c>
    </row>
    <row r="1132" spans="1:34" x14ac:dyDescent="0.3">
      <c r="A1132">
        <v>35</v>
      </c>
      <c r="B1132" t="str" cm="1">
        <f t="array" ref="B1132">_xlfn.IFS(A1132&lt;=25,"18-25",A1132&lt;=35,"26-35",A1132&lt;=45,"36-45",A1132&lt;=55,"46-55",A1132&gt;55,"55+")</f>
        <v>26-35</v>
      </c>
      <c r="C1132">
        <v>0</v>
      </c>
      <c r="D1132" t="s">
        <v>32</v>
      </c>
      <c r="E1132">
        <v>750</v>
      </c>
      <c r="F1132" t="s">
        <v>48</v>
      </c>
      <c r="G1132">
        <v>28</v>
      </c>
      <c r="H1132" t="s">
        <v>61</v>
      </c>
      <c r="I1132" t="s">
        <v>35</v>
      </c>
      <c r="J1132" t="s">
        <v>36</v>
      </c>
      <c r="K1132" t="s">
        <v>50</v>
      </c>
      <c r="L1132">
        <v>46</v>
      </c>
      <c r="M1132" t="s">
        <v>41</v>
      </c>
      <c r="N1132" t="s">
        <v>39</v>
      </c>
      <c r="O1132" t="s">
        <v>57</v>
      </c>
      <c r="P1132" t="s">
        <v>38</v>
      </c>
      <c r="Q1132" t="s">
        <v>52</v>
      </c>
      <c r="R1132">
        <v>3407</v>
      </c>
      <c r="S1132">
        <v>25348</v>
      </c>
      <c r="T1132">
        <v>1</v>
      </c>
      <c r="U1132" t="s">
        <v>46</v>
      </c>
      <c r="V1132">
        <v>17</v>
      </c>
      <c r="W1132" t="s">
        <v>43</v>
      </c>
      <c r="X1132" t="s">
        <v>41</v>
      </c>
      <c r="Y1132">
        <v>2</v>
      </c>
      <c r="Z1132">
        <v>10</v>
      </c>
      <c r="AA1132">
        <v>3</v>
      </c>
      <c r="AB1132" t="s">
        <v>60</v>
      </c>
      <c r="AC1132">
        <v>10</v>
      </c>
      <c r="AD1132" t="str" cm="1">
        <f t="array" ref="AD1132">_xlfn.IFS(AC1132&lt;=5,"0-5",AC1132&lt;=10,"5-10",AC1132&lt;=40,"10-40")</f>
        <v>5-10</v>
      </c>
      <c r="AE1132">
        <v>9</v>
      </c>
      <c r="AF1132">
        <v>6</v>
      </c>
      <c r="AG1132">
        <v>8</v>
      </c>
      <c r="AH1132">
        <v>1131</v>
      </c>
    </row>
    <row r="1133" spans="1:34" x14ac:dyDescent="0.3">
      <c r="A1133">
        <v>34</v>
      </c>
      <c r="B1133" t="str" cm="1">
        <f t="array" ref="B1133">_xlfn.IFS(A1133&lt;=25,"18-25",A1133&lt;=35,"26-35",A1133&lt;=45,"36-45",A1133&lt;=55,"46-55",A1133&gt;55,"55+")</f>
        <v>26-35</v>
      </c>
      <c r="C1133">
        <v>0</v>
      </c>
      <c r="D1133" t="s">
        <v>47</v>
      </c>
      <c r="E1133">
        <v>653</v>
      </c>
      <c r="F1133" t="s">
        <v>48</v>
      </c>
      <c r="G1133">
        <v>10</v>
      </c>
      <c r="H1133" t="s">
        <v>58</v>
      </c>
      <c r="I1133" t="s">
        <v>74</v>
      </c>
      <c r="J1133" t="s">
        <v>41</v>
      </c>
      <c r="K1133" t="s">
        <v>50</v>
      </c>
      <c r="L1133">
        <v>92</v>
      </c>
      <c r="M1133" t="s">
        <v>36</v>
      </c>
      <c r="N1133" t="s">
        <v>39</v>
      </c>
      <c r="O1133" t="s">
        <v>65</v>
      </c>
      <c r="P1133" t="s">
        <v>38</v>
      </c>
      <c r="Q1133" t="s">
        <v>52</v>
      </c>
      <c r="R1133">
        <v>5063</v>
      </c>
      <c r="S1133">
        <v>15332</v>
      </c>
      <c r="T1133">
        <v>1</v>
      </c>
      <c r="U1133" t="s">
        <v>46</v>
      </c>
      <c r="V1133">
        <v>14</v>
      </c>
      <c r="W1133" t="s">
        <v>43</v>
      </c>
      <c r="X1133" t="s">
        <v>36</v>
      </c>
      <c r="Y1133">
        <v>1</v>
      </c>
      <c r="Z1133">
        <v>8</v>
      </c>
      <c r="AA1133">
        <v>3</v>
      </c>
      <c r="AB1133" t="s">
        <v>60</v>
      </c>
      <c r="AC1133">
        <v>8</v>
      </c>
      <c r="AD1133" t="str" cm="1">
        <f t="array" ref="AD1133">_xlfn.IFS(AC1133&lt;=5,"0-5",AC1133&lt;=10,"5-10",AC1133&lt;=40,"10-40")</f>
        <v>5-10</v>
      </c>
      <c r="AE1133">
        <v>2</v>
      </c>
      <c r="AF1133">
        <v>7</v>
      </c>
      <c r="AG1133">
        <v>7</v>
      </c>
      <c r="AH1133">
        <v>1132</v>
      </c>
    </row>
    <row r="1134" spans="1:34" x14ac:dyDescent="0.3">
      <c r="A1134">
        <v>40</v>
      </c>
      <c r="B1134" t="str" cm="1">
        <f t="array" ref="B1134">_xlfn.IFS(A1134&lt;=25,"18-25",A1134&lt;=35,"26-35",A1134&lt;=45,"36-45",A1134&lt;=55,"46-55",A1134&gt;55,"55+")</f>
        <v>36-45</v>
      </c>
      <c r="C1134">
        <v>0</v>
      </c>
      <c r="D1134" t="s">
        <v>32</v>
      </c>
      <c r="E1134">
        <v>118</v>
      </c>
      <c r="F1134" t="s">
        <v>33</v>
      </c>
      <c r="G1134">
        <v>14</v>
      </c>
      <c r="H1134" t="s">
        <v>34</v>
      </c>
      <c r="I1134" t="s">
        <v>35</v>
      </c>
      <c r="J1134" t="s">
        <v>41</v>
      </c>
      <c r="K1134" t="s">
        <v>37</v>
      </c>
      <c r="L1134">
        <v>84</v>
      </c>
      <c r="M1134" t="s">
        <v>38</v>
      </c>
      <c r="N1134" t="s">
        <v>39</v>
      </c>
      <c r="O1134" t="s">
        <v>40</v>
      </c>
      <c r="P1134" t="s">
        <v>44</v>
      </c>
      <c r="Q1134" t="s">
        <v>52</v>
      </c>
      <c r="R1134">
        <v>4639</v>
      </c>
      <c r="S1134">
        <v>11262</v>
      </c>
      <c r="T1134">
        <v>1</v>
      </c>
      <c r="U1134" t="s">
        <v>46</v>
      </c>
      <c r="V1134">
        <v>15</v>
      </c>
      <c r="W1134" t="s">
        <v>43</v>
      </c>
      <c r="X1134" t="s">
        <v>38</v>
      </c>
      <c r="Y1134">
        <v>1</v>
      </c>
      <c r="Z1134">
        <v>5</v>
      </c>
      <c r="AA1134">
        <v>2</v>
      </c>
      <c r="AB1134" t="s">
        <v>54</v>
      </c>
      <c r="AC1134">
        <v>5</v>
      </c>
      <c r="AD1134" t="str" cm="1">
        <f t="array" ref="AD1134">_xlfn.IFS(AC1134&lt;=5,"0-5",AC1134&lt;=10,"5-10",AC1134&lt;=40,"10-40")</f>
        <v>0-5</v>
      </c>
      <c r="AE1134">
        <v>4</v>
      </c>
      <c r="AF1134">
        <v>1</v>
      </c>
      <c r="AG1134">
        <v>2</v>
      </c>
      <c r="AH1134">
        <v>1133</v>
      </c>
    </row>
    <row r="1135" spans="1:34" x14ac:dyDescent="0.3">
      <c r="A1135">
        <v>43</v>
      </c>
      <c r="B1135" t="str" cm="1">
        <f t="array" ref="B1135">_xlfn.IFS(A1135&lt;=25,"18-25",A1135&lt;=35,"26-35",A1135&lt;=45,"36-45",A1135&lt;=55,"46-55",A1135&gt;55,"55+")</f>
        <v>36-45</v>
      </c>
      <c r="C1135">
        <v>0</v>
      </c>
      <c r="D1135" t="s">
        <v>32</v>
      </c>
      <c r="E1135">
        <v>990</v>
      </c>
      <c r="F1135" t="s">
        <v>48</v>
      </c>
      <c r="G1135">
        <v>27</v>
      </c>
      <c r="H1135" t="s">
        <v>61</v>
      </c>
      <c r="I1135" t="s">
        <v>74</v>
      </c>
      <c r="J1135" t="s">
        <v>41</v>
      </c>
      <c r="K1135" t="s">
        <v>50</v>
      </c>
      <c r="L1135">
        <v>87</v>
      </c>
      <c r="M1135" t="s">
        <v>41</v>
      </c>
      <c r="N1135" t="s">
        <v>56</v>
      </c>
      <c r="O1135" t="s">
        <v>57</v>
      </c>
      <c r="P1135" t="s">
        <v>36</v>
      </c>
      <c r="Q1135" t="s">
        <v>62</v>
      </c>
      <c r="R1135">
        <v>4876</v>
      </c>
      <c r="S1135">
        <v>5855</v>
      </c>
      <c r="T1135">
        <v>5</v>
      </c>
      <c r="U1135" t="s">
        <v>46</v>
      </c>
      <c r="V1135">
        <v>12</v>
      </c>
      <c r="W1135" t="s">
        <v>43</v>
      </c>
      <c r="X1135" t="s">
        <v>38</v>
      </c>
      <c r="Y1135">
        <v>1</v>
      </c>
      <c r="Z1135">
        <v>8</v>
      </c>
      <c r="AA1135">
        <v>0</v>
      </c>
      <c r="AB1135" t="s">
        <v>54</v>
      </c>
      <c r="AC1135">
        <v>6</v>
      </c>
      <c r="AD1135" t="str" cm="1">
        <f t="array" ref="AD1135">_xlfn.IFS(AC1135&lt;=5,"0-5",AC1135&lt;=10,"5-10",AC1135&lt;=40,"10-40")</f>
        <v>5-10</v>
      </c>
      <c r="AE1135">
        <v>4</v>
      </c>
      <c r="AF1135">
        <v>0</v>
      </c>
      <c r="AG1135">
        <v>2</v>
      </c>
      <c r="AH1135">
        <v>1134</v>
      </c>
    </row>
    <row r="1136" spans="1:34" x14ac:dyDescent="0.3">
      <c r="A1136">
        <v>35</v>
      </c>
      <c r="B1136" t="str" cm="1">
        <f t="array" ref="B1136">_xlfn.IFS(A1136&lt;=25,"18-25",A1136&lt;=35,"26-35",A1136&lt;=45,"36-45",A1136&lt;=55,"46-55",A1136&gt;55,"55+")</f>
        <v>26-35</v>
      </c>
      <c r="C1136">
        <v>0</v>
      </c>
      <c r="D1136" t="s">
        <v>32</v>
      </c>
      <c r="E1136">
        <v>1349</v>
      </c>
      <c r="F1136" t="s">
        <v>48</v>
      </c>
      <c r="G1136">
        <v>7</v>
      </c>
      <c r="H1136" t="s">
        <v>34</v>
      </c>
      <c r="I1136" t="s">
        <v>35</v>
      </c>
      <c r="J1136" t="s">
        <v>38</v>
      </c>
      <c r="K1136" t="s">
        <v>50</v>
      </c>
      <c r="L1136">
        <v>63</v>
      </c>
      <c r="M1136" t="s">
        <v>36</v>
      </c>
      <c r="N1136" t="s">
        <v>56</v>
      </c>
      <c r="O1136" t="s">
        <v>57</v>
      </c>
      <c r="P1136" t="s">
        <v>41</v>
      </c>
      <c r="Q1136" t="s">
        <v>52</v>
      </c>
      <c r="R1136">
        <v>2690</v>
      </c>
      <c r="S1136">
        <v>7713</v>
      </c>
      <c r="T1136">
        <v>1</v>
      </c>
      <c r="U1136" t="s">
        <v>46</v>
      </c>
      <c r="V1136">
        <v>18</v>
      </c>
      <c r="W1136" t="s">
        <v>43</v>
      </c>
      <c r="X1136" t="s">
        <v>41</v>
      </c>
      <c r="Y1136">
        <v>1</v>
      </c>
      <c r="Z1136">
        <v>1</v>
      </c>
      <c r="AA1136">
        <v>5</v>
      </c>
      <c r="AB1136" t="s">
        <v>60</v>
      </c>
      <c r="AC1136">
        <v>1</v>
      </c>
      <c r="AD1136" t="str" cm="1">
        <f t="array" ref="AD1136">_xlfn.IFS(AC1136&lt;=5,"0-5",AC1136&lt;=10,"5-10",AC1136&lt;=40,"10-40")</f>
        <v>0-5</v>
      </c>
      <c r="AE1136">
        <v>0</v>
      </c>
      <c r="AF1136">
        <v>0</v>
      </c>
      <c r="AG1136">
        <v>1</v>
      </c>
      <c r="AH1136">
        <v>1135</v>
      </c>
    </row>
    <row r="1137" spans="1:34" x14ac:dyDescent="0.3">
      <c r="A1137">
        <v>46</v>
      </c>
      <c r="B1137" t="str" cm="1">
        <f t="array" ref="B1137">_xlfn.IFS(A1137&lt;=25,"18-25",A1137&lt;=35,"26-35",A1137&lt;=45,"36-45",A1137&lt;=55,"46-55",A1137&gt;55,"55+")</f>
        <v>46-55</v>
      </c>
      <c r="C1137">
        <v>0</v>
      </c>
      <c r="D1137" t="s">
        <v>32</v>
      </c>
      <c r="E1137">
        <v>563</v>
      </c>
      <c r="F1137" t="s">
        <v>33</v>
      </c>
      <c r="G1137">
        <v>1</v>
      </c>
      <c r="H1137" t="s">
        <v>58</v>
      </c>
      <c r="I1137" t="s">
        <v>35</v>
      </c>
      <c r="J1137" t="s">
        <v>41</v>
      </c>
      <c r="K1137" t="s">
        <v>50</v>
      </c>
      <c r="L1137">
        <v>56</v>
      </c>
      <c r="M1137" t="s">
        <v>41</v>
      </c>
      <c r="N1137" t="s">
        <v>67</v>
      </c>
      <c r="O1137" t="s">
        <v>68</v>
      </c>
      <c r="P1137" t="s">
        <v>44</v>
      </c>
      <c r="Q1137" t="s">
        <v>42</v>
      </c>
      <c r="R1137">
        <v>17567</v>
      </c>
      <c r="S1137">
        <v>3156</v>
      </c>
      <c r="T1137">
        <v>1</v>
      </c>
      <c r="U1137" t="s">
        <v>46</v>
      </c>
      <c r="V1137">
        <v>15</v>
      </c>
      <c r="W1137" t="s">
        <v>43</v>
      </c>
      <c r="X1137" t="s">
        <v>36</v>
      </c>
      <c r="Y1137">
        <v>0</v>
      </c>
      <c r="Z1137">
        <v>27</v>
      </c>
      <c r="AA1137">
        <v>5</v>
      </c>
      <c r="AB1137" t="s">
        <v>45</v>
      </c>
      <c r="AC1137">
        <v>26</v>
      </c>
      <c r="AD1137" t="str" cm="1">
        <f t="array" ref="AD1137">_xlfn.IFS(AC1137&lt;=5,"0-5",AC1137&lt;=10,"5-10",AC1137&lt;=40,"10-40")</f>
        <v>10-40</v>
      </c>
      <c r="AE1137">
        <v>0</v>
      </c>
      <c r="AF1137">
        <v>0</v>
      </c>
      <c r="AG1137">
        <v>12</v>
      </c>
      <c r="AH1137">
        <v>1136</v>
      </c>
    </row>
    <row r="1138" spans="1:34" x14ac:dyDescent="0.3">
      <c r="A1138">
        <v>28</v>
      </c>
      <c r="B1138" t="str" cm="1">
        <f t="array" ref="B1138">_xlfn.IFS(A1138&lt;=25,"18-25",A1138&lt;=35,"26-35",A1138&lt;=45,"36-45",A1138&lt;=55,"46-55",A1138&gt;55,"55+")</f>
        <v>26-35</v>
      </c>
      <c r="C1138">
        <v>1</v>
      </c>
      <c r="D1138" t="s">
        <v>32</v>
      </c>
      <c r="E1138">
        <v>329</v>
      </c>
      <c r="F1138" t="s">
        <v>48</v>
      </c>
      <c r="G1138">
        <v>24</v>
      </c>
      <c r="H1138" t="s">
        <v>61</v>
      </c>
      <c r="I1138" t="s">
        <v>59</v>
      </c>
      <c r="J1138" t="s">
        <v>38</v>
      </c>
      <c r="K1138" t="s">
        <v>50</v>
      </c>
      <c r="L1138">
        <v>51</v>
      </c>
      <c r="M1138" t="s">
        <v>38</v>
      </c>
      <c r="N1138" t="s">
        <v>56</v>
      </c>
      <c r="O1138" t="s">
        <v>57</v>
      </c>
      <c r="P1138" t="s">
        <v>36</v>
      </c>
      <c r="Q1138" t="s">
        <v>52</v>
      </c>
      <c r="R1138">
        <v>2408</v>
      </c>
      <c r="S1138">
        <v>7324</v>
      </c>
      <c r="T1138">
        <v>1</v>
      </c>
      <c r="U1138" t="s">
        <v>31</v>
      </c>
      <c r="V1138">
        <v>17</v>
      </c>
      <c r="W1138" t="s">
        <v>43</v>
      </c>
      <c r="X1138" t="s">
        <v>38</v>
      </c>
      <c r="Y1138">
        <v>3</v>
      </c>
      <c r="Z1138">
        <v>1</v>
      </c>
      <c r="AA1138">
        <v>3</v>
      </c>
      <c r="AB1138" t="s">
        <v>54</v>
      </c>
      <c r="AC1138">
        <v>1</v>
      </c>
      <c r="AD1138" t="str" cm="1">
        <f t="array" ref="AD1138">_xlfn.IFS(AC1138&lt;=5,"0-5",AC1138&lt;=10,"5-10",AC1138&lt;=40,"10-40")</f>
        <v>0-5</v>
      </c>
      <c r="AE1138">
        <v>1</v>
      </c>
      <c r="AF1138">
        <v>0</v>
      </c>
      <c r="AG1138">
        <v>0</v>
      </c>
      <c r="AH1138">
        <v>1137</v>
      </c>
    </row>
    <row r="1139" spans="1:34" x14ac:dyDescent="0.3">
      <c r="A1139">
        <v>22</v>
      </c>
      <c r="B1139" t="str" cm="1">
        <f t="array" ref="B1139">_xlfn.IFS(A1139&lt;=25,"18-25",A1139&lt;=35,"26-35",A1139&lt;=45,"36-45",A1139&lt;=55,"46-55",A1139&gt;55,"55+")</f>
        <v>18-25</v>
      </c>
      <c r="C1139">
        <v>0</v>
      </c>
      <c r="D1139" t="s">
        <v>66</v>
      </c>
      <c r="E1139">
        <v>457</v>
      </c>
      <c r="F1139" t="s">
        <v>48</v>
      </c>
      <c r="G1139">
        <v>26</v>
      </c>
      <c r="H1139" t="s">
        <v>34</v>
      </c>
      <c r="I1139" t="s">
        <v>55</v>
      </c>
      <c r="J1139" t="s">
        <v>36</v>
      </c>
      <c r="K1139" t="s">
        <v>37</v>
      </c>
      <c r="L1139">
        <v>85</v>
      </c>
      <c r="M1139" t="s">
        <v>36</v>
      </c>
      <c r="N1139" t="s">
        <v>56</v>
      </c>
      <c r="O1139" t="s">
        <v>51</v>
      </c>
      <c r="P1139" t="s">
        <v>38</v>
      </c>
      <c r="Q1139" t="s">
        <v>52</v>
      </c>
      <c r="R1139">
        <v>2814</v>
      </c>
      <c r="S1139">
        <v>10293</v>
      </c>
      <c r="T1139">
        <v>1</v>
      </c>
      <c r="U1139" t="s">
        <v>31</v>
      </c>
      <c r="V1139">
        <v>14</v>
      </c>
      <c r="W1139" t="s">
        <v>43</v>
      </c>
      <c r="X1139" t="s">
        <v>36</v>
      </c>
      <c r="Y1139">
        <v>0</v>
      </c>
      <c r="Z1139">
        <v>4</v>
      </c>
      <c r="AA1139">
        <v>2</v>
      </c>
      <c r="AB1139" t="s">
        <v>60</v>
      </c>
      <c r="AC1139">
        <v>4</v>
      </c>
      <c r="AD1139" t="str" cm="1">
        <f t="array" ref="AD1139">_xlfn.IFS(AC1139&lt;=5,"0-5",AC1139&lt;=10,"5-10",AC1139&lt;=40,"10-40")</f>
        <v>0-5</v>
      </c>
      <c r="AE1139">
        <v>2</v>
      </c>
      <c r="AF1139">
        <v>1</v>
      </c>
      <c r="AG1139">
        <v>3</v>
      </c>
      <c r="AH1139">
        <v>1138</v>
      </c>
    </row>
    <row r="1140" spans="1:34" x14ac:dyDescent="0.3">
      <c r="A1140">
        <v>50</v>
      </c>
      <c r="B1140" t="str" cm="1">
        <f t="array" ref="B1140">_xlfn.IFS(A1140&lt;=25,"18-25",A1140&lt;=35,"26-35",A1140&lt;=45,"36-45",A1140&lt;=55,"46-55",A1140&gt;55,"55+")</f>
        <v>46-55</v>
      </c>
      <c r="C1140">
        <v>0</v>
      </c>
      <c r="D1140" t="s">
        <v>47</v>
      </c>
      <c r="E1140">
        <v>1234</v>
      </c>
      <c r="F1140" t="s">
        <v>48</v>
      </c>
      <c r="G1140">
        <v>20</v>
      </c>
      <c r="H1140" t="s">
        <v>75</v>
      </c>
      <c r="I1140" t="s">
        <v>59</v>
      </c>
      <c r="J1140" t="s">
        <v>36</v>
      </c>
      <c r="K1140" t="s">
        <v>50</v>
      </c>
      <c r="L1140">
        <v>41</v>
      </c>
      <c r="M1140" t="s">
        <v>38</v>
      </c>
      <c r="N1140" t="s">
        <v>67</v>
      </c>
      <c r="O1140" t="s">
        <v>65</v>
      </c>
      <c r="P1140" t="s">
        <v>38</v>
      </c>
      <c r="Q1140" t="s">
        <v>52</v>
      </c>
      <c r="R1140">
        <v>11245</v>
      </c>
      <c r="S1140">
        <v>20689</v>
      </c>
      <c r="T1140">
        <v>2</v>
      </c>
      <c r="U1140" t="s">
        <v>31</v>
      </c>
      <c r="V1140">
        <v>15</v>
      </c>
      <c r="W1140" t="s">
        <v>43</v>
      </c>
      <c r="X1140" t="s">
        <v>38</v>
      </c>
      <c r="Y1140">
        <v>1</v>
      </c>
      <c r="Z1140">
        <v>32</v>
      </c>
      <c r="AA1140">
        <v>3</v>
      </c>
      <c r="AB1140" t="s">
        <v>54</v>
      </c>
      <c r="AC1140">
        <v>30</v>
      </c>
      <c r="AD1140" t="str" cm="1">
        <f t="array" ref="AD1140">_xlfn.IFS(AC1140&lt;=5,"0-5",AC1140&lt;=10,"5-10",AC1140&lt;=40,"10-40")</f>
        <v>10-40</v>
      </c>
      <c r="AE1140">
        <v>8</v>
      </c>
      <c r="AF1140">
        <v>12</v>
      </c>
      <c r="AG1140">
        <v>13</v>
      </c>
      <c r="AH1140">
        <v>1139</v>
      </c>
    </row>
    <row r="1141" spans="1:34" x14ac:dyDescent="0.3">
      <c r="A1141">
        <v>32</v>
      </c>
      <c r="B1141" t="str" cm="1">
        <f t="array" ref="B1141">_xlfn.IFS(A1141&lt;=25,"18-25",A1141&lt;=35,"26-35",A1141&lt;=45,"36-45",A1141&lt;=55,"46-55",A1141&gt;55,"55+")</f>
        <v>26-35</v>
      </c>
      <c r="C1141">
        <v>0</v>
      </c>
      <c r="D1141" t="s">
        <v>32</v>
      </c>
      <c r="E1141">
        <v>634</v>
      </c>
      <c r="F1141" t="s">
        <v>48</v>
      </c>
      <c r="G1141">
        <v>5</v>
      </c>
      <c r="H1141" t="s">
        <v>58</v>
      </c>
      <c r="I1141" t="s">
        <v>55</v>
      </c>
      <c r="J1141" t="s">
        <v>36</v>
      </c>
      <c r="K1141" t="s">
        <v>37</v>
      </c>
      <c r="L1141">
        <v>35</v>
      </c>
      <c r="M1141" t="s">
        <v>41</v>
      </c>
      <c r="N1141" t="s">
        <v>56</v>
      </c>
      <c r="O1141" t="s">
        <v>51</v>
      </c>
      <c r="P1141" t="s">
        <v>41</v>
      </c>
      <c r="Q1141" t="s">
        <v>52</v>
      </c>
      <c r="R1141">
        <v>3312</v>
      </c>
      <c r="S1141">
        <v>18783</v>
      </c>
      <c r="T1141">
        <v>3</v>
      </c>
      <c r="U1141" t="s">
        <v>46</v>
      </c>
      <c r="V1141">
        <v>17</v>
      </c>
      <c r="W1141" t="s">
        <v>43</v>
      </c>
      <c r="X1141" t="s">
        <v>41</v>
      </c>
      <c r="Y1141">
        <v>2</v>
      </c>
      <c r="Z1141">
        <v>6</v>
      </c>
      <c r="AA1141">
        <v>3</v>
      </c>
      <c r="AB1141" t="s">
        <v>54</v>
      </c>
      <c r="AC1141">
        <v>3</v>
      </c>
      <c r="AD1141" t="str" cm="1">
        <f t="array" ref="AD1141">_xlfn.IFS(AC1141&lt;=5,"0-5",AC1141&lt;=10,"5-10",AC1141&lt;=40,"10-40")</f>
        <v>0-5</v>
      </c>
      <c r="AE1141">
        <v>2</v>
      </c>
      <c r="AF1141">
        <v>0</v>
      </c>
      <c r="AG1141">
        <v>2</v>
      </c>
      <c r="AH1141">
        <v>1140</v>
      </c>
    </row>
    <row r="1142" spans="1:34" x14ac:dyDescent="0.3">
      <c r="A1142">
        <v>44</v>
      </c>
      <c r="B1142" t="str" cm="1">
        <f t="array" ref="B1142">_xlfn.IFS(A1142&lt;=25,"18-25",A1142&lt;=35,"26-35",A1142&lt;=45,"36-45",A1142&lt;=55,"46-55",A1142&gt;55,"55+")</f>
        <v>36-45</v>
      </c>
      <c r="C1142">
        <v>0</v>
      </c>
      <c r="D1142" t="s">
        <v>32</v>
      </c>
      <c r="E1142">
        <v>1313</v>
      </c>
      <c r="F1142" t="s">
        <v>48</v>
      </c>
      <c r="G1142">
        <v>7</v>
      </c>
      <c r="H1142" t="s">
        <v>61</v>
      </c>
      <c r="I1142" t="s">
        <v>59</v>
      </c>
      <c r="J1142" t="s">
        <v>36</v>
      </c>
      <c r="K1142" t="s">
        <v>37</v>
      </c>
      <c r="L1142">
        <v>31</v>
      </c>
      <c r="M1142" t="s">
        <v>38</v>
      </c>
      <c r="N1142" t="s">
        <v>71</v>
      </c>
      <c r="O1142" t="s">
        <v>70</v>
      </c>
      <c r="P1142" t="s">
        <v>41</v>
      </c>
      <c r="Q1142" t="s">
        <v>62</v>
      </c>
      <c r="R1142">
        <v>19049</v>
      </c>
      <c r="S1142">
        <v>3549</v>
      </c>
      <c r="T1142">
        <v>0</v>
      </c>
      <c r="U1142" t="s">
        <v>31</v>
      </c>
      <c r="V1142">
        <v>14</v>
      </c>
      <c r="W1142" t="s">
        <v>43</v>
      </c>
      <c r="X1142" t="s">
        <v>41</v>
      </c>
      <c r="Y1142">
        <v>1</v>
      </c>
      <c r="Z1142">
        <v>23</v>
      </c>
      <c r="AA1142">
        <v>4</v>
      </c>
      <c r="AB1142" t="s">
        <v>60</v>
      </c>
      <c r="AC1142">
        <v>22</v>
      </c>
      <c r="AD1142" t="str" cm="1">
        <f t="array" ref="AD1142">_xlfn.IFS(AC1142&lt;=5,"0-5",AC1142&lt;=10,"5-10",AC1142&lt;=40,"10-40")</f>
        <v>10-40</v>
      </c>
      <c r="AE1142">
        <v>7</v>
      </c>
      <c r="AF1142">
        <v>1</v>
      </c>
      <c r="AG1142">
        <v>10</v>
      </c>
      <c r="AH1142">
        <v>1141</v>
      </c>
    </row>
    <row r="1143" spans="1:34" x14ac:dyDescent="0.3">
      <c r="A1143">
        <v>30</v>
      </c>
      <c r="B1143" t="str" cm="1">
        <f t="array" ref="B1143">_xlfn.IFS(A1143&lt;=25,"18-25",A1143&lt;=35,"26-35",A1143&lt;=45,"36-45",A1143&lt;=55,"46-55",A1143&gt;55,"55+")</f>
        <v>26-35</v>
      </c>
      <c r="C1143">
        <v>0</v>
      </c>
      <c r="D1143" t="s">
        <v>32</v>
      </c>
      <c r="E1143">
        <v>241</v>
      </c>
      <c r="F1143" t="s">
        <v>48</v>
      </c>
      <c r="G1143">
        <v>7</v>
      </c>
      <c r="H1143" t="s">
        <v>61</v>
      </c>
      <c r="I1143" t="s">
        <v>59</v>
      </c>
      <c r="J1143" t="s">
        <v>36</v>
      </c>
      <c r="K1143" t="s">
        <v>50</v>
      </c>
      <c r="L1143">
        <v>48</v>
      </c>
      <c r="M1143" t="s">
        <v>36</v>
      </c>
      <c r="N1143" t="s">
        <v>56</v>
      </c>
      <c r="O1143" t="s">
        <v>51</v>
      </c>
      <c r="P1143" t="s">
        <v>36</v>
      </c>
      <c r="Q1143" t="s">
        <v>52</v>
      </c>
      <c r="R1143">
        <v>2141</v>
      </c>
      <c r="S1143">
        <v>5348</v>
      </c>
      <c r="T1143">
        <v>1</v>
      </c>
      <c r="U1143" t="s">
        <v>46</v>
      </c>
      <c r="V1143">
        <v>12</v>
      </c>
      <c r="W1143" t="s">
        <v>43</v>
      </c>
      <c r="X1143" t="s">
        <v>36</v>
      </c>
      <c r="Y1143">
        <v>1</v>
      </c>
      <c r="Z1143">
        <v>6</v>
      </c>
      <c r="AA1143">
        <v>3</v>
      </c>
      <c r="AB1143" t="s">
        <v>60</v>
      </c>
      <c r="AC1143">
        <v>6</v>
      </c>
      <c r="AD1143" t="str" cm="1">
        <f t="array" ref="AD1143">_xlfn.IFS(AC1143&lt;=5,"0-5",AC1143&lt;=10,"5-10",AC1143&lt;=40,"10-40")</f>
        <v>5-10</v>
      </c>
      <c r="AE1143">
        <v>4</v>
      </c>
      <c r="AF1143">
        <v>1</v>
      </c>
      <c r="AG1143">
        <v>1</v>
      </c>
      <c r="AH1143">
        <v>1142</v>
      </c>
    </row>
    <row r="1144" spans="1:34" x14ac:dyDescent="0.3">
      <c r="A1144">
        <v>45</v>
      </c>
      <c r="B1144" t="str" cm="1">
        <f t="array" ref="B1144">_xlfn.IFS(A1144&lt;=25,"18-25",A1144&lt;=35,"26-35",A1144&lt;=45,"36-45",A1144&lt;=55,"46-55",A1144&gt;55,"55+")</f>
        <v>36-45</v>
      </c>
      <c r="C1144">
        <v>0</v>
      </c>
      <c r="D1144" t="s">
        <v>32</v>
      </c>
      <c r="E1144">
        <v>1015</v>
      </c>
      <c r="F1144" t="s">
        <v>48</v>
      </c>
      <c r="G1144">
        <v>5</v>
      </c>
      <c r="H1144" t="s">
        <v>75</v>
      </c>
      <c r="I1144" t="s">
        <v>59</v>
      </c>
      <c r="J1144" t="s">
        <v>38</v>
      </c>
      <c r="K1144" t="s">
        <v>37</v>
      </c>
      <c r="L1144">
        <v>50</v>
      </c>
      <c r="M1144" t="s">
        <v>44</v>
      </c>
      <c r="N1144" t="s">
        <v>39</v>
      </c>
      <c r="O1144" t="s">
        <v>57</v>
      </c>
      <c r="P1144" t="s">
        <v>44</v>
      </c>
      <c r="Q1144" t="s">
        <v>42</v>
      </c>
      <c r="R1144">
        <v>5769</v>
      </c>
      <c r="S1144">
        <v>23447</v>
      </c>
      <c r="T1144">
        <v>1</v>
      </c>
      <c r="U1144" t="s">
        <v>31</v>
      </c>
      <c r="V1144">
        <v>14</v>
      </c>
      <c r="W1144" t="s">
        <v>43</v>
      </c>
      <c r="X1144" t="s">
        <v>44</v>
      </c>
      <c r="Y1144">
        <v>0</v>
      </c>
      <c r="Z1144">
        <v>10</v>
      </c>
      <c r="AA1144">
        <v>3</v>
      </c>
      <c r="AB1144" t="s">
        <v>54</v>
      </c>
      <c r="AC1144">
        <v>10</v>
      </c>
      <c r="AD1144" t="str" cm="1">
        <f t="array" ref="AD1144">_xlfn.IFS(AC1144&lt;=5,"0-5",AC1144&lt;=10,"5-10",AC1144&lt;=40,"10-40")</f>
        <v>5-10</v>
      </c>
      <c r="AE1144">
        <v>7</v>
      </c>
      <c r="AF1144">
        <v>1</v>
      </c>
      <c r="AG1144">
        <v>4</v>
      </c>
      <c r="AH1144">
        <v>1143</v>
      </c>
    </row>
    <row r="1145" spans="1:34" x14ac:dyDescent="0.3">
      <c r="A1145">
        <v>45</v>
      </c>
      <c r="B1145" t="str" cm="1">
        <f t="array" ref="B1145">_xlfn.IFS(A1145&lt;=25,"18-25",A1145&lt;=35,"26-35",A1145&lt;=45,"36-45",A1145&lt;=55,"46-55",A1145&gt;55,"55+")</f>
        <v>36-45</v>
      </c>
      <c r="C1145">
        <v>0</v>
      </c>
      <c r="D1145" t="s">
        <v>66</v>
      </c>
      <c r="E1145">
        <v>336</v>
      </c>
      <c r="F1145" t="s">
        <v>33</v>
      </c>
      <c r="G1145">
        <v>26</v>
      </c>
      <c r="H1145" t="s">
        <v>61</v>
      </c>
      <c r="I1145" t="s">
        <v>72</v>
      </c>
      <c r="J1145" t="s">
        <v>44</v>
      </c>
      <c r="K1145" t="s">
        <v>50</v>
      </c>
      <c r="L1145">
        <v>52</v>
      </c>
      <c r="M1145" t="s">
        <v>36</v>
      </c>
      <c r="N1145" t="s">
        <v>39</v>
      </c>
      <c r="O1145" t="s">
        <v>40</v>
      </c>
      <c r="P1145" t="s">
        <v>44</v>
      </c>
      <c r="Q1145" t="s">
        <v>52</v>
      </c>
      <c r="R1145">
        <v>4385</v>
      </c>
      <c r="S1145">
        <v>24162</v>
      </c>
      <c r="T1145">
        <v>1</v>
      </c>
      <c r="U1145" t="s">
        <v>46</v>
      </c>
      <c r="V1145">
        <v>15</v>
      </c>
      <c r="W1145" t="s">
        <v>43</v>
      </c>
      <c r="X1145" t="s">
        <v>44</v>
      </c>
      <c r="Y1145">
        <v>1</v>
      </c>
      <c r="Z1145">
        <v>10</v>
      </c>
      <c r="AA1145">
        <v>2</v>
      </c>
      <c r="AB1145" t="s">
        <v>54</v>
      </c>
      <c r="AC1145">
        <v>10</v>
      </c>
      <c r="AD1145" t="str" cm="1">
        <f t="array" ref="AD1145">_xlfn.IFS(AC1145&lt;=5,"0-5",AC1145&lt;=10,"5-10",AC1145&lt;=40,"10-40")</f>
        <v>5-10</v>
      </c>
      <c r="AE1145">
        <v>7</v>
      </c>
      <c r="AF1145">
        <v>4</v>
      </c>
      <c r="AG1145">
        <v>5</v>
      </c>
      <c r="AH1145">
        <v>1144</v>
      </c>
    </row>
    <row r="1146" spans="1:34" x14ac:dyDescent="0.3">
      <c r="A1146">
        <v>31</v>
      </c>
      <c r="B1146" t="str" cm="1">
        <f t="array" ref="B1146">_xlfn.IFS(A1146&lt;=25,"18-25",A1146&lt;=35,"26-35",A1146&lt;=45,"36-45",A1146&lt;=55,"46-55",A1146&gt;55,"55+")</f>
        <v>26-35</v>
      </c>
      <c r="C1146">
        <v>0</v>
      </c>
      <c r="D1146" t="s">
        <v>47</v>
      </c>
      <c r="E1146">
        <v>715</v>
      </c>
      <c r="F1146" t="s">
        <v>33</v>
      </c>
      <c r="G1146">
        <v>2</v>
      </c>
      <c r="H1146" t="s">
        <v>58</v>
      </c>
      <c r="I1146" t="s">
        <v>55</v>
      </c>
      <c r="J1146" t="s">
        <v>41</v>
      </c>
      <c r="K1146" t="s">
        <v>50</v>
      </c>
      <c r="L1146">
        <v>54</v>
      </c>
      <c r="M1146" t="s">
        <v>38</v>
      </c>
      <c r="N1146" t="s">
        <v>39</v>
      </c>
      <c r="O1146" t="s">
        <v>40</v>
      </c>
      <c r="P1146" t="s">
        <v>44</v>
      </c>
      <c r="Q1146" t="s">
        <v>42</v>
      </c>
      <c r="R1146">
        <v>5332</v>
      </c>
      <c r="S1146">
        <v>21602</v>
      </c>
      <c r="T1146">
        <v>7</v>
      </c>
      <c r="U1146" t="s">
        <v>46</v>
      </c>
      <c r="V1146">
        <v>13</v>
      </c>
      <c r="W1146" t="s">
        <v>43</v>
      </c>
      <c r="X1146" t="s">
        <v>41</v>
      </c>
      <c r="Y1146">
        <v>0</v>
      </c>
      <c r="Z1146">
        <v>10</v>
      </c>
      <c r="AA1146">
        <v>3</v>
      </c>
      <c r="AB1146" t="s">
        <v>54</v>
      </c>
      <c r="AC1146">
        <v>5</v>
      </c>
      <c r="AD1146" t="str" cm="1">
        <f t="array" ref="AD1146">_xlfn.IFS(AC1146&lt;=5,"0-5",AC1146&lt;=10,"5-10",AC1146&lt;=40,"10-40")</f>
        <v>0-5</v>
      </c>
      <c r="AE1146">
        <v>2</v>
      </c>
      <c r="AF1146">
        <v>0</v>
      </c>
      <c r="AG1146">
        <v>3</v>
      </c>
      <c r="AH1146">
        <v>1145</v>
      </c>
    </row>
    <row r="1147" spans="1:34" x14ac:dyDescent="0.3">
      <c r="A1147">
        <v>36</v>
      </c>
      <c r="B1147" t="str" cm="1">
        <f t="array" ref="B1147">_xlfn.IFS(A1147&lt;=25,"18-25",A1147&lt;=35,"26-35",A1147&lt;=45,"36-45",A1147&lt;=55,"46-55",A1147&gt;55,"55+")</f>
        <v>36-45</v>
      </c>
      <c r="C1147">
        <v>0</v>
      </c>
      <c r="D1147" t="s">
        <v>32</v>
      </c>
      <c r="E1147">
        <v>559</v>
      </c>
      <c r="F1147" t="s">
        <v>48</v>
      </c>
      <c r="G1147">
        <v>12</v>
      </c>
      <c r="H1147" t="s">
        <v>58</v>
      </c>
      <c r="I1147" t="s">
        <v>35</v>
      </c>
      <c r="J1147" t="s">
        <v>38</v>
      </c>
      <c r="K1147" t="s">
        <v>37</v>
      </c>
      <c r="L1147">
        <v>76</v>
      </c>
      <c r="M1147" t="s">
        <v>38</v>
      </c>
      <c r="N1147" t="s">
        <v>39</v>
      </c>
      <c r="O1147" t="s">
        <v>64</v>
      </c>
      <c r="P1147" t="s">
        <v>38</v>
      </c>
      <c r="Q1147" t="s">
        <v>52</v>
      </c>
      <c r="R1147">
        <v>4663</v>
      </c>
      <c r="S1147">
        <v>12421</v>
      </c>
      <c r="T1147">
        <v>9</v>
      </c>
      <c r="U1147" t="s">
        <v>31</v>
      </c>
      <c r="V1147">
        <v>12</v>
      </c>
      <c r="W1147" t="s">
        <v>43</v>
      </c>
      <c r="X1147" t="s">
        <v>36</v>
      </c>
      <c r="Y1147">
        <v>2</v>
      </c>
      <c r="Z1147">
        <v>7</v>
      </c>
      <c r="AA1147">
        <v>2</v>
      </c>
      <c r="AB1147" t="s">
        <v>54</v>
      </c>
      <c r="AC1147">
        <v>3</v>
      </c>
      <c r="AD1147" t="str" cm="1">
        <f t="array" ref="AD1147">_xlfn.IFS(AC1147&lt;=5,"0-5",AC1147&lt;=10,"5-10",AC1147&lt;=40,"10-40")</f>
        <v>0-5</v>
      </c>
      <c r="AE1147">
        <v>2</v>
      </c>
      <c r="AF1147">
        <v>1</v>
      </c>
      <c r="AG1147">
        <v>1</v>
      </c>
      <c r="AH1147">
        <v>1146</v>
      </c>
    </row>
    <row r="1148" spans="1:34" x14ac:dyDescent="0.3">
      <c r="A1148">
        <v>34</v>
      </c>
      <c r="B1148" t="str" cm="1">
        <f t="array" ref="B1148">_xlfn.IFS(A1148&lt;=25,"18-25",A1148&lt;=35,"26-35",A1148&lt;=45,"36-45",A1148&lt;=55,"46-55",A1148&gt;55,"55+")</f>
        <v>26-35</v>
      </c>
      <c r="C1148">
        <v>0</v>
      </c>
      <c r="D1148" t="s">
        <v>47</v>
      </c>
      <c r="E1148">
        <v>426</v>
      </c>
      <c r="F1148" t="s">
        <v>48</v>
      </c>
      <c r="G1148">
        <v>10</v>
      </c>
      <c r="H1148" t="s">
        <v>58</v>
      </c>
      <c r="I1148" t="s">
        <v>35</v>
      </c>
      <c r="J1148" t="s">
        <v>38</v>
      </c>
      <c r="K1148" t="s">
        <v>50</v>
      </c>
      <c r="L1148">
        <v>42</v>
      </c>
      <c r="M1148" t="s">
        <v>41</v>
      </c>
      <c r="N1148" t="s">
        <v>39</v>
      </c>
      <c r="O1148" t="s">
        <v>64</v>
      </c>
      <c r="P1148" t="s">
        <v>41</v>
      </c>
      <c r="Q1148" t="s">
        <v>62</v>
      </c>
      <c r="R1148">
        <v>4724</v>
      </c>
      <c r="S1148">
        <v>17000</v>
      </c>
      <c r="T1148">
        <v>1</v>
      </c>
      <c r="U1148" t="s">
        <v>46</v>
      </c>
      <c r="V1148">
        <v>13</v>
      </c>
      <c r="W1148" t="s">
        <v>43</v>
      </c>
      <c r="X1148" t="s">
        <v>44</v>
      </c>
      <c r="Y1148">
        <v>1</v>
      </c>
      <c r="Z1148">
        <v>9</v>
      </c>
      <c r="AA1148">
        <v>3</v>
      </c>
      <c r="AB1148" t="s">
        <v>54</v>
      </c>
      <c r="AC1148">
        <v>9</v>
      </c>
      <c r="AD1148" t="str" cm="1">
        <f t="array" ref="AD1148">_xlfn.IFS(AC1148&lt;=5,"0-5",AC1148&lt;=10,"5-10",AC1148&lt;=40,"10-40")</f>
        <v>5-10</v>
      </c>
      <c r="AE1148">
        <v>7</v>
      </c>
      <c r="AF1148">
        <v>7</v>
      </c>
      <c r="AG1148">
        <v>2</v>
      </c>
      <c r="AH1148">
        <v>1147</v>
      </c>
    </row>
    <row r="1149" spans="1:34" x14ac:dyDescent="0.3">
      <c r="A1149">
        <v>49</v>
      </c>
      <c r="B1149" t="str" cm="1">
        <f t="array" ref="B1149">_xlfn.IFS(A1149&lt;=25,"18-25",A1149&lt;=35,"26-35",A1149&lt;=45,"36-45",A1149&lt;=55,"46-55",A1149&gt;55,"55+")</f>
        <v>46-55</v>
      </c>
      <c r="C1149">
        <v>0</v>
      </c>
      <c r="D1149" t="s">
        <v>32</v>
      </c>
      <c r="E1149">
        <v>722</v>
      </c>
      <c r="F1149" t="s">
        <v>48</v>
      </c>
      <c r="G1149">
        <v>25</v>
      </c>
      <c r="H1149" t="s">
        <v>58</v>
      </c>
      <c r="I1149" t="s">
        <v>35</v>
      </c>
      <c r="J1149" t="s">
        <v>38</v>
      </c>
      <c r="K1149" t="s">
        <v>37</v>
      </c>
      <c r="L1149">
        <v>84</v>
      </c>
      <c r="M1149" t="s">
        <v>38</v>
      </c>
      <c r="N1149" t="s">
        <v>56</v>
      </c>
      <c r="O1149" t="s">
        <v>57</v>
      </c>
      <c r="P1149" t="s">
        <v>44</v>
      </c>
      <c r="Q1149" t="s">
        <v>52</v>
      </c>
      <c r="R1149">
        <v>3211</v>
      </c>
      <c r="S1149">
        <v>22102</v>
      </c>
      <c r="T1149">
        <v>1</v>
      </c>
      <c r="U1149" t="s">
        <v>46</v>
      </c>
      <c r="V1149">
        <v>14</v>
      </c>
      <c r="W1149" t="s">
        <v>43</v>
      </c>
      <c r="X1149" t="s">
        <v>41</v>
      </c>
      <c r="Y1149">
        <v>1</v>
      </c>
      <c r="Z1149">
        <v>10</v>
      </c>
      <c r="AA1149">
        <v>3</v>
      </c>
      <c r="AB1149" t="s">
        <v>60</v>
      </c>
      <c r="AC1149">
        <v>9</v>
      </c>
      <c r="AD1149" t="str" cm="1">
        <f t="array" ref="AD1149">_xlfn.IFS(AC1149&lt;=5,"0-5",AC1149&lt;=10,"5-10",AC1149&lt;=40,"10-40")</f>
        <v>5-10</v>
      </c>
      <c r="AE1149">
        <v>6</v>
      </c>
      <c r="AF1149">
        <v>1</v>
      </c>
      <c r="AG1149">
        <v>4</v>
      </c>
      <c r="AH1149">
        <v>1148</v>
      </c>
    </row>
    <row r="1150" spans="1:34" x14ac:dyDescent="0.3">
      <c r="A1150">
        <v>39</v>
      </c>
      <c r="B1150" t="str" cm="1">
        <f t="array" ref="B1150">_xlfn.IFS(A1150&lt;=25,"18-25",A1150&lt;=35,"26-35",A1150&lt;=45,"36-45",A1150&lt;=55,"46-55",A1150&gt;55,"55+")</f>
        <v>36-45</v>
      </c>
      <c r="C1150">
        <v>0</v>
      </c>
      <c r="D1150" t="s">
        <v>32</v>
      </c>
      <c r="E1150">
        <v>1387</v>
      </c>
      <c r="F1150" t="s">
        <v>48</v>
      </c>
      <c r="G1150">
        <v>10</v>
      </c>
      <c r="H1150" t="s">
        <v>75</v>
      </c>
      <c r="I1150" t="s">
        <v>59</v>
      </c>
      <c r="J1150" t="s">
        <v>36</v>
      </c>
      <c r="K1150" t="s">
        <v>50</v>
      </c>
      <c r="L1150">
        <v>76</v>
      </c>
      <c r="M1150" t="s">
        <v>38</v>
      </c>
      <c r="N1150" t="s">
        <v>39</v>
      </c>
      <c r="O1150" t="s">
        <v>64</v>
      </c>
      <c r="P1150" t="s">
        <v>44</v>
      </c>
      <c r="Q1150" t="s">
        <v>52</v>
      </c>
      <c r="R1150">
        <v>5377</v>
      </c>
      <c r="S1150">
        <v>3835</v>
      </c>
      <c r="T1150">
        <v>2</v>
      </c>
      <c r="U1150" t="s">
        <v>46</v>
      </c>
      <c r="V1150">
        <v>13</v>
      </c>
      <c r="W1150" t="s">
        <v>43</v>
      </c>
      <c r="X1150" t="s">
        <v>41</v>
      </c>
      <c r="Y1150">
        <v>3</v>
      </c>
      <c r="Z1150">
        <v>10</v>
      </c>
      <c r="AA1150">
        <v>3</v>
      </c>
      <c r="AB1150" t="s">
        <v>54</v>
      </c>
      <c r="AC1150">
        <v>7</v>
      </c>
      <c r="AD1150" t="str" cm="1">
        <f t="array" ref="AD1150">_xlfn.IFS(AC1150&lt;=5,"0-5",AC1150&lt;=10,"5-10",AC1150&lt;=40,"10-40")</f>
        <v>5-10</v>
      </c>
      <c r="AE1150">
        <v>7</v>
      </c>
      <c r="AF1150">
        <v>7</v>
      </c>
      <c r="AG1150">
        <v>7</v>
      </c>
      <c r="AH1150">
        <v>1149</v>
      </c>
    </row>
    <row r="1151" spans="1:34" x14ac:dyDescent="0.3">
      <c r="A1151">
        <v>27</v>
      </c>
      <c r="B1151" t="str" cm="1">
        <f t="array" ref="B1151">_xlfn.IFS(A1151&lt;=25,"18-25",A1151&lt;=35,"26-35",A1151&lt;=45,"36-45",A1151&lt;=55,"46-55",A1151&gt;55,"55+")</f>
        <v>26-35</v>
      </c>
      <c r="C1151">
        <v>0</v>
      </c>
      <c r="D1151" t="s">
        <v>32</v>
      </c>
      <c r="E1151">
        <v>1302</v>
      </c>
      <c r="F1151" t="s">
        <v>48</v>
      </c>
      <c r="G1151">
        <v>19</v>
      </c>
      <c r="H1151" t="s">
        <v>61</v>
      </c>
      <c r="I1151" t="s">
        <v>55</v>
      </c>
      <c r="J1151" t="s">
        <v>41</v>
      </c>
      <c r="K1151" t="s">
        <v>50</v>
      </c>
      <c r="L1151">
        <v>67</v>
      </c>
      <c r="M1151" t="s">
        <v>36</v>
      </c>
      <c r="N1151" t="s">
        <v>56</v>
      </c>
      <c r="O1151" t="s">
        <v>57</v>
      </c>
      <c r="P1151" t="s">
        <v>44</v>
      </c>
      <c r="Q1151" t="s">
        <v>62</v>
      </c>
      <c r="R1151">
        <v>4066</v>
      </c>
      <c r="S1151">
        <v>16290</v>
      </c>
      <c r="T1151">
        <v>1</v>
      </c>
      <c r="U1151" t="s">
        <v>46</v>
      </c>
      <c r="V1151">
        <v>11</v>
      </c>
      <c r="W1151" t="s">
        <v>43</v>
      </c>
      <c r="X1151" t="s">
        <v>44</v>
      </c>
      <c r="Y1151">
        <v>2</v>
      </c>
      <c r="Z1151">
        <v>7</v>
      </c>
      <c r="AA1151">
        <v>3</v>
      </c>
      <c r="AB1151" t="s">
        <v>54</v>
      </c>
      <c r="AC1151">
        <v>7</v>
      </c>
      <c r="AD1151" t="str" cm="1">
        <f t="array" ref="AD1151">_xlfn.IFS(AC1151&lt;=5,"0-5",AC1151&lt;=10,"5-10",AC1151&lt;=40,"10-40")</f>
        <v>5-10</v>
      </c>
      <c r="AE1151">
        <v>7</v>
      </c>
      <c r="AF1151">
        <v>0</v>
      </c>
      <c r="AG1151">
        <v>7</v>
      </c>
      <c r="AH1151">
        <v>1150</v>
      </c>
    </row>
    <row r="1152" spans="1:34" x14ac:dyDescent="0.3">
      <c r="A1152">
        <v>35</v>
      </c>
      <c r="B1152" t="str" cm="1">
        <f t="array" ref="B1152">_xlfn.IFS(A1152&lt;=25,"18-25",A1152&lt;=35,"26-35",A1152&lt;=45,"36-45",A1152&lt;=55,"46-55",A1152&gt;55,"55+")</f>
        <v>26-35</v>
      </c>
      <c r="C1152">
        <v>0</v>
      </c>
      <c r="D1152" t="s">
        <v>32</v>
      </c>
      <c r="E1152">
        <v>819</v>
      </c>
      <c r="F1152" t="s">
        <v>48</v>
      </c>
      <c r="G1152">
        <v>18</v>
      </c>
      <c r="H1152" t="s">
        <v>75</v>
      </c>
      <c r="I1152" t="s">
        <v>35</v>
      </c>
      <c r="J1152" t="s">
        <v>36</v>
      </c>
      <c r="K1152" t="s">
        <v>50</v>
      </c>
      <c r="L1152">
        <v>48</v>
      </c>
      <c r="M1152" t="s">
        <v>41</v>
      </c>
      <c r="N1152" t="s">
        <v>39</v>
      </c>
      <c r="O1152" t="s">
        <v>51</v>
      </c>
      <c r="P1152" t="s">
        <v>44</v>
      </c>
      <c r="Q1152" t="s">
        <v>52</v>
      </c>
      <c r="R1152">
        <v>5208</v>
      </c>
      <c r="S1152">
        <v>26312</v>
      </c>
      <c r="T1152">
        <v>1</v>
      </c>
      <c r="U1152" t="s">
        <v>46</v>
      </c>
      <c r="V1152">
        <v>11</v>
      </c>
      <c r="W1152" t="s">
        <v>43</v>
      </c>
      <c r="X1152" t="s">
        <v>41</v>
      </c>
      <c r="Y1152">
        <v>0</v>
      </c>
      <c r="Z1152">
        <v>16</v>
      </c>
      <c r="AA1152">
        <v>2</v>
      </c>
      <c r="AB1152" t="s">
        <v>54</v>
      </c>
      <c r="AC1152">
        <v>16</v>
      </c>
      <c r="AD1152" t="str" cm="1">
        <f t="array" ref="AD1152">_xlfn.IFS(AC1152&lt;=5,"0-5",AC1152&lt;=10,"5-10",AC1152&lt;=40,"10-40")</f>
        <v>10-40</v>
      </c>
      <c r="AE1152">
        <v>15</v>
      </c>
      <c r="AF1152">
        <v>1</v>
      </c>
      <c r="AG1152">
        <v>10</v>
      </c>
      <c r="AH1152">
        <v>1151</v>
      </c>
    </row>
    <row r="1153" spans="1:34" x14ac:dyDescent="0.3">
      <c r="A1153">
        <v>28</v>
      </c>
      <c r="B1153" t="str" cm="1">
        <f t="array" ref="B1153">_xlfn.IFS(A1153&lt;=25,"18-25",A1153&lt;=35,"26-35",A1153&lt;=45,"36-45",A1153&lt;=55,"46-55",A1153&gt;55,"55+")</f>
        <v>26-35</v>
      </c>
      <c r="C1153">
        <v>0</v>
      </c>
      <c r="D1153" t="s">
        <v>32</v>
      </c>
      <c r="E1153">
        <v>580</v>
      </c>
      <c r="F1153" t="s">
        <v>48</v>
      </c>
      <c r="G1153">
        <v>27</v>
      </c>
      <c r="H1153" t="s">
        <v>61</v>
      </c>
      <c r="I1153" t="s">
        <v>59</v>
      </c>
      <c r="J1153" t="s">
        <v>36</v>
      </c>
      <c r="K1153" t="s">
        <v>37</v>
      </c>
      <c r="L1153">
        <v>39</v>
      </c>
      <c r="M1153" t="s">
        <v>44</v>
      </c>
      <c r="N1153" t="s">
        <v>39</v>
      </c>
      <c r="O1153" t="s">
        <v>64</v>
      </c>
      <c r="P1153" t="s">
        <v>44</v>
      </c>
      <c r="Q1153" t="s">
        <v>62</v>
      </c>
      <c r="R1153">
        <v>4877</v>
      </c>
      <c r="S1153">
        <v>20460</v>
      </c>
      <c r="T1153">
        <v>0</v>
      </c>
      <c r="U1153" t="s">
        <v>46</v>
      </c>
      <c r="V1153">
        <v>21</v>
      </c>
      <c r="W1153" t="s">
        <v>53</v>
      </c>
      <c r="X1153" t="s">
        <v>36</v>
      </c>
      <c r="Y1153">
        <v>1</v>
      </c>
      <c r="Z1153">
        <v>6</v>
      </c>
      <c r="AA1153">
        <v>5</v>
      </c>
      <c r="AB1153" t="s">
        <v>60</v>
      </c>
      <c r="AC1153">
        <v>5</v>
      </c>
      <c r="AD1153" t="str" cm="1">
        <f t="array" ref="AD1153">_xlfn.IFS(AC1153&lt;=5,"0-5",AC1153&lt;=10,"5-10",AC1153&lt;=40,"10-40")</f>
        <v>0-5</v>
      </c>
      <c r="AE1153">
        <v>3</v>
      </c>
      <c r="AF1153">
        <v>0</v>
      </c>
      <c r="AG1153">
        <v>0</v>
      </c>
      <c r="AH1153">
        <v>1152</v>
      </c>
    </row>
    <row r="1154" spans="1:34" x14ac:dyDescent="0.3">
      <c r="A1154">
        <v>21</v>
      </c>
      <c r="B1154" t="str" cm="1">
        <f t="array" ref="B1154">_xlfn.IFS(A1154&lt;=25,"18-25",A1154&lt;=35,"26-35",A1154&lt;=45,"36-45",A1154&lt;=55,"46-55",A1154&gt;55,"55+")</f>
        <v>18-25</v>
      </c>
      <c r="C1154">
        <v>0</v>
      </c>
      <c r="D1154" t="s">
        <v>32</v>
      </c>
      <c r="E1154">
        <v>546</v>
      </c>
      <c r="F1154" t="s">
        <v>48</v>
      </c>
      <c r="G1154">
        <v>5</v>
      </c>
      <c r="H1154" t="s">
        <v>49</v>
      </c>
      <c r="I1154" t="s">
        <v>59</v>
      </c>
      <c r="J1154" t="s">
        <v>38</v>
      </c>
      <c r="K1154" t="s">
        <v>50</v>
      </c>
      <c r="L1154">
        <v>97</v>
      </c>
      <c r="M1154" t="s">
        <v>38</v>
      </c>
      <c r="N1154" t="s">
        <v>56</v>
      </c>
      <c r="O1154" t="s">
        <v>51</v>
      </c>
      <c r="P1154" t="s">
        <v>41</v>
      </c>
      <c r="Q1154" t="s">
        <v>42</v>
      </c>
      <c r="R1154">
        <v>3117</v>
      </c>
      <c r="S1154">
        <v>26009</v>
      </c>
      <c r="T1154">
        <v>1</v>
      </c>
      <c r="U1154" t="s">
        <v>46</v>
      </c>
      <c r="V1154">
        <v>18</v>
      </c>
      <c r="W1154" t="s">
        <v>43</v>
      </c>
      <c r="X1154" t="s">
        <v>38</v>
      </c>
      <c r="Y1154">
        <v>0</v>
      </c>
      <c r="Z1154">
        <v>3</v>
      </c>
      <c r="AA1154">
        <v>2</v>
      </c>
      <c r="AB1154" t="s">
        <v>54</v>
      </c>
      <c r="AC1154">
        <v>2</v>
      </c>
      <c r="AD1154" t="str" cm="1">
        <f t="array" ref="AD1154">_xlfn.IFS(AC1154&lt;=5,"0-5",AC1154&lt;=10,"5-10",AC1154&lt;=40,"10-40")</f>
        <v>0-5</v>
      </c>
      <c r="AE1154">
        <v>2</v>
      </c>
      <c r="AF1154">
        <v>2</v>
      </c>
      <c r="AG1154">
        <v>2</v>
      </c>
      <c r="AH1154">
        <v>1153</v>
      </c>
    </row>
    <row r="1155" spans="1:34" x14ac:dyDescent="0.3">
      <c r="A1155">
        <v>18</v>
      </c>
      <c r="B1155" t="str" cm="1">
        <f t="array" ref="B1155">_xlfn.IFS(A1155&lt;=25,"18-25",A1155&lt;=35,"26-35",A1155&lt;=45,"36-45",A1155&lt;=55,"46-55",A1155&gt;55,"55+")</f>
        <v>18-25</v>
      </c>
      <c r="C1155">
        <v>1</v>
      </c>
      <c r="D1155" t="s">
        <v>47</v>
      </c>
      <c r="E1155">
        <v>544</v>
      </c>
      <c r="F1155" t="s">
        <v>33</v>
      </c>
      <c r="G1155">
        <v>3</v>
      </c>
      <c r="H1155" t="s">
        <v>34</v>
      </c>
      <c r="I1155" t="s">
        <v>59</v>
      </c>
      <c r="J1155" t="s">
        <v>36</v>
      </c>
      <c r="K1155" t="s">
        <v>37</v>
      </c>
      <c r="L1155">
        <v>70</v>
      </c>
      <c r="M1155" t="s">
        <v>38</v>
      </c>
      <c r="N1155" t="s">
        <v>56</v>
      </c>
      <c r="O1155" t="s">
        <v>69</v>
      </c>
      <c r="P1155" t="s">
        <v>41</v>
      </c>
      <c r="Q1155" t="s">
        <v>42</v>
      </c>
      <c r="R1155">
        <v>1569</v>
      </c>
      <c r="S1155">
        <v>18420</v>
      </c>
      <c r="T1155">
        <v>1</v>
      </c>
      <c r="U1155" t="s">
        <v>31</v>
      </c>
      <c r="V1155">
        <v>12</v>
      </c>
      <c r="W1155" t="s">
        <v>43</v>
      </c>
      <c r="X1155" t="s">
        <v>38</v>
      </c>
      <c r="Y1155">
        <v>0</v>
      </c>
      <c r="Z1155">
        <v>0</v>
      </c>
      <c r="AA1155">
        <v>2</v>
      </c>
      <c r="AB1155" t="s">
        <v>73</v>
      </c>
      <c r="AC1155">
        <v>0</v>
      </c>
      <c r="AD1155" t="str" cm="1">
        <f t="array" ref="AD1155">_xlfn.IFS(AC1155&lt;=5,"0-5",AC1155&lt;=10,"5-10",AC1155&lt;=40,"10-40")</f>
        <v>0-5</v>
      </c>
      <c r="AE1155">
        <v>0</v>
      </c>
      <c r="AF1155">
        <v>0</v>
      </c>
      <c r="AG1155">
        <v>0</v>
      </c>
      <c r="AH1155">
        <v>1154</v>
      </c>
    </row>
    <row r="1156" spans="1:34" x14ac:dyDescent="0.3">
      <c r="A1156">
        <v>47</v>
      </c>
      <c r="B1156" t="str" cm="1">
        <f t="array" ref="B1156">_xlfn.IFS(A1156&lt;=25,"18-25",A1156&lt;=35,"26-35",A1156&lt;=45,"36-45",A1156&lt;=55,"46-55",A1156&gt;55,"55+")</f>
        <v>46-55</v>
      </c>
      <c r="C1156">
        <v>0</v>
      </c>
      <c r="D1156" t="s">
        <v>32</v>
      </c>
      <c r="E1156">
        <v>1176</v>
      </c>
      <c r="F1156" t="s">
        <v>76</v>
      </c>
      <c r="G1156">
        <v>26</v>
      </c>
      <c r="H1156" t="s">
        <v>58</v>
      </c>
      <c r="I1156" t="s">
        <v>35</v>
      </c>
      <c r="J1156" t="s">
        <v>41</v>
      </c>
      <c r="K1156" t="s">
        <v>37</v>
      </c>
      <c r="L1156">
        <v>98</v>
      </c>
      <c r="M1156" t="s">
        <v>38</v>
      </c>
      <c r="N1156" t="s">
        <v>71</v>
      </c>
      <c r="O1156" t="s">
        <v>68</v>
      </c>
      <c r="P1156" t="s">
        <v>38</v>
      </c>
      <c r="Q1156" t="s">
        <v>52</v>
      </c>
      <c r="R1156">
        <v>19658</v>
      </c>
      <c r="S1156">
        <v>5220</v>
      </c>
      <c r="T1156">
        <v>3</v>
      </c>
      <c r="U1156" t="s">
        <v>46</v>
      </c>
      <c r="V1156">
        <v>11</v>
      </c>
      <c r="W1156" t="s">
        <v>43</v>
      </c>
      <c r="X1156" t="s">
        <v>38</v>
      </c>
      <c r="Y1156">
        <v>1</v>
      </c>
      <c r="Z1156">
        <v>27</v>
      </c>
      <c r="AA1156">
        <v>2</v>
      </c>
      <c r="AB1156" t="s">
        <v>54</v>
      </c>
      <c r="AC1156">
        <v>5</v>
      </c>
      <c r="AD1156" t="str" cm="1">
        <f t="array" ref="AD1156">_xlfn.IFS(AC1156&lt;=5,"0-5",AC1156&lt;=10,"5-10",AC1156&lt;=40,"10-40")</f>
        <v>0-5</v>
      </c>
      <c r="AE1156">
        <v>2</v>
      </c>
      <c r="AF1156">
        <v>1</v>
      </c>
      <c r="AG1156">
        <v>0</v>
      </c>
      <c r="AH1156">
        <v>1155</v>
      </c>
    </row>
    <row r="1157" spans="1:34" x14ac:dyDescent="0.3">
      <c r="A1157">
        <v>39</v>
      </c>
      <c r="B1157" t="str" cm="1">
        <f t="array" ref="B1157">_xlfn.IFS(A1157&lt;=25,"18-25",A1157&lt;=35,"26-35",A1157&lt;=45,"36-45",A1157&lt;=55,"46-55",A1157&gt;55,"55+")</f>
        <v>36-45</v>
      </c>
      <c r="C1157">
        <v>0</v>
      </c>
      <c r="D1157" t="s">
        <v>32</v>
      </c>
      <c r="E1157">
        <v>170</v>
      </c>
      <c r="F1157" t="s">
        <v>48</v>
      </c>
      <c r="G1157">
        <v>3</v>
      </c>
      <c r="H1157" t="s">
        <v>34</v>
      </c>
      <c r="I1157" t="s">
        <v>59</v>
      </c>
      <c r="J1157" t="s">
        <v>38</v>
      </c>
      <c r="K1157" t="s">
        <v>50</v>
      </c>
      <c r="L1157">
        <v>76</v>
      </c>
      <c r="M1157" t="s">
        <v>36</v>
      </c>
      <c r="N1157" t="s">
        <v>39</v>
      </c>
      <c r="O1157" t="s">
        <v>57</v>
      </c>
      <c r="P1157" t="s">
        <v>38</v>
      </c>
      <c r="Q1157" t="s">
        <v>62</v>
      </c>
      <c r="R1157">
        <v>3069</v>
      </c>
      <c r="S1157">
        <v>10302</v>
      </c>
      <c r="T1157">
        <v>0</v>
      </c>
      <c r="U1157" t="s">
        <v>46</v>
      </c>
      <c r="V1157">
        <v>15</v>
      </c>
      <c r="W1157" t="s">
        <v>43</v>
      </c>
      <c r="X1157" t="s">
        <v>41</v>
      </c>
      <c r="Y1157">
        <v>1</v>
      </c>
      <c r="Z1157">
        <v>11</v>
      </c>
      <c r="AA1157">
        <v>3</v>
      </c>
      <c r="AB1157" t="s">
        <v>54</v>
      </c>
      <c r="AC1157">
        <v>10</v>
      </c>
      <c r="AD1157" t="str" cm="1">
        <f t="array" ref="AD1157">_xlfn.IFS(AC1157&lt;=5,"0-5",AC1157&lt;=10,"5-10",AC1157&lt;=40,"10-40")</f>
        <v>5-10</v>
      </c>
      <c r="AE1157">
        <v>8</v>
      </c>
      <c r="AF1157">
        <v>0</v>
      </c>
      <c r="AG1157">
        <v>7</v>
      </c>
      <c r="AH1157">
        <v>1156</v>
      </c>
    </row>
    <row r="1158" spans="1:34" x14ac:dyDescent="0.3">
      <c r="A1158">
        <v>40</v>
      </c>
      <c r="B1158" t="str" cm="1">
        <f t="array" ref="B1158">_xlfn.IFS(A1158&lt;=25,"18-25",A1158&lt;=35,"26-35",A1158&lt;=45,"36-45",A1158&lt;=55,"46-55",A1158&gt;55,"55+")</f>
        <v>36-45</v>
      </c>
      <c r="C1158">
        <v>0</v>
      </c>
      <c r="D1158" t="s">
        <v>32</v>
      </c>
      <c r="E1158">
        <v>884</v>
      </c>
      <c r="F1158" t="s">
        <v>48</v>
      </c>
      <c r="G1158">
        <v>15</v>
      </c>
      <c r="H1158" t="s">
        <v>61</v>
      </c>
      <c r="I1158" t="s">
        <v>35</v>
      </c>
      <c r="J1158" t="s">
        <v>44</v>
      </c>
      <c r="K1158" t="s">
        <v>37</v>
      </c>
      <c r="L1158">
        <v>80</v>
      </c>
      <c r="M1158" t="s">
        <v>36</v>
      </c>
      <c r="N1158" t="s">
        <v>63</v>
      </c>
      <c r="O1158" t="s">
        <v>64</v>
      </c>
      <c r="P1158" t="s">
        <v>38</v>
      </c>
      <c r="Q1158" t="s">
        <v>52</v>
      </c>
      <c r="R1158">
        <v>10435</v>
      </c>
      <c r="S1158">
        <v>25800</v>
      </c>
      <c r="T1158">
        <v>1</v>
      </c>
      <c r="U1158" t="s">
        <v>46</v>
      </c>
      <c r="V1158">
        <v>13</v>
      </c>
      <c r="W1158" t="s">
        <v>43</v>
      </c>
      <c r="X1158" t="s">
        <v>41</v>
      </c>
      <c r="Y1158">
        <v>2</v>
      </c>
      <c r="Z1158">
        <v>18</v>
      </c>
      <c r="AA1158">
        <v>2</v>
      </c>
      <c r="AB1158" t="s">
        <v>54</v>
      </c>
      <c r="AC1158">
        <v>18</v>
      </c>
      <c r="AD1158" t="str" cm="1">
        <f t="array" ref="AD1158">_xlfn.IFS(AC1158&lt;=5,"0-5",AC1158&lt;=10,"5-10",AC1158&lt;=40,"10-40")</f>
        <v>10-40</v>
      </c>
      <c r="AE1158">
        <v>15</v>
      </c>
      <c r="AF1158">
        <v>14</v>
      </c>
      <c r="AG1158">
        <v>12</v>
      </c>
      <c r="AH1158">
        <v>1157</v>
      </c>
    </row>
    <row r="1159" spans="1:34" x14ac:dyDescent="0.3">
      <c r="A1159">
        <v>35</v>
      </c>
      <c r="B1159" t="str" cm="1">
        <f t="array" ref="B1159">_xlfn.IFS(A1159&lt;=25,"18-25",A1159&lt;=35,"26-35",A1159&lt;=45,"36-45",A1159&lt;=55,"46-55",A1159&gt;55,"55+")</f>
        <v>26-35</v>
      </c>
      <c r="C1159">
        <v>0</v>
      </c>
      <c r="D1159" t="s">
        <v>66</v>
      </c>
      <c r="E1159">
        <v>208</v>
      </c>
      <c r="F1159" t="s">
        <v>48</v>
      </c>
      <c r="G1159">
        <v>8</v>
      </c>
      <c r="H1159" t="s">
        <v>58</v>
      </c>
      <c r="I1159" t="s">
        <v>35</v>
      </c>
      <c r="J1159" t="s">
        <v>38</v>
      </c>
      <c r="K1159" t="s">
        <v>37</v>
      </c>
      <c r="L1159">
        <v>52</v>
      </c>
      <c r="M1159" t="s">
        <v>38</v>
      </c>
      <c r="N1159" t="s">
        <v>39</v>
      </c>
      <c r="O1159" t="s">
        <v>65</v>
      </c>
      <c r="P1159" t="s">
        <v>38</v>
      </c>
      <c r="Q1159" t="s">
        <v>52</v>
      </c>
      <c r="R1159">
        <v>4148</v>
      </c>
      <c r="S1159">
        <v>12250</v>
      </c>
      <c r="T1159">
        <v>1</v>
      </c>
      <c r="U1159" t="s">
        <v>46</v>
      </c>
      <c r="V1159">
        <v>12</v>
      </c>
      <c r="W1159" t="s">
        <v>43</v>
      </c>
      <c r="X1159" t="s">
        <v>41</v>
      </c>
      <c r="Y1159">
        <v>1</v>
      </c>
      <c r="Z1159">
        <v>15</v>
      </c>
      <c r="AA1159">
        <v>5</v>
      </c>
      <c r="AB1159" t="s">
        <v>54</v>
      </c>
      <c r="AC1159">
        <v>14</v>
      </c>
      <c r="AD1159" t="str" cm="1">
        <f t="array" ref="AD1159">_xlfn.IFS(AC1159&lt;=5,"0-5",AC1159&lt;=10,"5-10",AC1159&lt;=40,"10-40")</f>
        <v>10-40</v>
      </c>
      <c r="AE1159">
        <v>11</v>
      </c>
      <c r="AF1159">
        <v>2</v>
      </c>
      <c r="AG1159">
        <v>9</v>
      </c>
      <c r="AH1159">
        <v>1158</v>
      </c>
    </row>
    <row r="1160" spans="1:34" x14ac:dyDescent="0.3">
      <c r="A1160">
        <v>37</v>
      </c>
      <c r="B1160" t="str" cm="1">
        <f t="array" ref="B1160">_xlfn.IFS(A1160&lt;=25,"18-25",A1160&lt;=35,"26-35",A1160&lt;=45,"36-45",A1160&lt;=55,"46-55",A1160&gt;55,"55+")</f>
        <v>36-45</v>
      </c>
      <c r="C1160">
        <v>0</v>
      </c>
      <c r="D1160" t="s">
        <v>32</v>
      </c>
      <c r="E1160">
        <v>671</v>
      </c>
      <c r="F1160" t="s">
        <v>48</v>
      </c>
      <c r="G1160">
        <v>19</v>
      </c>
      <c r="H1160" t="s">
        <v>61</v>
      </c>
      <c r="I1160" t="s">
        <v>35</v>
      </c>
      <c r="J1160" t="s">
        <v>38</v>
      </c>
      <c r="K1160" t="s">
        <v>50</v>
      </c>
      <c r="L1160">
        <v>85</v>
      </c>
      <c r="M1160" t="s">
        <v>38</v>
      </c>
      <c r="N1160" t="s">
        <v>39</v>
      </c>
      <c r="O1160" t="s">
        <v>64</v>
      </c>
      <c r="P1160" t="s">
        <v>38</v>
      </c>
      <c r="Q1160" t="s">
        <v>52</v>
      </c>
      <c r="R1160">
        <v>5768</v>
      </c>
      <c r="S1160">
        <v>26493</v>
      </c>
      <c r="T1160">
        <v>3</v>
      </c>
      <c r="U1160" t="s">
        <v>46</v>
      </c>
      <c r="V1160">
        <v>17</v>
      </c>
      <c r="W1160" t="s">
        <v>43</v>
      </c>
      <c r="X1160" t="s">
        <v>44</v>
      </c>
      <c r="Y1160">
        <v>3</v>
      </c>
      <c r="Z1160">
        <v>9</v>
      </c>
      <c r="AA1160">
        <v>2</v>
      </c>
      <c r="AB1160" t="s">
        <v>60</v>
      </c>
      <c r="AC1160">
        <v>4</v>
      </c>
      <c r="AD1160" t="str" cm="1">
        <f t="array" ref="AD1160">_xlfn.IFS(AC1160&lt;=5,"0-5",AC1160&lt;=10,"5-10",AC1160&lt;=40,"10-40")</f>
        <v>0-5</v>
      </c>
      <c r="AE1160">
        <v>3</v>
      </c>
      <c r="AF1160">
        <v>0</v>
      </c>
      <c r="AG1160">
        <v>2</v>
      </c>
      <c r="AH1160">
        <v>1159</v>
      </c>
    </row>
    <row r="1161" spans="1:34" x14ac:dyDescent="0.3">
      <c r="A1161">
        <v>39</v>
      </c>
      <c r="B1161" t="str" cm="1">
        <f t="array" ref="B1161">_xlfn.IFS(A1161&lt;=25,"18-25",A1161&lt;=35,"26-35",A1161&lt;=45,"36-45",A1161&lt;=55,"46-55",A1161&gt;55,"55+")</f>
        <v>36-45</v>
      </c>
      <c r="C1161">
        <v>0</v>
      </c>
      <c r="D1161" t="s">
        <v>47</v>
      </c>
      <c r="E1161">
        <v>711</v>
      </c>
      <c r="F1161" t="s">
        <v>48</v>
      </c>
      <c r="G1161">
        <v>4</v>
      </c>
      <c r="H1161" t="s">
        <v>61</v>
      </c>
      <c r="I1161" t="s">
        <v>59</v>
      </c>
      <c r="J1161" t="s">
        <v>44</v>
      </c>
      <c r="K1161" t="s">
        <v>37</v>
      </c>
      <c r="L1161">
        <v>81</v>
      </c>
      <c r="M1161" t="s">
        <v>38</v>
      </c>
      <c r="N1161" t="s">
        <v>39</v>
      </c>
      <c r="O1161" t="s">
        <v>64</v>
      </c>
      <c r="P1161" t="s">
        <v>38</v>
      </c>
      <c r="Q1161" t="s">
        <v>42</v>
      </c>
      <c r="R1161">
        <v>5042</v>
      </c>
      <c r="S1161">
        <v>3140</v>
      </c>
      <c r="T1161">
        <v>0</v>
      </c>
      <c r="U1161" t="s">
        <v>46</v>
      </c>
      <c r="V1161">
        <v>13</v>
      </c>
      <c r="W1161" t="s">
        <v>43</v>
      </c>
      <c r="X1161" t="s">
        <v>41</v>
      </c>
      <c r="Y1161">
        <v>0</v>
      </c>
      <c r="Z1161">
        <v>10</v>
      </c>
      <c r="AA1161">
        <v>2</v>
      </c>
      <c r="AB1161" t="s">
        <v>45</v>
      </c>
      <c r="AC1161">
        <v>9</v>
      </c>
      <c r="AD1161" t="str" cm="1">
        <f t="array" ref="AD1161">_xlfn.IFS(AC1161&lt;=5,"0-5",AC1161&lt;=10,"5-10",AC1161&lt;=40,"10-40")</f>
        <v>5-10</v>
      </c>
      <c r="AE1161">
        <v>2</v>
      </c>
      <c r="AF1161">
        <v>3</v>
      </c>
      <c r="AG1161">
        <v>8</v>
      </c>
      <c r="AH1161">
        <v>1160</v>
      </c>
    </row>
    <row r="1162" spans="1:34" x14ac:dyDescent="0.3">
      <c r="A1162">
        <v>45</v>
      </c>
      <c r="B1162" t="str" cm="1">
        <f t="array" ref="B1162">_xlfn.IFS(A1162&lt;=25,"18-25",A1162&lt;=35,"26-35",A1162&lt;=45,"36-45",A1162&lt;=55,"46-55",A1162&gt;55,"55+")</f>
        <v>36-45</v>
      </c>
      <c r="C1162">
        <v>0</v>
      </c>
      <c r="D1162" t="s">
        <v>32</v>
      </c>
      <c r="E1162">
        <v>1329</v>
      </c>
      <c r="F1162" t="s">
        <v>48</v>
      </c>
      <c r="G1162">
        <v>2</v>
      </c>
      <c r="H1162" t="s">
        <v>34</v>
      </c>
      <c r="I1162" t="s">
        <v>55</v>
      </c>
      <c r="J1162" t="s">
        <v>41</v>
      </c>
      <c r="K1162" t="s">
        <v>37</v>
      </c>
      <c r="L1162">
        <v>59</v>
      </c>
      <c r="M1162" t="s">
        <v>36</v>
      </c>
      <c r="N1162" t="s">
        <v>39</v>
      </c>
      <c r="O1162" t="s">
        <v>64</v>
      </c>
      <c r="P1162" t="s">
        <v>41</v>
      </c>
      <c r="Q1162" t="s">
        <v>62</v>
      </c>
      <c r="R1162">
        <v>5770</v>
      </c>
      <c r="S1162">
        <v>5388</v>
      </c>
      <c r="T1162">
        <v>1</v>
      </c>
      <c r="U1162" t="s">
        <v>46</v>
      </c>
      <c r="V1162">
        <v>19</v>
      </c>
      <c r="W1162" t="s">
        <v>43</v>
      </c>
      <c r="X1162" t="s">
        <v>44</v>
      </c>
      <c r="Y1162">
        <v>2</v>
      </c>
      <c r="Z1162">
        <v>10</v>
      </c>
      <c r="AA1162">
        <v>3</v>
      </c>
      <c r="AB1162" t="s">
        <v>54</v>
      </c>
      <c r="AC1162">
        <v>10</v>
      </c>
      <c r="AD1162" t="str" cm="1">
        <f t="array" ref="AD1162">_xlfn.IFS(AC1162&lt;=5,"0-5",AC1162&lt;=10,"5-10",AC1162&lt;=40,"10-40")</f>
        <v>5-10</v>
      </c>
      <c r="AE1162">
        <v>7</v>
      </c>
      <c r="AF1162">
        <v>3</v>
      </c>
      <c r="AG1162">
        <v>9</v>
      </c>
      <c r="AH1162">
        <v>1161</v>
      </c>
    </row>
    <row r="1163" spans="1:34" x14ac:dyDescent="0.3">
      <c r="A1163">
        <v>38</v>
      </c>
      <c r="B1163" t="str" cm="1">
        <f t="array" ref="B1163">_xlfn.IFS(A1163&lt;=25,"18-25",A1163&lt;=35,"26-35",A1163&lt;=45,"36-45",A1163&lt;=55,"46-55",A1163&gt;55,"55+")</f>
        <v>36-45</v>
      </c>
      <c r="C1163">
        <v>0</v>
      </c>
      <c r="D1163" t="s">
        <v>32</v>
      </c>
      <c r="E1163">
        <v>397</v>
      </c>
      <c r="F1163" t="s">
        <v>48</v>
      </c>
      <c r="G1163">
        <v>2</v>
      </c>
      <c r="H1163" t="s">
        <v>34</v>
      </c>
      <c r="I1163" t="s">
        <v>59</v>
      </c>
      <c r="J1163" t="s">
        <v>41</v>
      </c>
      <c r="K1163" t="s">
        <v>37</v>
      </c>
      <c r="L1163">
        <v>54</v>
      </c>
      <c r="M1163" t="s">
        <v>36</v>
      </c>
      <c r="N1163" t="s">
        <v>63</v>
      </c>
      <c r="O1163" t="s">
        <v>64</v>
      </c>
      <c r="P1163" t="s">
        <v>38</v>
      </c>
      <c r="Q1163" t="s">
        <v>52</v>
      </c>
      <c r="R1163">
        <v>7756</v>
      </c>
      <c r="S1163">
        <v>14199</v>
      </c>
      <c r="T1163">
        <v>3</v>
      </c>
      <c r="U1163" t="s">
        <v>31</v>
      </c>
      <c r="V1163">
        <v>19</v>
      </c>
      <c r="W1163" t="s">
        <v>43</v>
      </c>
      <c r="X1163" t="s">
        <v>41</v>
      </c>
      <c r="Y1163">
        <v>1</v>
      </c>
      <c r="Z1163">
        <v>10</v>
      </c>
      <c r="AA1163">
        <v>6</v>
      </c>
      <c r="AB1163" t="s">
        <v>73</v>
      </c>
      <c r="AC1163">
        <v>5</v>
      </c>
      <c r="AD1163" t="str" cm="1">
        <f t="array" ref="AD1163">_xlfn.IFS(AC1163&lt;=5,"0-5",AC1163&lt;=10,"5-10",AC1163&lt;=40,"10-40")</f>
        <v>0-5</v>
      </c>
      <c r="AE1163">
        <v>4</v>
      </c>
      <c r="AF1163">
        <v>0</v>
      </c>
      <c r="AG1163">
        <v>2</v>
      </c>
      <c r="AH1163">
        <v>1162</v>
      </c>
    </row>
    <row r="1164" spans="1:34" x14ac:dyDescent="0.3">
      <c r="A1164">
        <v>35</v>
      </c>
      <c r="B1164" t="str" cm="1">
        <f t="array" ref="B1164">_xlfn.IFS(A1164&lt;=25,"18-25",A1164&lt;=35,"26-35",A1164&lt;=45,"36-45",A1164&lt;=55,"46-55",A1164&gt;55,"55+")</f>
        <v>26-35</v>
      </c>
      <c r="C1164">
        <v>1</v>
      </c>
      <c r="D1164" t="s">
        <v>32</v>
      </c>
      <c r="E1164">
        <v>737</v>
      </c>
      <c r="F1164" t="s">
        <v>33</v>
      </c>
      <c r="G1164">
        <v>10</v>
      </c>
      <c r="H1164" t="s">
        <v>61</v>
      </c>
      <c r="I1164" t="s">
        <v>59</v>
      </c>
      <c r="J1164" t="s">
        <v>41</v>
      </c>
      <c r="K1164" t="s">
        <v>50</v>
      </c>
      <c r="L1164">
        <v>55</v>
      </c>
      <c r="M1164" t="s">
        <v>36</v>
      </c>
      <c r="N1164" t="s">
        <v>63</v>
      </c>
      <c r="O1164" t="s">
        <v>40</v>
      </c>
      <c r="P1164" t="s">
        <v>44</v>
      </c>
      <c r="Q1164" t="s">
        <v>52</v>
      </c>
      <c r="R1164">
        <v>10306</v>
      </c>
      <c r="S1164">
        <v>21530</v>
      </c>
      <c r="T1164">
        <v>9</v>
      </c>
      <c r="U1164" t="s">
        <v>46</v>
      </c>
      <c r="V1164">
        <v>17</v>
      </c>
      <c r="W1164" t="s">
        <v>43</v>
      </c>
      <c r="X1164" t="s">
        <v>38</v>
      </c>
      <c r="Y1164">
        <v>0</v>
      </c>
      <c r="Z1164">
        <v>15</v>
      </c>
      <c r="AA1164">
        <v>3</v>
      </c>
      <c r="AB1164" t="s">
        <v>54</v>
      </c>
      <c r="AC1164">
        <v>13</v>
      </c>
      <c r="AD1164" t="str" cm="1">
        <f t="array" ref="AD1164">_xlfn.IFS(AC1164&lt;=5,"0-5",AC1164&lt;=10,"5-10",AC1164&lt;=40,"10-40")</f>
        <v>10-40</v>
      </c>
      <c r="AE1164">
        <v>12</v>
      </c>
      <c r="AF1164">
        <v>6</v>
      </c>
      <c r="AG1164">
        <v>0</v>
      </c>
      <c r="AH1164">
        <v>1163</v>
      </c>
    </row>
    <row r="1165" spans="1:34" x14ac:dyDescent="0.3">
      <c r="A1165">
        <v>37</v>
      </c>
      <c r="B1165" t="str" cm="1">
        <f t="array" ref="B1165">_xlfn.IFS(A1165&lt;=25,"18-25",A1165&lt;=35,"26-35",A1165&lt;=45,"36-45",A1165&lt;=55,"46-55",A1165&gt;55,"55+")</f>
        <v>36-45</v>
      </c>
      <c r="C1165">
        <v>0</v>
      </c>
      <c r="D1165" t="s">
        <v>32</v>
      </c>
      <c r="E1165">
        <v>1470</v>
      </c>
      <c r="F1165" t="s">
        <v>48</v>
      </c>
      <c r="G1165">
        <v>10</v>
      </c>
      <c r="H1165" t="s">
        <v>61</v>
      </c>
      <c r="I1165" t="s">
        <v>59</v>
      </c>
      <c r="J1165" t="s">
        <v>36</v>
      </c>
      <c r="K1165" t="s">
        <v>37</v>
      </c>
      <c r="L1165">
        <v>71</v>
      </c>
      <c r="M1165" t="s">
        <v>38</v>
      </c>
      <c r="N1165" t="s">
        <v>56</v>
      </c>
      <c r="O1165" t="s">
        <v>51</v>
      </c>
      <c r="P1165" t="s">
        <v>36</v>
      </c>
      <c r="Q1165" t="s">
        <v>52</v>
      </c>
      <c r="R1165">
        <v>3936</v>
      </c>
      <c r="S1165">
        <v>9953</v>
      </c>
      <c r="T1165">
        <v>1</v>
      </c>
      <c r="U1165" t="s">
        <v>46</v>
      </c>
      <c r="V1165">
        <v>11</v>
      </c>
      <c r="W1165" t="s">
        <v>43</v>
      </c>
      <c r="X1165" t="s">
        <v>44</v>
      </c>
      <c r="Y1165">
        <v>1</v>
      </c>
      <c r="Z1165">
        <v>8</v>
      </c>
      <c r="AA1165">
        <v>2</v>
      </c>
      <c r="AB1165" t="s">
        <v>45</v>
      </c>
      <c r="AC1165">
        <v>8</v>
      </c>
      <c r="AD1165" t="str" cm="1">
        <f t="array" ref="AD1165">_xlfn.IFS(AC1165&lt;=5,"0-5",AC1165&lt;=10,"5-10",AC1165&lt;=40,"10-40")</f>
        <v>5-10</v>
      </c>
      <c r="AE1165">
        <v>4</v>
      </c>
      <c r="AF1165">
        <v>7</v>
      </c>
      <c r="AG1165">
        <v>7</v>
      </c>
      <c r="AH1165">
        <v>1164</v>
      </c>
    </row>
    <row r="1166" spans="1:34" x14ac:dyDescent="0.3">
      <c r="A1166">
        <v>40</v>
      </c>
      <c r="B1166" t="str" cm="1">
        <f t="array" ref="B1166">_xlfn.IFS(A1166&lt;=25,"18-25",A1166&lt;=35,"26-35",A1166&lt;=45,"36-45",A1166&lt;=55,"46-55",A1166&gt;55,"55+")</f>
        <v>36-45</v>
      </c>
      <c r="C1166">
        <v>0</v>
      </c>
      <c r="D1166" t="s">
        <v>32</v>
      </c>
      <c r="E1166">
        <v>448</v>
      </c>
      <c r="F1166" t="s">
        <v>48</v>
      </c>
      <c r="G1166">
        <v>16</v>
      </c>
      <c r="H1166" t="s">
        <v>61</v>
      </c>
      <c r="I1166" t="s">
        <v>35</v>
      </c>
      <c r="J1166" t="s">
        <v>38</v>
      </c>
      <c r="K1166" t="s">
        <v>37</v>
      </c>
      <c r="L1166">
        <v>84</v>
      </c>
      <c r="M1166" t="s">
        <v>38</v>
      </c>
      <c r="N1166" t="s">
        <v>63</v>
      </c>
      <c r="O1166" t="s">
        <v>64</v>
      </c>
      <c r="P1166" t="s">
        <v>41</v>
      </c>
      <c r="Q1166" t="s">
        <v>42</v>
      </c>
      <c r="R1166">
        <v>7945</v>
      </c>
      <c r="S1166">
        <v>19948</v>
      </c>
      <c r="T1166">
        <v>6</v>
      </c>
      <c r="U1166" t="s">
        <v>31</v>
      </c>
      <c r="V1166">
        <v>15</v>
      </c>
      <c r="W1166" t="s">
        <v>43</v>
      </c>
      <c r="X1166" t="s">
        <v>41</v>
      </c>
      <c r="Y1166">
        <v>0</v>
      </c>
      <c r="Z1166">
        <v>18</v>
      </c>
      <c r="AA1166">
        <v>2</v>
      </c>
      <c r="AB1166" t="s">
        <v>60</v>
      </c>
      <c r="AC1166">
        <v>4</v>
      </c>
      <c r="AD1166" t="str" cm="1">
        <f t="array" ref="AD1166">_xlfn.IFS(AC1166&lt;=5,"0-5",AC1166&lt;=10,"5-10",AC1166&lt;=40,"10-40")</f>
        <v>0-5</v>
      </c>
      <c r="AE1166">
        <v>2</v>
      </c>
      <c r="AF1166">
        <v>3</v>
      </c>
      <c r="AG1166">
        <v>3</v>
      </c>
      <c r="AH1166">
        <v>1165</v>
      </c>
    </row>
    <row r="1167" spans="1:34" x14ac:dyDescent="0.3">
      <c r="A1167">
        <v>44</v>
      </c>
      <c r="B1167" t="str" cm="1">
        <f t="array" ref="B1167">_xlfn.IFS(A1167&lt;=25,"18-25",A1167&lt;=35,"26-35",A1167&lt;=45,"36-45",A1167&lt;=55,"46-55",A1167&gt;55,"55+")</f>
        <v>36-45</v>
      </c>
      <c r="C1167">
        <v>0</v>
      </c>
      <c r="D1167" t="s">
        <v>47</v>
      </c>
      <c r="E1167">
        <v>602</v>
      </c>
      <c r="F1167" t="s">
        <v>76</v>
      </c>
      <c r="G1167">
        <v>1</v>
      </c>
      <c r="H1167" t="s">
        <v>75</v>
      </c>
      <c r="I1167" t="s">
        <v>76</v>
      </c>
      <c r="J1167" t="s">
        <v>44</v>
      </c>
      <c r="K1167" t="s">
        <v>50</v>
      </c>
      <c r="L1167">
        <v>37</v>
      </c>
      <c r="M1167" t="s">
        <v>38</v>
      </c>
      <c r="N1167" t="s">
        <v>39</v>
      </c>
      <c r="O1167" t="s">
        <v>76</v>
      </c>
      <c r="P1167" t="s">
        <v>41</v>
      </c>
      <c r="Q1167" t="s">
        <v>52</v>
      </c>
      <c r="R1167">
        <v>5743</v>
      </c>
      <c r="S1167">
        <v>10503</v>
      </c>
      <c r="T1167">
        <v>4</v>
      </c>
      <c r="U1167" t="s">
        <v>31</v>
      </c>
      <c r="V1167">
        <v>11</v>
      </c>
      <c r="W1167" t="s">
        <v>43</v>
      </c>
      <c r="X1167" t="s">
        <v>38</v>
      </c>
      <c r="Y1167">
        <v>0</v>
      </c>
      <c r="Z1167">
        <v>14</v>
      </c>
      <c r="AA1167">
        <v>3</v>
      </c>
      <c r="AB1167" t="s">
        <v>54</v>
      </c>
      <c r="AC1167">
        <v>10</v>
      </c>
      <c r="AD1167" t="str" cm="1">
        <f t="array" ref="AD1167">_xlfn.IFS(AC1167&lt;=5,"0-5",AC1167&lt;=10,"5-10",AC1167&lt;=40,"10-40")</f>
        <v>5-10</v>
      </c>
      <c r="AE1167">
        <v>7</v>
      </c>
      <c r="AF1167">
        <v>0</v>
      </c>
      <c r="AG1167">
        <v>2</v>
      </c>
      <c r="AH1167">
        <v>1166</v>
      </c>
    </row>
    <row r="1168" spans="1:34" x14ac:dyDescent="0.3">
      <c r="A1168">
        <v>48</v>
      </c>
      <c r="B1168" t="str" cm="1">
        <f t="array" ref="B1168">_xlfn.IFS(A1168&lt;=25,"18-25",A1168&lt;=35,"26-35",A1168&lt;=45,"36-45",A1168&lt;=55,"46-55",A1168&gt;55,"55+")</f>
        <v>46-55</v>
      </c>
      <c r="C1168">
        <v>0</v>
      </c>
      <c r="D1168" t="s">
        <v>47</v>
      </c>
      <c r="E1168">
        <v>365</v>
      </c>
      <c r="F1168" t="s">
        <v>48</v>
      </c>
      <c r="G1168">
        <v>4</v>
      </c>
      <c r="H1168" t="s">
        <v>75</v>
      </c>
      <c r="I1168" t="s">
        <v>59</v>
      </c>
      <c r="J1168" t="s">
        <v>38</v>
      </c>
      <c r="K1168" t="s">
        <v>50</v>
      </c>
      <c r="L1168">
        <v>89</v>
      </c>
      <c r="M1168" t="s">
        <v>36</v>
      </c>
      <c r="N1168" t="s">
        <v>67</v>
      </c>
      <c r="O1168" t="s">
        <v>68</v>
      </c>
      <c r="P1168" t="s">
        <v>41</v>
      </c>
      <c r="Q1168" t="s">
        <v>52</v>
      </c>
      <c r="R1168">
        <v>15202</v>
      </c>
      <c r="S1168">
        <v>5602</v>
      </c>
      <c r="T1168">
        <v>2</v>
      </c>
      <c r="U1168" t="s">
        <v>46</v>
      </c>
      <c r="V1168">
        <v>25</v>
      </c>
      <c r="W1168" t="s">
        <v>53</v>
      </c>
      <c r="X1168" t="s">
        <v>36</v>
      </c>
      <c r="Y1168">
        <v>1</v>
      </c>
      <c r="Z1168">
        <v>23</v>
      </c>
      <c r="AA1168">
        <v>3</v>
      </c>
      <c r="AB1168" t="s">
        <v>54</v>
      </c>
      <c r="AC1168">
        <v>2</v>
      </c>
      <c r="AD1168" t="str" cm="1">
        <f t="array" ref="AD1168">_xlfn.IFS(AC1168&lt;=5,"0-5",AC1168&lt;=10,"5-10",AC1168&lt;=40,"10-40")</f>
        <v>0-5</v>
      </c>
      <c r="AE1168">
        <v>2</v>
      </c>
      <c r="AF1168">
        <v>2</v>
      </c>
      <c r="AG1168">
        <v>2</v>
      </c>
      <c r="AH1168">
        <v>1167</v>
      </c>
    </row>
    <row r="1169" spans="1:34" x14ac:dyDescent="0.3">
      <c r="A1169">
        <v>35</v>
      </c>
      <c r="B1169" t="str" cm="1">
        <f t="array" ref="B1169">_xlfn.IFS(A1169&lt;=25,"18-25",A1169&lt;=35,"26-35",A1169&lt;=45,"36-45",A1169&lt;=55,"46-55",A1169&gt;55,"55+")</f>
        <v>26-35</v>
      </c>
      <c r="C1169">
        <v>1</v>
      </c>
      <c r="D1169" t="s">
        <v>32</v>
      </c>
      <c r="E1169">
        <v>763</v>
      </c>
      <c r="F1169" t="s">
        <v>33</v>
      </c>
      <c r="G1169">
        <v>15</v>
      </c>
      <c r="H1169" t="s">
        <v>34</v>
      </c>
      <c r="I1169" t="s">
        <v>59</v>
      </c>
      <c r="J1169" t="s">
        <v>44</v>
      </c>
      <c r="K1169" t="s">
        <v>50</v>
      </c>
      <c r="L1169">
        <v>59</v>
      </c>
      <c r="M1169" t="s">
        <v>44</v>
      </c>
      <c r="N1169" t="s">
        <v>39</v>
      </c>
      <c r="O1169" t="s">
        <v>40</v>
      </c>
      <c r="P1169" t="s">
        <v>41</v>
      </c>
      <c r="Q1169" t="s">
        <v>62</v>
      </c>
      <c r="R1169">
        <v>5440</v>
      </c>
      <c r="S1169">
        <v>22098</v>
      </c>
      <c r="T1169">
        <v>6</v>
      </c>
      <c r="U1169" t="s">
        <v>31</v>
      </c>
      <c r="V1169">
        <v>14</v>
      </c>
      <c r="W1169" t="s">
        <v>43</v>
      </c>
      <c r="X1169" t="s">
        <v>41</v>
      </c>
      <c r="Y1169">
        <v>2</v>
      </c>
      <c r="Z1169">
        <v>7</v>
      </c>
      <c r="AA1169">
        <v>2</v>
      </c>
      <c r="AB1169" t="s">
        <v>60</v>
      </c>
      <c r="AC1169">
        <v>2</v>
      </c>
      <c r="AD1169" t="str" cm="1">
        <f t="array" ref="AD1169">_xlfn.IFS(AC1169&lt;=5,"0-5",AC1169&lt;=10,"5-10",AC1169&lt;=40,"10-40")</f>
        <v>0-5</v>
      </c>
      <c r="AE1169">
        <v>2</v>
      </c>
      <c r="AF1169">
        <v>2</v>
      </c>
      <c r="AG1169">
        <v>2</v>
      </c>
      <c r="AH1169">
        <v>1168</v>
      </c>
    </row>
    <row r="1170" spans="1:34" x14ac:dyDescent="0.3">
      <c r="A1170">
        <v>24</v>
      </c>
      <c r="B1170" t="str" cm="1">
        <f t="array" ref="B1170">_xlfn.IFS(A1170&lt;=25,"18-25",A1170&lt;=35,"26-35",A1170&lt;=45,"36-45",A1170&lt;=55,"46-55",A1170&gt;55,"55+")</f>
        <v>18-25</v>
      </c>
      <c r="C1170">
        <v>0</v>
      </c>
      <c r="D1170" t="s">
        <v>47</v>
      </c>
      <c r="E1170">
        <v>567</v>
      </c>
      <c r="F1170" t="s">
        <v>48</v>
      </c>
      <c r="G1170">
        <v>2</v>
      </c>
      <c r="H1170" t="s">
        <v>49</v>
      </c>
      <c r="I1170" t="s">
        <v>74</v>
      </c>
      <c r="J1170" t="s">
        <v>44</v>
      </c>
      <c r="K1170" t="s">
        <v>37</v>
      </c>
      <c r="L1170">
        <v>32</v>
      </c>
      <c r="M1170" t="s">
        <v>38</v>
      </c>
      <c r="N1170" t="s">
        <v>56</v>
      </c>
      <c r="O1170" t="s">
        <v>51</v>
      </c>
      <c r="P1170" t="s">
        <v>41</v>
      </c>
      <c r="Q1170" t="s">
        <v>42</v>
      </c>
      <c r="R1170">
        <v>3760</v>
      </c>
      <c r="S1170">
        <v>17218</v>
      </c>
      <c r="T1170">
        <v>1</v>
      </c>
      <c r="U1170" t="s">
        <v>31</v>
      </c>
      <c r="V1170">
        <v>13</v>
      </c>
      <c r="W1170" t="s">
        <v>43</v>
      </c>
      <c r="X1170" t="s">
        <v>38</v>
      </c>
      <c r="Y1170">
        <v>0</v>
      </c>
      <c r="Z1170">
        <v>6</v>
      </c>
      <c r="AA1170">
        <v>2</v>
      </c>
      <c r="AB1170" t="s">
        <v>54</v>
      </c>
      <c r="AC1170">
        <v>6</v>
      </c>
      <c r="AD1170" t="str" cm="1">
        <f t="array" ref="AD1170">_xlfn.IFS(AC1170&lt;=5,"0-5",AC1170&lt;=10,"5-10",AC1170&lt;=40,"10-40")</f>
        <v>5-10</v>
      </c>
      <c r="AE1170">
        <v>3</v>
      </c>
      <c r="AF1170">
        <v>1</v>
      </c>
      <c r="AG1170">
        <v>3</v>
      </c>
      <c r="AH1170">
        <v>1169</v>
      </c>
    </row>
    <row r="1171" spans="1:34" x14ac:dyDescent="0.3">
      <c r="A1171">
        <v>27</v>
      </c>
      <c r="B1171" t="str" cm="1">
        <f t="array" ref="B1171">_xlfn.IFS(A1171&lt;=25,"18-25",A1171&lt;=35,"26-35",A1171&lt;=45,"36-45",A1171&lt;=55,"46-55",A1171&gt;55,"55+")</f>
        <v>26-35</v>
      </c>
      <c r="C1171">
        <v>0</v>
      </c>
      <c r="D1171" t="s">
        <v>32</v>
      </c>
      <c r="E1171">
        <v>486</v>
      </c>
      <c r="F1171" t="s">
        <v>48</v>
      </c>
      <c r="G1171">
        <v>8</v>
      </c>
      <c r="H1171" t="s">
        <v>61</v>
      </c>
      <c r="I1171" t="s">
        <v>59</v>
      </c>
      <c r="J1171" t="s">
        <v>36</v>
      </c>
      <c r="K1171" t="s">
        <v>37</v>
      </c>
      <c r="L1171">
        <v>86</v>
      </c>
      <c r="M1171" t="s">
        <v>41</v>
      </c>
      <c r="N1171" t="s">
        <v>56</v>
      </c>
      <c r="O1171" t="s">
        <v>51</v>
      </c>
      <c r="P1171" t="s">
        <v>38</v>
      </c>
      <c r="Q1171" t="s">
        <v>52</v>
      </c>
      <c r="R1171">
        <v>3517</v>
      </c>
      <c r="S1171">
        <v>22490</v>
      </c>
      <c r="T1171">
        <v>7</v>
      </c>
      <c r="U1171" t="s">
        <v>46</v>
      </c>
      <c r="V1171">
        <v>17</v>
      </c>
      <c r="W1171" t="s">
        <v>43</v>
      </c>
      <c r="X1171" t="s">
        <v>44</v>
      </c>
      <c r="Y1171">
        <v>0</v>
      </c>
      <c r="Z1171">
        <v>5</v>
      </c>
      <c r="AA1171">
        <v>0</v>
      </c>
      <c r="AB1171" t="s">
        <v>54</v>
      </c>
      <c r="AC1171">
        <v>3</v>
      </c>
      <c r="AD1171" t="str" cm="1">
        <f t="array" ref="AD1171">_xlfn.IFS(AC1171&lt;=5,"0-5",AC1171&lt;=10,"5-10",AC1171&lt;=40,"10-40")</f>
        <v>0-5</v>
      </c>
      <c r="AE1171">
        <v>2</v>
      </c>
      <c r="AF1171">
        <v>0</v>
      </c>
      <c r="AG1171">
        <v>2</v>
      </c>
      <c r="AH1171">
        <v>1170</v>
      </c>
    </row>
    <row r="1172" spans="1:34" x14ac:dyDescent="0.3">
      <c r="A1172">
        <v>27</v>
      </c>
      <c r="B1172" t="str" cm="1">
        <f t="array" ref="B1172">_xlfn.IFS(A1172&lt;=25,"18-25",A1172&lt;=35,"26-35",A1172&lt;=45,"36-45",A1172&lt;=55,"46-55",A1172&gt;55,"55+")</f>
        <v>26-35</v>
      </c>
      <c r="C1172">
        <v>0</v>
      </c>
      <c r="D1172" t="s">
        <v>47</v>
      </c>
      <c r="E1172">
        <v>591</v>
      </c>
      <c r="F1172" t="s">
        <v>48</v>
      </c>
      <c r="G1172">
        <v>2</v>
      </c>
      <c r="H1172" t="s">
        <v>61</v>
      </c>
      <c r="I1172" t="s">
        <v>59</v>
      </c>
      <c r="J1172" t="s">
        <v>41</v>
      </c>
      <c r="K1172" t="s">
        <v>50</v>
      </c>
      <c r="L1172">
        <v>87</v>
      </c>
      <c r="M1172" t="s">
        <v>38</v>
      </c>
      <c r="N1172" t="s">
        <v>56</v>
      </c>
      <c r="O1172" t="s">
        <v>51</v>
      </c>
      <c r="P1172" t="s">
        <v>41</v>
      </c>
      <c r="Q1172" t="s">
        <v>42</v>
      </c>
      <c r="R1172">
        <v>2580</v>
      </c>
      <c r="S1172">
        <v>6297</v>
      </c>
      <c r="T1172">
        <v>2</v>
      </c>
      <c r="U1172" t="s">
        <v>46</v>
      </c>
      <c r="V1172">
        <v>13</v>
      </c>
      <c r="W1172" t="s">
        <v>43</v>
      </c>
      <c r="X1172" t="s">
        <v>38</v>
      </c>
      <c r="Y1172">
        <v>0</v>
      </c>
      <c r="Z1172">
        <v>6</v>
      </c>
      <c r="AA1172">
        <v>0</v>
      </c>
      <c r="AB1172" t="s">
        <v>60</v>
      </c>
      <c r="AC1172">
        <v>4</v>
      </c>
      <c r="AD1172" t="str" cm="1">
        <f t="array" ref="AD1172">_xlfn.IFS(AC1172&lt;=5,"0-5",AC1172&lt;=10,"5-10",AC1172&lt;=40,"10-40")</f>
        <v>0-5</v>
      </c>
      <c r="AE1172">
        <v>2</v>
      </c>
      <c r="AF1172">
        <v>1</v>
      </c>
      <c r="AG1172">
        <v>2</v>
      </c>
      <c r="AH1172">
        <v>1171</v>
      </c>
    </row>
    <row r="1173" spans="1:34" x14ac:dyDescent="0.3">
      <c r="A1173">
        <v>40</v>
      </c>
      <c r="B1173" t="str" cm="1">
        <f t="array" ref="B1173">_xlfn.IFS(A1173&lt;=25,"18-25",A1173&lt;=35,"26-35",A1173&lt;=45,"36-45",A1173&lt;=55,"46-55",A1173&gt;55,"55+")</f>
        <v>36-45</v>
      </c>
      <c r="C1173">
        <v>1</v>
      </c>
      <c r="D1173" t="s">
        <v>32</v>
      </c>
      <c r="E1173">
        <v>1329</v>
      </c>
      <c r="F1173" t="s">
        <v>48</v>
      </c>
      <c r="G1173">
        <v>7</v>
      </c>
      <c r="H1173" t="s">
        <v>61</v>
      </c>
      <c r="I1173" t="s">
        <v>35</v>
      </c>
      <c r="J1173" t="s">
        <v>44</v>
      </c>
      <c r="K1173" t="s">
        <v>50</v>
      </c>
      <c r="L1173">
        <v>73</v>
      </c>
      <c r="M1173" t="s">
        <v>38</v>
      </c>
      <c r="N1173" t="s">
        <v>56</v>
      </c>
      <c r="O1173" t="s">
        <v>57</v>
      </c>
      <c r="P1173" t="s">
        <v>44</v>
      </c>
      <c r="Q1173" t="s">
        <v>42</v>
      </c>
      <c r="R1173">
        <v>2166</v>
      </c>
      <c r="S1173">
        <v>3339</v>
      </c>
      <c r="T1173">
        <v>3</v>
      </c>
      <c r="U1173" t="s">
        <v>31</v>
      </c>
      <c r="V1173">
        <v>14</v>
      </c>
      <c r="W1173" t="s">
        <v>43</v>
      </c>
      <c r="X1173" t="s">
        <v>36</v>
      </c>
      <c r="Y1173">
        <v>0</v>
      </c>
      <c r="Z1173">
        <v>10</v>
      </c>
      <c r="AA1173">
        <v>3</v>
      </c>
      <c r="AB1173" t="s">
        <v>45</v>
      </c>
      <c r="AC1173">
        <v>4</v>
      </c>
      <c r="AD1173" t="str" cm="1">
        <f t="array" ref="AD1173">_xlfn.IFS(AC1173&lt;=5,"0-5",AC1173&lt;=10,"5-10",AC1173&lt;=40,"10-40")</f>
        <v>0-5</v>
      </c>
      <c r="AE1173">
        <v>2</v>
      </c>
      <c r="AF1173">
        <v>0</v>
      </c>
      <c r="AG1173">
        <v>3</v>
      </c>
      <c r="AH1173">
        <v>1172</v>
      </c>
    </row>
    <row r="1174" spans="1:34" x14ac:dyDescent="0.3">
      <c r="A1174">
        <v>29</v>
      </c>
      <c r="B1174" t="str" cm="1">
        <f t="array" ref="B1174">_xlfn.IFS(A1174&lt;=25,"18-25",A1174&lt;=35,"26-35",A1174&lt;=45,"36-45",A1174&lt;=55,"46-55",A1174&gt;55,"55+")</f>
        <v>26-35</v>
      </c>
      <c r="C1174">
        <v>0</v>
      </c>
      <c r="D1174" t="s">
        <v>32</v>
      </c>
      <c r="E1174">
        <v>469</v>
      </c>
      <c r="F1174" t="s">
        <v>33</v>
      </c>
      <c r="G1174">
        <v>10</v>
      </c>
      <c r="H1174" t="s">
        <v>61</v>
      </c>
      <c r="I1174" t="s">
        <v>59</v>
      </c>
      <c r="J1174" t="s">
        <v>38</v>
      </c>
      <c r="K1174" t="s">
        <v>50</v>
      </c>
      <c r="L1174">
        <v>42</v>
      </c>
      <c r="M1174" t="s">
        <v>36</v>
      </c>
      <c r="N1174" t="s">
        <v>39</v>
      </c>
      <c r="O1174" t="s">
        <v>40</v>
      </c>
      <c r="P1174" t="s">
        <v>38</v>
      </c>
      <c r="Q1174" t="s">
        <v>42</v>
      </c>
      <c r="R1174">
        <v>5869</v>
      </c>
      <c r="S1174">
        <v>23413</v>
      </c>
      <c r="T1174">
        <v>9</v>
      </c>
      <c r="U1174" t="s">
        <v>46</v>
      </c>
      <c r="V1174">
        <v>11</v>
      </c>
      <c r="W1174" t="s">
        <v>43</v>
      </c>
      <c r="X1174" t="s">
        <v>38</v>
      </c>
      <c r="Y1174">
        <v>0</v>
      </c>
      <c r="Z1174">
        <v>8</v>
      </c>
      <c r="AA1174">
        <v>2</v>
      </c>
      <c r="AB1174" t="s">
        <v>54</v>
      </c>
      <c r="AC1174">
        <v>5</v>
      </c>
      <c r="AD1174" t="str" cm="1">
        <f t="array" ref="AD1174">_xlfn.IFS(AC1174&lt;=5,"0-5",AC1174&lt;=10,"5-10",AC1174&lt;=40,"10-40")</f>
        <v>0-5</v>
      </c>
      <c r="AE1174">
        <v>2</v>
      </c>
      <c r="AF1174">
        <v>1</v>
      </c>
      <c r="AG1174">
        <v>4</v>
      </c>
      <c r="AH1174">
        <v>1173</v>
      </c>
    </row>
    <row r="1175" spans="1:34" x14ac:dyDescent="0.3">
      <c r="A1175">
        <v>36</v>
      </c>
      <c r="B1175" t="str" cm="1">
        <f t="array" ref="B1175">_xlfn.IFS(A1175&lt;=25,"18-25",A1175&lt;=35,"26-35",A1175&lt;=45,"36-45",A1175&lt;=55,"46-55",A1175&gt;55,"55+")</f>
        <v>36-45</v>
      </c>
      <c r="C1175">
        <v>0</v>
      </c>
      <c r="D1175" t="s">
        <v>32</v>
      </c>
      <c r="E1175">
        <v>711</v>
      </c>
      <c r="F1175" t="s">
        <v>48</v>
      </c>
      <c r="G1175">
        <v>5</v>
      </c>
      <c r="H1175" t="s">
        <v>58</v>
      </c>
      <c r="I1175" t="s">
        <v>35</v>
      </c>
      <c r="J1175" t="s">
        <v>36</v>
      </c>
      <c r="K1175" t="s">
        <v>37</v>
      </c>
      <c r="L1175">
        <v>42</v>
      </c>
      <c r="M1175" t="s">
        <v>38</v>
      </c>
      <c r="N1175" t="s">
        <v>63</v>
      </c>
      <c r="O1175" t="s">
        <v>65</v>
      </c>
      <c r="P1175" t="s">
        <v>44</v>
      </c>
      <c r="Q1175" t="s">
        <v>52</v>
      </c>
      <c r="R1175">
        <v>8008</v>
      </c>
      <c r="S1175">
        <v>22792</v>
      </c>
      <c r="T1175">
        <v>4</v>
      </c>
      <c r="U1175" t="s">
        <v>46</v>
      </c>
      <c r="V1175">
        <v>12</v>
      </c>
      <c r="W1175" t="s">
        <v>43</v>
      </c>
      <c r="X1175" t="s">
        <v>38</v>
      </c>
      <c r="Y1175">
        <v>2</v>
      </c>
      <c r="Z1175">
        <v>9</v>
      </c>
      <c r="AA1175">
        <v>6</v>
      </c>
      <c r="AB1175" t="s">
        <v>54</v>
      </c>
      <c r="AC1175">
        <v>3</v>
      </c>
      <c r="AD1175" t="str" cm="1">
        <f t="array" ref="AD1175">_xlfn.IFS(AC1175&lt;=5,"0-5",AC1175&lt;=10,"5-10",AC1175&lt;=40,"10-40")</f>
        <v>0-5</v>
      </c>
      <c r="AE1175">
        <v>2</v>
      </c>
      <c r="AF1175">
        <v>0</v>
      </c>
      <c r="AG1175">
        <v>2</v>
      </c>
      <c r="AH1175">
        <v>1174</v>
      </c>
    </row>
    <row r="1176" spans="1:34" x14ac:dyDescent="0.3">
      <c r="A1176">
        <v>25</v>
      </c>
      <c r="B1176" t="str" cm="1">
        <f t="array" ref="B1176">_xlfn.IFS(A1176&lt;=25,"18-25",A1176&lt;=35,"26-35",A1176&lt;=45,"36-45",A1176&lt;=55,"46-55",A1176&gt;55,"55+")</f>
        <v>18-25</v>
      </c>
      <c r="C1176">
        <v>0</v>
      </c>
      <c r="D1176" t="s">
        <v>47</v>
      </c>
      <c r="E1176">
        <v>772</v>
      </c>
      <c r="F1176" t="s">
        <v>48</v>
      </c>
      <c r="G1176">
        <v>2</v>
      </c>
      <c r="H1176" t="s">
        <v>49</v>
      </c>
      <c r="I1176" t="s">
        <v>35</v>
      </c>
      <c r="J1176" t="s">
        <v>41</v>
      </c>
      <c r="K1176" t="s">
        <v>50</v>
      </c>
      <c r="L1176">
        <v>77</v>
      </c>
      <c r="M1176" t="s">
        <v>41</v>
      </c>
      <c r="N1176" t="s">
        <v>39</v>
      </c>
      <c r="O1176" t="s">
        <v>64</v>
      </c>
      <c r="P1176" t="s">
        <v>38</v>
      </c>
      <c r="Q1176" t="s">
        <v>62</v>
      </c>
      <c r="R1176">
        <v>5206</v>
      </c>
      <c r="S1176">
        <v>4973</v>
      </c>
      <c r="T1176">
        <v>1</v>
      </c>
      <c r="U1176" t="s">
        <v>46</v>
      </c>
      <c r="V1176">
        <v>17</v>
      </c>
      <c r="W1176" t="s">
        <v>43</v>
      </c>
      <c r="X1176" t="s">
        <v>38</v>
      </c>
      <c r="Y1176">
        <v>2</v>
      </c>
      <c r="Z1176">
        <v>7</v>
      </c>
      <c r="AA1176">
        <v>6</v>
      </c>
      <c r="AB1176" t="s">
        <v>54</v>
      </c>
      <c r="AC1176">
        <v>7</v>
      </c>
      <c r="AD1176" t="str" cm="1">
        <f t="array" ref="AD1176">_xlfn.IFS(AC1176&lt;=5,"0-5",AC1176&lt;=10,"5-10",AC1176&lt;=40,"10-40")</f>
        <v>5-10</v>
      </c>
      <c r="AE1176">
        <v>7</v>
      </c>
      <c r="AF1176">
        <v>0</v>
      </c>
      <c r="AG1176">
        <v>7</v>
      </c>
      <c r="AH1176">
        <v>1175</v>
      </c>
    </row>
    <row r="1177" spans="1:34" x14ac:dyDescent="0.3">
      <c r="A1177">
        <v>39</v>
      </c>
      <c r="B1177" t="str" cm="1">
        <f t="array" ref="B1177">_xlfn.IFS(A1177&lt;=25,"18-25",A1177&lt;=35,"26-35",A1177&lt;=45,"36-45",A1177&lt;=55,"46-55",A1177&gt;55,"55+")</f>
        <v>36-45</v>
      </c>
      <c r="C1177">
        <v>0</v>
      </c>
      <c r="D1177" t="s">
        <v>32</v>
      </c>
      <c r="E1177">
        <v>492</v>
      </c>
      <c r="F1177" t="s">
        <v>48</v>
      </c>
      <c r="G1177">
        <v>12</v>
      </c>
      <c r="H1177" t="s">
        <v>61</v>
      </c>
      <c r="I1177" t="s">
        <v>59</v>
      </c>
      <c r="J1177" t="s">
        <v>41</v>
      </c>
      <c r="K1177" t="s">
        <v>50</v>
      </c>
      <c r="L1177">
        <v>66</v>
      </c>
      <c r="M1177" t="s">
        <v>38</v>
      </c>
      <c r="N1177" t="s">
        <v>39</v>
      </c>
      <c r="O1177" t="s">
        <v>64</v>
      </c>
      <c r="P1177" t="s">
        <v>36</v>
      </c>
      <c r="Q1177" t="s">
        <v>52</v>
      </c>
      <c r="R1177">
        <v>5295</v>
      </c>
      <c r="S1177">
        <v>7693</v>
      </c>
      <c r="T1177">
        <v>4</v>
      </c>
      <c r="U1177" t="s">
        <v>46</v>
      </c>
      <c r="V1177">
        <v>21</v>
      </c>
      <c r="W1177" t="s">
        <v>53</v>
      </c>
      <c r="X1177" t="s">
        <v>38</v>
      </c>
      <c r="Y1177">
        <v>0</v>
      </c>
      <c r="Z1177">
        <v>7</v>
      </c>
      <c r="AA1177">
        <v>3</v>
      </c>
      <c r="AB1177" t="s">
        <v>54</v>
      </c>
      <c r="AC1177">
        <v>5</v>
      </c>
      <c r="AD1177" t="str" cm="1">
        <f t="array" ref="AD1177">_xlfn.IFS(AC1177&lt;=5,"0-5",AC1177&lt;=10,"5-10",AC1177&lt;=40,"10-40")</f>
        <v>0-5</v>
      </c>
      <c r="AE1177">
        <v>4</v>
      </c>
      <c r="AF1177">
        <v>1</v>
      </c>
      <c r="AG1177">
        <v>0</v>
      </c>
      <c r="AH1177">
        <v>1176</v>
      </c>
    </row>
    <row r="1178" spans="1:34" x14ac:dyDescent="0.3">
      <c r="A1178">
        <v>49</v>
      </c>
      <c r="B1178" t="str" cm="1">
        <f t="array" ref="B1178">_xlfn.IFS(A1178&lt;=25,"18-25",A1178&lt;=35,"26-35",A1178&lt;=45,"36-45",A1178&lt;=55,"46-55",A1178&gt;55,"55+")</f>
        <v>46-55</v>
      </c>
      <c r="C1178">
        <v>0</v>
      </c>
      <c r="D1178" t="s">
        <v>32</v>
      </c>
      <c r="E1178">
        <v>301</v>
      </c>
      <c r="F1178" t="s">
        <v>48</v>
      </c>
      <c r="G1178">
        <v>22</v>
      </c>
      <c r="H1178" t="s">
        <v>58</v>
      </c>
      <c r="I1178" t="s">
        <v>55</v>
      </c>
      <c r="J1178" t="s">
        <v>44</v>
      </c>
      <c r="K1178" t="s">
        <v>37</v>
      </c>
      <c r="L1178">
        <v>72</v>
      </c>
      <c r="M1178" t="s">
        <v>38</v>
      </c>
      <c r="N1178" t="s">
        <v>67</v>
      </c>
      <c r="O1178" t="s">
        <v>70</v>
      </c>
      <c r="P1178" t="s">
        <v>36</v>
      </c>
      <c r="Q1178" t="s">
        <v>52</v>
      </c>
      <c r="R1178">
        <v>16413</v>
      </c>
      <c r="S1178">
        <v>3498</v>
      </c>
      <c r="T1178">
        <v>3</v>
      </c>
      <c r="U1178" t="s">
        <v>46</v>
      </c>
      <c r="V1178">
        <v>16</v>
      </c>
      <c r="W1178" t="s">
        <v>43</v>
      </c>
      <c r="X1178" t="s">
        <v>36</v>
      </c>
      <c r="Y1178">
        <v>2</v>
      </c>
      <c r="Z1178">
        <v>27</v>
      </c>
      <c r="AA1178">
        <v>2</v>
      </c>
      <c r="AB1178" t="s">
        <v>54</v>
      </c>
      <c r="AC1178">
        <v>4</v>
      </c>
      <c r="AD1178" t="str" cm="1">
        <f t="array" ref="AD1178">_xlfn.IFS(AC1178&lt;=5,"0-5",AC1178&lt;=10,"5-10",AC1178&lt;=40,"10-40")</f>
        <v>0-5</v>
      </c>
      <c r="AE1178">
        <v>2</v>
      </c>
      <c r="AF1178">
        <v>1</v>
      </c>
      <c r="AG1178">
        <v>2</v>
      </c>
      <c r="AH1178">
        <v>1177</v>
      </c>
    </row>
    <row r="1179" spans="1:34" x14ac:dyDescent="0.3">
      <c r="A1179">
        <v>50</v>
      </c>
      <c r="B1179" t="str" cm="1">
        <f t="array" ref="B1179">_xlfn.IFS(A1179&lt;=25,"18-25",A1179&lt;=35,"26-35",A1179&lt;=45,"36-45",A1179&lt;=55,"46-55",A1179&gt;55,"55+")</f>
        <v>46-55</v>
      </c>
      <c r="C1179">
        <v>0</v>
      </c>
      <c r="D1179" t="s">
        <v>32</v>
      </c>
      <c r="E1179">
        <v>813</v>
      </c>
      <c r="F1179" t="s">
        <v>48</v>
      </c>
      <c r="G1179">
        <v>17</v>
      </c>
      <c r="H1179" t="s">
        <v>75</v>
      </c>
      <c r="I1179" t="s">
        <v>35</v>
      </c>
      <c r="J1179" t="s">
        <v>41</v>
      </c>
      <c r="K1179" t="s">
        <v>37</v>
      </c>
      <c r="L1179">
        <v>50</v>
      </c>
      <c r="M1179" t="s">
        <v>36</v>
      </c>
      <c r="N1179" t="s">
        <v>63</v>
      </c>
      <c r="O1179" t="s">
        <v>70</v>
      </c>
      <c r="P1179" t="s">
        <v>44</v>
      </c>
      <c r="Q1179" t="s">
        <v>62</v>
      </c>
      <c r="R1179">
        <v>13269</v>
      </c>
      <c r="S1179">
        <v>21981</v>
      </c>
      <c r="T1179">
        <v>5</v>
      </c>
      <c r="U1179" t="s">
        <v>46</v>
      </c>
      <c r="V1179">
        <v>15</v>
      </c>
      <c r="W1179" t="s">
        <v>43</v>
      </c>
      <c r="X1179" t="s">
        <v>38</v>
      </c>
      <c r="Y1179">
        <v>3</v>
      </c>
      <c r="Z1179">
        <v>19</v>
      </c>
      <c r="AA1179">
        <v>3</v>
      </c>
      <c r="AB1179" t="s">
        <v>54</v>
      </c>
      <c r="AC1179">
        <v>14</v>
      </c>
      <c r="AD1179" t="str" cm="1">
        <f t="array" ref="AD1179">_xlfn.IFS(AC1179&lt;=5,"0-5",AC1179&lt;=10,"5-10",AC1179&lt;=40,"10-40")</f>
        <v>10-40</v>
      </c>
      <c r="AE1179">
        <v>11</v>
      </c>
      <c r="AF1179">
        <v>1</v>
      </c>
      <c r="AG1179">
        <v>11</v>
      </c>
      <c r="AH1179">
        <v>1178</v>
      </c>
    </row>
    <row r="1180" spans="1:34" x14ac:dyDescent="0.3">
      <c r="A1180">
        <v>20</v>
      </c>
      <c r="B1180" t="str" cm="1">
        <f t="array" ref="B1180">_xlfn.IFS(A1180&lt;=25,"18-25",A1180&lt;=35,"26-35",A1180&lt;=45,"36-45",A1180&lt;=55,"46-55",A1180&gt;55,"55+")</f>
        <v>18-25</v>
      </c>
      <c r="C1180">
        <v>0</v>
      </c>
      <c r="D1180" t="s">
        <v>32</v>
      </c>
      <c r="E1180">
        <v>1141</v>
      </c>
      <c r="F1180" t="s">
        <v>33</v>
      </c>
      <c r="G1180">
        <v>2</v>
      </c>
      <c r="H1180" t="s">
        <v>61</v>
      </c>
      <c r="I1180" t="s">
        <v>59</v>
      </c>
      <c r="J1180" t="s">
        <v>38</v>
      </c>
      <c r="K1180" t="s">
        <v>37</v>
      </c>
      <c r="L1180">
        <v>31</v>
      </c>
      <c r="M1180" t="s">
        <v>38</v>
      </c>
      <c r="N1180" t="s">
        <v>56</v>
      </c>
      <c r="O1180" t="s">
        <v>69</v>
      </c>
      <c r="P1180" t="s">
        <v>38</v>
      </c>
      <c r="Q1180" t="s">
        <v>42</v>
      </c>
      <c r="R1180">
        <v>2783</v>
      </c>
      <c r="S1180">
        <v>13251</v>
      </c>
      <c r="T1180">
        <v>1</v>
      </c>
      <c r="U1180" t="s">
        <v>46</v>
      </c>
      <c r="V1180">
        <v>19</v>
      </c>
      <c r="W1180" t="s">
        <v>43</v>
      </c>
      <c r="X1180" t="s">
        <v>44</v>
      </c>
      <c r="Y1180">
        <v>0</v>
      </c>
      <c r="Z1180">
        <v>2</v>
      </c>
      <c r="AA1180">
        <v>3</v>
      </c>
      <c r="AB1180" t="s">
        <v>54</v>
      </c>
      <c r="AC1180">
        <v>2</v>
      </c>
      <c r="AD1180" t="str" cm="1">
        <f t="array" ref="AD1180">_xlfn.IFS(AC1180&lt;=5,"0-5",AC1180&lt;=10,"5-10",AC1180&lt;=40,"10-40")</f>
        <v>0-5</v>
      </c>
      <c r="AE1180">
        <v>2</v>
      </c>
      <c r="AF1180">
        <v>2</v>
      </c>
      <c r="AG1180">
        <v>2</v>
      </c>
      <c r="AH1180">
        <v>1179</v>
      </c>
    </row>
    <row r="1181" spans="1:34" x14ac:dyDescent="0.3">
      <c r="A1181">
        <v>34</v>
      </c>
      <c r="B1181" t="str" cm="1">
        <f t="array" ref="B1181">_xlfn.IFS(A1181&lt;=25,"18-25",A1181&lt;=35,"26-35",A1181&lt;=45,"36-45",A1181&lt;=55,"46-55",A1181&gt;55,"55+")</f>
        <v>26-35</v>
      </c>
      <c r="C1181">
        <v>0</v>
      </c>
      <c r="D1181" t="s">
        <v>32</v>
      </c>
      <c r="E1181">
        <v>1130</v>
      </c>
      <c r="F1181" t="s">
        <v>48</v>
      </c>
      <c r="G1181">
        <v>3</v>
      </c>
      <c r="H1181" t="s">
        <v>61</v>
      </c>
      <c r="I1181" t="s">
        <v>35</v>
      </c>
      <c r="J1181" t="s">
        <v>41</v>
      </c>
      <c r="K1181" t="s">
        <v>37</v>
      </c>
      <c r="L1181">
        <v>66</v>
      </c>
      <c r="M1181" t="s">
        <v>38</v>
      </c>
      <c r="N1181" t="s">
        <v>39</v>
      </c>
      <c r="O1181" t="s">
        <v>51</v>
      </c>
      <c r="P1181" t="s">
        <v>36</v>
      </c>
      <c r="Q1181" t="s">
        <v>62</v>
      </c>
      <c r="R1181">
        <v>5433</v>
      </c>
      <c r="S1181">
        <v>19332</v>
      </c>
      <c r="T1181">
        <v>1</v>
      </c>
      <c r="U1181" t="s">
        <v>46</v>
      </c>
      <c r="V1181">
        <v>12</v>
      </c>
      <c r="W1181" t="s">
        <v>43</v>
      </c>
      <c r="X1181" t="s">
        <v>38</v>
      </c>
      <c r="Y1181">
        <v>1</v>
      </c>
      <c r="Z1181">
        <v>11</v>
      </c>
      <c r="AA1181">
        <v>2</v>
      </c>
      <c r="AB1181" t="s">
        <v>54</v>
      </c>
      <c r="AC1181">
        <v>11</v>
      </c>
      <c r="AD1181" t="str" cm="1">
        <f t="array" ref="AD1181">_xlfn.IFS(AC1181&lt;=5,"0-5",AC1181&lt;=10,"5-10",AC1181&lt;=40,"10-40")</f>
        <v>10-40</v>
      </c>
      <c r="AE1181">
        <v>8</v>
      </c>
      <c r="AF1181">
        <v>7</v>
      </c>
      <c r="AG1181">
        <v>9</v>
      </c>
      <c r="AH1181">
        <v>1180</v>
      </c>
    </row>
    <row r="1182" spans="1:34" x14ac:dyDescent="0.3">
      <c r="A1182">
        <v>36</v>
      </c>
      <c r="B1182" t="str" cm="1">
        <f t="array" ref="B1182">_xlfn.IFS(A1182&lt;=25,"18-25",A1182&lt;=35,"26-35",A1182&lt;=45,"36-45",A1182&lt;=55,"46-55",A1182&gt;55,"55+")</f>
        <v>36-45</v>
      </c>
      <c r="C1182">
        <v>0</v>
      </c>
      <c r="D1182" t="s">
        <v>32</v>
      </c>
      <c r="E1182">
        <v>311</v>
      </c>
      <c r="F1182" t="s">
        <v>48</v>
      </c>
      <c r="G1182">
        <v>7</v>
      </c>
      <c r="H1182" t="s">
        <v>61</v>
      </c>
      <c r="I1182" t="s">
        <v>35</v>
      </c>
      <c r="J1182" t="s">
        <v>44</v>
      </c>
      <c r="K1182" t="s">
        <v>50</v>
      </c>
      <c r="L1182">
        <v>77</v>
      </c>
      <c r="M1182" t="s">
        <v>38</v>
      </c>
      <c r="N1182" t="s">
        <v>56</v>
      </c>
      <c r="O1182" t="s">
        <v>57</v>
      </c>
      <c r="P1182" t="s">
        <v>36</v>
      </c>
      <c r="Q1182" t="s">
        <v>42</v>
      </c>
      <c r="R1182">
        <v>2013</v>
      </c>
      <c r="S1182">
        <v>10950</v>
      </c>
      <c r="T1182">
        <v>2</v>
      </c>
      <c r="U1182" t="s">
        <v>46</v>
      </c>
      <c r="V1182">
        <v>11</v>
      </c>
      <c r="W1182" t="s">
        <v>43</v>
      </c>
      <c r="X1182" t="s">
        <v>38</v>
      </c>
      <c r="Y1182">
        <v>0</v>
      </c>
      <c r="Z1182">
        <v>15</v>
      </c>
      <c r="AA1182">
        <v>4</v>
      </c>
      <c r="AB1182" t="s">
        <v>54</v>
      </c>
      <c r="AC1182">
        <v>4</v>
      </c>
      <c r="AD1182" t="str" cm="1">
        <f t="array" ref="AD1182">_xlfn.IFS(AC1182&lt;=5,"0-5",AC1182&lt;=10,"5-10",AC1182&lt;=40,"10-40")</f>
        <v>0-5</v>
      </c>
      <c r="AE1182">
        <v>3</v>
      </c>
      <c r="AF1182">
        <v>1</v>
      </c>
      <c r="AG1182">
        <v>3</v>
      </c>
      <c r="AH1182">
        <v>1181</v>
      </c>
    </row>
    <row r="1183" spans="1:34" x14ac:dyDescent="0.3">
      <c r="A1183">
        <v>49</v>
      </c>
      <c r="B1183" t="str" cm="1">
        <f t="array" ref="B1183">_xlfn.IFS(A1183&lt;=25,"18-25",A1183&lt;=35,"26-35",A1183&lt;=45,"36-45",A1183&lt;=55,"46-55",A1183&gt;55,"55+")</f>
        <v>46-55</v>
      </c>
      <c r="C1183">
        <v>0</v>
      </c>
      <c r="D1183" t="s">
        <v>32</v>
      </c>
      <c r="E1183">
        <v>465</v>
      </c>
      <c r="F1183" t="s">
        <v>48</v>
      </c>
      <c r="G1183">
        <v>6</v>
      </c>
      <c r="H1183" t="s">
        <v>49</v>
      </c>
      <c r="I1183" t="s">
        <v>35</v>
      </c>
      <c r="J1183" t="s">
        <v>38</v>
      </c>
      <c r="K1183" t="s">
        <v>37</v>
      </c>
      <c r="L1183">
        <v>41</v>
      </c>
      <c r="M1183" t="s">
        <v>36</v>
      </c>
      <c r="N1183" t="s">
        <v>67</v>
      </c>
      <c r="O1183" t="s">
        <v>65</v>
      </c>
      <c r="P1183" t="s">
        <v>38</v>
      </c>
      <c r="Q1183" t="s">
        <v>52</v>
      </c>
      <c r="R1183">
        <v>13966</v>
      </c>
      <c r="S1183">
        <v>11652</v>
      </c>
      <c r="T1183">
        <v>2</v>
      </c>
      <c r="U1183" t="s">
        <v>31</v>
      </c>
      <c r="V1183">
        <v>19</v>
      </c>
      <c r="W1183" t="s">
        <v>43</v>
      </c>
      <c r="X1183" t="s">
        <v>36</v>
      </c>
      <c r="Y1183">
        <v>1</v>
      </c>
      <c r="Z1183">
        <v>30</v>
      </c>
      <c r="AA1183">
        <v>3</v>
      </c>
      <c r="AB1183" t="s">
        <v>54</v>
      </c>
      <c r="AC1183">
        <v>15</v>
      </c>
      <c r="AD1183" t="str" cm="1">
        <f t="array" ref="AD1183">_xlfn.IFS(AC1183&lt;=5,"0-5",AC1183&lt;=10,"5-10",AC1183&lt;=40,"10-40")</f>
        <v>10-40</v>
      </c>
      <c r="AE1183">
        <v>11</v>
      </c>
      <c r="AF1183">
        <v>2</v>
      </c>
      <c r="AG1183">
        <v>12</v>
      </c>
      <c r="AH1183">
        <v>1182</v>
      </c>
    </row>
    <row r="1184" spans="1:34" x14ac:dyDescent="0.3">
      <c r="A1184">
        <v>36</v>
      </c>
      <c r="B1184" t="str" cm="1">
        <f t="array" ref="B1184">_xlfn.IFS(A1184&lt;=25,"18-25",A1184&lt;=35,"26-35",A1184&lt;=45,"36-45",A1184&lt;=55,"46-55",A1184&gt;55,"55+")</f>
        <v>36-45</v>
      </c>
      <c r="C1184">
        <v>0</v>
      </c>
      <c r="D1184" t="s">
        <v>66</v>
      </c>
      <c r="E1184">
        <v>894</v>
      </c>
      <c r="F1184" t="s">
        <v>48</v>
      </c>
      <c r="G1184">
        <v>1</v>
      </c>
      <c r="H1184" t="s">
        <v>58</v>
      </c>
      <c r="I1184" t="s">
        <v>59</v>
      </c>
      <c r="J1184" t="s">
        <v>41</v>
      </c>
      <c r="K1184" t="s">
        <v>37</v>
      </c>
      <c r="L1184">
        <v>33</v>
      </c>
      <c r="M1184" t="s">
        <v>36</v>
      </c>
      <c r="N1184" t="s">
        <v>39</v>
      </c>
      <c r="O1184" t="s">
        <v>64</v>
      </c>
      <c r="P1184" t="s">
        <v>38</v>
      </c>
      <c r="Q1184" t="s">
        <v>52</v>
      </c>
      <c r="R1184">
        <v>4374</v>
      </c>
      <c r="S1184">
        <v>15411</v>
      </c>
      <c r="T1184">
        <v>0</v>
      </c>
      <c r="U1184" t="s">
        <v>46</v>
      </c>
      <c r="V1184">
        <v>15</v>
      </c>
      <c r="W1184" t="s">
        <v>43</v>
      </c>
      <c r="X1184" t="s">
        <v>38</v>
      </c>
      <c r="Y1184">
        <v>0</v>
      </c>
      <c r="Z1184">
        <v>4</v>
      </c>
      <c r="AA1184">
        <v>6</v>
      </c>
      <c r="AB1184" t="s">
        <v>54</v>
      </c>
      <c r="AC1184">
        <v>3</v>
      </c>
      <c r="AD1184" t="str" cm="1">
        <f t="array" ref="AD1184">_xlfn.IFS(AC1184&lt;=5,"0-5",AC1184&lt;=10,"5-10",AC1184&lt;=40,"10-40")</f>
        <v>0-5</v>
      </c>
      <c r="AE1184">
        <v>2</v>
      </c>
      <c r="AF1184">
        <v>1</v>
      </c>
      <c r="AG1184">
        <v>2</v>
      </c>
      <c r="AH1184">
        <v>1183</v>
      </c>
    </row>
    <row r="1185" spans="1:34" x14ac:dyDescent="0.3">
      <c r="A1185">
        <v>36</v>
      </c>
      <c r="B1185" t="str" cm="1">
        <f t="array" ref="B1185">_xlfn.IFS(A1185&lt;=25,"18-25",A1185&lt;=35,"26-35",A1185&lt;=45,"36-45",A1185&lt;=55,"46-55",A1185&gt;55,"55+")</f>
        <v>36-45</v>
      </c>
      <c r="C1185">
        <v>0</v>
      </c>
      <c r="D1185" t="s">
        <v>32</v>
      </c>
      <c r="E1185">
        <v>1040</v>
      </c>
      <c r="F1185" t="s">
        <v>48</v>
      </c>
      <c r="G1185">
        <v>3</v>
      </c>
      <c r="H1185" t="s">
        <v>34</v>
      </c>
      <c r="I1185" t="s">
        <v>35</v>
      </c>
      <c r="J1185" t="s">
        <v>41</v>
      </c>
      <c r="K1185" t="s">
        <v>50</v>
      </c>
      <c r="L1185">
        <v>79</v>
      </c>
      <c r="M1185" t="s">
        <v>41</v>
      </c>
      <c r="N1185" t="s">
        <v>39</v>
      </c>
      <c r="O1185" t="s">
        <v>65</v>
      </c>
      <c r="P1185" t="s">
        <v>44</v>
      </c>
      <c r="Q1185" t="s">
        <v>62</v>
      </c>
      <c r="R1185">
        <v>6842</v>
      </c>
      <c r="S1185">
        <v>26308</v>
      </c>
      <c r="T1185">
        <v>6</v>
      </c>
      <c r="U1185" t="s">
        <v>46</v>
      </c>
      <c r="V1185">
        <v>20</v>
      </c>
      <c r="W1185" t="s">
        <v>53</v>
      </c>
      <c r="X1185" t="s">
        <v>44</v>
      </c>
      <c r="Y1185">
        <v>1</v>
      </c>
      <c r="Z1185">
        <v>13</v>
      </c>
      <c r="AA1185">
        <v>3</v>
      </c>
      <c r="AB1185" t="s">
        <v>54</v>
      </c>
      <c r="AC1185">
        <v>5</v>
      </c>
      <c r="AD1185" t="str" cm="1">
        <f t="array" ref="AD1185">_xlfn.IFS(AC1185&lt;=5,"0-5",AC1185&lt;=10,"5-10",AC1185&lt;=40,"10-40")</f>
        <v>0-5</v>
      </c>
      <c r="AE1185">
        <v>4</v>
      </c>
      <c r="AF1185">
        <v>0</v>
      </c>
      <c r="AG1185">
        <v>4</v>
      </c>
      <c r="AH1185">
        <v>1184</v>
      </c>
    </row>
    <row r="1186" spans="1:34" x14ac:dyDescent="0.3">
      <c r="A1186">
        <v>54</v>
      </c>
      <c r="B1186" t="str" cm="1">
        <f t="array" ref="B1186">_xlfn.IFS(A1186&lt;=25,"18-25",A1186&lt;=35,"26-35",A1186&lt;=45,"36-45",A1186&lt;=55,"46-55",A1186&gt;55,"55+")</f>
        <v>46-55</v>
      </c>
      <c r="C1186">
        <v>0</v>
      </c>
      <c r="D1186" t="s">
        <v>32</v>
      </c>
      <c r="E1186">
        <v>584</v>
      </c>
      <c r="F1186" t="s">
        <v>48</v>
      </c>
      <c r="G1186">
        <v>22</v>
      </c>
      <c r="H1186" t="s">
        <v>75</v>
      </c>
      <c r="I1186" t="s">
        <v>59</v>
      </c>
      <c r="J1186" t="s">
        <v>36</v>
      </c>
      <c r="K1186" t="s">
        <v>37</v>
      </c>
      <c r="L1186">
        <v>91</v>
      </c>
      <c r="M1186" t="s">
        <v>38</v>
      </c>
      <c r="N1186" t="s">
        <v>67</v>
      </c>
      <c r="O1186" t="s">
        <v>68</v>
      </c>
      <c r="P1186" t="s">
        <v>38</v>
      </c>
      <c r="Q1186" t="s">
        <v>52</v>
      </c>
      <c r="R1186">
        <v>17426</v>
      </c>
      <c r="S1186">
        <v>18685</v>
      </c>
      <c r="T1186">
        <v>3</v>
      </c>
      <c r="U1186" t="s">
        <v>46</v>
      </c>
      <c r="V1186">
        <v>25</v>
      </c>
      <c r="W1186" t="s">
        <v>53</v>
      </c>
      <c r="X1186" t="s">
        <v>38</v>
      </c>
      <c r="Y1186">
        <v>1</v>
      </c>
      <c r="Z1186">
        <v>36</v>
      </c>
      <c r="AA1186">
        <v>6</v>
      </c>
      <c r="AB1186" t="s">
        <v>54</v>
      </c>
      <c r="AC1186">
        <v>10</v>
      </c>
      <c r="AD1186" t="str" cm="1">
        <f t="array" ref="AD1186">_xlfn.IFS(AC1186&lt;=5,"0-5",AC1186&lt;=10,"5-10",AC1186&lt;=40,"10-40")</f>
        <v>5-10</v>
      </c>
      <c r="AE1186">
        <v>8</v>
      </c>
      <c r="AF1186">
        <v>4</v>
      </c>
      <c r="AG1186">
        <v>7</v>
      </c>
      <c r="AH1186">
        <v>1185</v>
      </c>
    </row>
    <row r="1187" spans="1:34" x14ac:dyDescent="0.3">
      <c r="A1187">
        <v>43</v>
      </c>
      <c r="B1187" t="str" cm="1">
        <f t="array" ref="B1187">_xlfn.IFS(A1187&lt;=25,"18-25",A1187&lt;=35,"26-35",A1187&lt;=45,"36-45",A1187&lt;=55,"46-55",A1187&gt;55,"55+")</f>
        <v>36-45</v>
      </c>
      <c r="C1187">
        <v>0</v>
      </c>
      <c r="D1187" t="s">
        <v>32</v>
      </c>
      <c r="E1187">
        <v>1291</v>
      </c>
      <c r="F1187" t="s">
        <v>48</v>
      </c>
      <c r="G1187">
        <v>15</v>
      </c>
      <c r="H1187" t="s">
        <v>34</v>
      </c>
      <c r="I1187" t="s">
        <v>35</v>
      </c>
      <c r="J1187" t="s">
        <v>38</v>
      </c>
      <c r="K1187" t="s">
        <v>50</v>
      </c>
      <c r="L1187">
        <v>65</v>
      </c>
      <c r="M1187" t="s">
        <v>36</v>
      </c>
      <c r="N1187" t="s">
        <v>67</v>
      </c>
      <c r="O1187" t="s">
        <v>70</v>
      </c>
      <c r="P1187" t="s">
        <v>38</v>
      </c>
      <c r="Q1187" t="s">
        <v>52</v>
      </c>
      <c r="R1187">
        <v>17603</v>
      </c>
      <c r="S1187">
        <v>3525</v>
      </c>
      <c r="T1187">
        <v>1</v>
      </c>
      <c r="U1187" t="s">
        <v>46</v>
      </c>
      <c r="V1187">
        <v>24</v>
      </c>
      <c r="W1187" t="s">
        <v>53</v>
      </c>
      <c r="X1187" t="s">
        <v>44</v>
      </c>
      <c r="Y1187">
        <v>1</v>
      </c>
      <c r="Z1187">
        <v>14</v>
      </c>
      <c r="AA1187">
        <v>3</v>
      </c>
      <c r="AB1187" t="s">
        <v>54</v>
      </c>
      <c r="AC1187">
        <v>14</v>
      </c>
      <c r="AD1187" t="str" cm="1">
        <f t="array" ref="AD1187">_xlfn.IFS(AC1187&lt;=5,"0-5",AC1187&lt;=10,"5-10",AC1187&lt;=40,"10-40")</f>
        <v>10-40</v>
      </c>
      <c r="AE1187">
        <v>10</v>
      </c>
      <c r="AF1187">
        <v>6</v>
      </c>
      <c r="AG1187">
        <v>11</v>
      </c>
      <c r="AH1187">
        <v>1186</v>
      </c>
    </row>
    <row r="1188" spans="1:34" x14ac:dyDescent="0.3">
      <c r="A1188">
        <v>35</v>
      </c>
      <c r="B1188" t="str" cm="1">
        <f t="array" ref="B1188">_xlfn.IFS(A1188&lt;=25,"18-25",A1188&lt;=35,"26-35",A1188&lt;=45,"36-45",A1188&lt;=55,"46-55",A1188&gt;55,"55+")</f>
        <v>26-35</v>
      </c>
      <c r="C1188">
        <v>1</v>
      </c>
      <c r="D1188" t="s">
        <v>47</v>
      </c>
      <c r="E1188">
        <v>880</v>
      </c>
      <c r="F1188" t="s">
        <v>33</v>
      </c>
      <c r="G1188">
        <v>12</v>
      </c>
      <c r="H1188" t="s">
        <v>58</v>
      </c>
      <c r="I1188" t="s">
        <v>55</v>
      </c>
      <c r="J1188" t="s">
        <v>41</v>
      </c>
      <c r="K1188" t="s">
        <v>50</v>
      </c>
      <c r="L1188">
        <v>36</v>
      </c>
      <c r="M1188" t="s">
        <v>38</v>
      </c>
      <c r="N1188" t="s">
        <v>39</v>
      </c>
      <c r="O1188" t="s">
        <v>40</v>
      </c>
      <c r="P1188" t="s">
        <v>41</v>
      </c>
      <c r="Q1188" t="s">
        <v>42</v>
      </c>
      <c r="R1188">
        <v>4581</v>
      </c>
      <c r="S1188">
        <v>10414</v>
      </c>
      <c r="T1188">
        <v>3</v>
      </c>
      <c r="U1188" t="s">
        <v>31</v>
      </c>
      <c r="V1188">
        <v>24</v>
      </c>
      <c r="W1188" t="s">
        <v>53</v>
      </c>
      <c r="X1188" t="s">
        <v>44</v>
      </c>
      <c r="Y1188">
        <v>0</v>
      </c>
      <c r="Z1188">
        <v>13</v>
      </c>
      <c r="AA1188">
        <v>2</v>
      </c>
      <c r="AB1188" t="s">
        <v>73</v>
      </c>
      <c r="AC1188">
        <v>11</v>
      </c>
      <c r="AD1188" t="str" cm="1">
        <f t="array" ref="AD1188">_xlfn.IFS(AC1188&lt;=5,"0-5",AC1188&lt;=10,"5-10",AC1188&lt;=40,"10-40")</f>
        <v>10-40</v>
      </c>
      <c r="AE1188">
        <v>9</v>
      </c>
      <c r="AF1188">
        <v>6</v>
      </c>
      <c r="AG1188">
        <v>7</v>
      </c>
      <c r="AH1188">
        <v>1187</v>
      </c>
    </row>
    <row r="1189" spans="1:34" x14ac:dyDescent="0.3">
      <c r="A1189">
        <v>38</v>
      </c>
      <c r="B1189" t="str" cm="1">
        <f t="array" ref="B1189">_xlfn.IFS(A1189&lt;=25,"18-25",A1189&lt;=35,"26-35",A1189&lt;=45,"36-45",A1189&lt;=55,"46-55",A1189&gt;55,"55+")</f>
        <v>36-45</v>
      </c>
      <c r="C1189">
        <v>0</v>
      </c>
      <c r="D1189" t="s">
        <v>47</v>
      </c>
      <c r="E1189">
        <v>1189</v>
      </c>
      <c r="F1189" t="s">
        <v>48</v>
      </c>
      <c r="G1189">
        <v>1</v>
      </c>
      <c r="H1189" t="s">
        <v>61</v>
      </c>
      <c r="I1189" t="s">
        <v>35</v>
      </c>
      <c r="J1189" t="s">
        <v>41</v>
      </c>
      <c r="K1189" t="s">
        <v>50</v>
      </c>
      <c r="L1189">
        <v>90</v>
      </c>
      <c r="M1189" t="s">
        <v>38</v>
      </c>
      <c r="N1189" t="s">
        <v>39</v>
      </c>
      <c r="O1189" t="s">
        <v>51</v>
      </c>
      <c r="P1189" t="s">
        <v>41</v>
      </c>
      <c r="Q1189" t="s">
        <v>52</v>
      </c>
      <c r="R1189">
        <v>4735</v>
      </c>
      <c r="S1189">
        <v>9867</v>
      </c>
      <c r="T1189">
        <v>7</v>
      </c>
      <c r="U1189" t="s">
        <v>46</v>
      </c>
      <c r="V1189">
        <v>15</v>
      </c>
      <c r="W1189" t="s">
        <v>43</v>
      </c>
      <c r="X1189" t="s">
        <v>41</v>
      </c>
      <c r="Y1189">
        <v>2</v>
      </c>
      <c r="Z1189">
        <v>19</v>
      </c>
      <c r="AA1189">
        <v>4</v>
      </c>
      <c r="AB1189" t="s">
        <v>73</v>
      </c>
      <c r="AC1189">
        <v>13</v>
      </c>
      <c r="AD1189" t="str" cm="1">
        <f t="array" ref="AD1189">_xlfn.IFS(AC1189&lt;=5,"0-5",AC1189&lt;=10,"5-10",AC1189&lt;=40,"10-40")</f>
        <v>10-40</v>
      </c>
      <c r="AE1189">
        <v>11</v>
      </c>
      <c r="AF1189">
        <v>2</v>
      </c>
      <c r="AG1189">
        <v>9</v>
      </c>
      <c r="AH1189">
        <v>1188</v>
      </c>
    </row>
    <row r="1190" spans="1:34" x14ac:dyDescent="0.3">
      <c r="A1190">
        <v>29</v>
      </c>
      <c r="B1190" t="str" cm="1">
        <f t="array" ref="B1190">_xlfn.IFS(A1190&lt;=25,"18-25",A1190&lt;=35,"26-35",A1190&lt;=45,"36-45",A1190&lt;=55,"46-55",A1190&gt;55,"55+")</f>
        <v>26-35</v>
      </c>
      <c r="C1190">
        <v>0</v>
      </c>
      <c r="D1190" t="s">
        <v>32</v>
      </c>
      <c r="E1190">
        <v>991</v>
      </c>
      <c r="F1190" t="s">
        <v>33</v>
      </c>
      <c r="G1190">
        <v>5</v>
      </c>
      <c r="H1190" t="s">
        <v>61</v>
      </c>
      <c r="I1190" t="s">
        <v>59</v>
      </c>
      <c r="J1190" t="s">
        <v>44</v>
      </c>
      <c r="K1190" t="s">
        <v>50</v>
      </c>
      <c r="L1190">
        <v>43</v>
      </c>
      <c r="M1190" t="s">
        <v>36</v>
      </c>
      <c r="N1190" t="s">
        <v>39</v>
      </c>
      <c r="O1190" t="s">
        <v>40</v>
      </c>
      <c r="P1190" t="s">
        <v>36</v>
      </c>
      <c r="Q1190" t="s">
        <v>62</v>
      </c>
      <c r="R1190">
        <v>4187</v>
      </c>
      <c r="S1190">
        <v>3356</v>
      </c>
      <c r="T1190">
        <v>1</v>
      </c>
      <c r="U1190" t="s">
        <v>31</v>
      </c>
      <c r="V1190">
        <v>13</v>
      </c>
      <c r="W1190" t="s">
        <v>43</v>
      </c>
      <c r="X1190" t="s">
        <v>36</v>
      </c>
      <c r="Y1190">
        <v>1</v>
      </c>
      <c r="Z1190">
        <v>10</v>
      </c>
      <c r="AA1190">
        <v>3</v>
      </c>
      <c r="AB1190" t="s">
        <v>60</v>
      </c>
      <c r="AC1190">
        <v>10</v>
      </c>
      <c r="AD1190" t="str" cm="1">
        <f t="array" ref="AD1190">_xlfn.IFS(AC1190&lt;=5,"0-5",AC1190&lt;=10,"5-10",AC1190&lt;=40,"10-40")</f>
        <v>5-10</v>
      </c>
      <c r="AE1190">
        <v>0</v>
      </c>
      <c r="AF1190">
        <v>0</v>
      </c>
      <c r="AG1190">
        <v>9</v>
      </c>
      <c r="AH1190">
        <v>1189</v>
      </c>
    </row>
    <row r="1191" spans="1:34" x14ac:dyDescent="0.3">
      <c r="A1191">
        <v>33</v>
      </c>
      <c r="B1191" t="str" cm="1">
        <f t="array" ref="B1191">_xlfn.IFS(A1191&lt;=25,"18-25",A1191&lt;=35,"26-35",A1191&lt;=45,"36-45",A1191&lt;=55,"46-55",A1191&gt;55,"55+")</f>
        <v>26-35</v>
      </c>
      <c r="C1191">
        <v>0</v>
      </c>
      <c r="D1191" t="s">
        <v>32</v>
      </c>
      <c r="E1191">
        <v>392</v>
      </c>
      <c r="F1191" t="s">
        <v>33</v>
      </c>
      <c r="G1191">
        <v>2</v>
      </c>
      <c r="H1191" t="s">
        <v>58</v>
      </c>
      <c r="I1191" t="s">
        <v>59</v>
      </c>
      <c r="J1191" t="s">
        <v>41</v>
      </c>
      <c r="K1191" t="s">
        <v>50</v>
      </c>
      <c r="L1191">
        <v>93</v>
      </c>
      <c r="M1191" t="s">
        <v>38</v>
      </c>
      <c r="N1191" t="s">
        <v>39</v>
      </c>
      <c r="O1191" t="s">
        <v>40</v>
      </c>
      <c r="P1191" t="s">
        <v>41</v>
      </c>
      <c r="Q1191" t="s">
        <v>62</v>
      </c>
      <c r="R1191">
        <v>5505</v>
      </c>
      <c r="S1191">
        <v>3921</v>
      </c>
      <c r="T1191">
        <v>1</v>
      </c>
      <c r="U1191" t="s">
        <v>46</v>
      </c>
      <c r="V1191">
        <v>14</v>
      </c>
      <c r="W1191" t="s">
        <v>43</v>
      </c>
      <c r="X1191" t="s">
        <v>38</v>
      </c>
      <c r="Y1191">
        <v>2</v>
      </c>
      <c r="Z1191">
        <v>6</v>
      </c>
      <c r="AA1191">
        <v>5</v>
      </c>
      <c r="AB1191" t="s">
        <v>54</v>
      </c>
      <c r="AC1191">
        <v>6</v>
      </c>
      <c r="AD1191" t="str" cm="1">
        <f t="array" ref="AD1191">_xlfn.IFS(AC1191&lt;=5,"0-5",AC1191&lt;=10,"5-10",AC1191&lt;=40,"10-40")</f>
        <v>5-10</v>
      </c>
      <c r="AE1191">
        <v>2</v>
      </c>
      <c r="AF1191">
        <v>0</v>
      </c>
      <c r="AG1191">
        <v>4</v>
      </c>
      <c r="AH1191">
        <v>1190</v>
      </c>
    </row>
    <row r="1192" spans="1:34" x14ac:dyDescent="0.3">
      <c r="A1192">
        <v>32</v>
      </c>
      <c r="B1192" t="str" cm="1">
        <f t="array" ref="B1192">_xlfn.IFS(A1192&lt;=25,"18-25",A1192&lt;=35,"26-35",A1192&lt;=45,"36-45",A1192&lt;=55,"46-55",A1192&gt;55,"55+")</f>
        <v>26-35</v>
      </c>
      <c r="C1192">
        <v>0</v>
      </c>
      <c r="D1192" t="s">
        <v>32</v>
      </c>
      <c r="E1192">
        <v>977</v>
      </c>
      <c r="F1192" t="s">
        <v>48</v>
      </c>
      <c r="G1192">
        <v>2</v>
      </c>
      <c r="H1192" t="s">
        <v>61</v>
      </c>
      <c r="I1192" t="s">
        <v>59</v>
      </c>
      <c r="J1192" t="s">
        <v>41</v>
      </c>
      <c r="K1192" t="s">
        <v>50</v>
      </c>
      <c r="L1192">
        <v>45</v>
      </c>
      <c r="M1192" t="s">
        <v>38</v>
      </c>
      <c r="N1192" t="s">
        <v>39</v>
      </c>
      <c r="O1192" t="s">
        <v>51</v>
      </c>
      <c r="P1192" t="s">
        <v>36</v>
      </c>
      <c r="Q1192" t="s">
        <v>62</v>
      </c>
      <c r="R1192">
        <v>5470</v>
      </c>
      <c r="S1192">
        <v>25518</v>
      </c>
      <c r="T1192">
        <v>0</v>
      </c>
      <c r="U1192" t="s">
        <v>46</v>
      </c>
      <c r="V1192">
        <v>13</v>
      </c>
      <c r="W1192" t="s">
        <v>43</v>
      </c>
      <c r="X1192" t="s">
        <v>38</v>
      </c>
      <c r="Y1192">
        <v>2</v>
      </c>
      <c r="Z1192">
        <v>10</v>
      </c>
      <c r="AA1192">
        <v>4</v>
      </c>
      <c r="AB1192" t="s">
        <v>60</v>
      </c>
      <c r="AC1192">
        <v>9</v>
      </c>
      <c r="AD1192" t="str" cm="1">
        <f t="array" ref="AD1192">_xlfn.IFS(AC1192&lt;=5,"0-5",AC1192&lt;=10,"5-10",AC1192&lt;=40,"10-40")</f>
        <v>5-10</v>
      </c>
      <c r="AE1192">
        <v>5</v>
      </c>
      <c r="AF1192">
        <v>1</v>
      </c>
      <c r="AG1192">
        <v>6</v>
      </c>
      <c r="AH1192">
        <v>1191</v>
      </c>
    </row>
    <row r="1193" spans="1:34" x14ac:dyDescent="0.3">
      <c r="A1193">
        <v>31</v>
      </c>
      <c r="B1193" t="str" cm="1">
        <f t="array" ref="B1193">_xlfn.IFS(A1193&lt;=25,"18-25",A1193&lt;=35,"26-35",A1193&lt;=45,"36-45",A1193&lt;=55,"46-55",A1193&gt;55,"55+")</f>
        <v>26-35</v>
      </c>
      <c r="C1193">
        <v>0</v>
      </c>
      <c r="D1193" t="s">
        <v>32</v>
      </c>
      <c r="E1193">
        <v>1112</v>
      </c>
      <c r="F1193" t="s">
        <v>33</v>
      </c>
      <c r="G1193">
        <v>5</v>
      </c>
      <c r="H1193" t="s">
        <v>58</v>
      </c>
      <c r="I1193" t="s">
        <v>35</v>
      </c>
      <c r="J1193" t="s">
        <v>44</v>
      </c>
      <c r="K1193" t="s">
        <v>37</v>
      </c>
      <c r="L1193">
        <v>67</v>
      </c>
      <c r="M1193" t="s">
        <v>38</v>
      </c>
      <c r="N1193" t="s">
        <v>39</v>
      </c>
      <c r="O1193" t="s">
        <v>40</v>
      </c>
      <c r="P1193" t="s">
        <v>41</v>
      </c>
      <c r="Q1193" t="s">
        <v>52</v>
      </c>
      <c r="R1193">
        <v>5476</v>
      </c>
      <c r="S1193">
        <v>22589</v>
      </c>
      <c r="T1193">
        <v>1</v>
      </c>
      <c r="U1193" t="s">
        <v>46</v>
      </c>
      <c r="V1193">
        <v>11</v>
      </c>
      <c r="W1193" t="s">
        <v>43</v>
      </c>
      <c r="X1193" t="s">
        <v>44</v>
      </c>
      <c r="Y1193">
        <v>2</v>
      </c>
      <c r="Z1193">
        <v>10</v>
      </c>
      <c r="AA1193">
        <v>2</v>
      </c>
      <c r="AB1193" t="s">
        <v>54</v>
      </c>
      <c r="AC1193">
        <v>10</v>
      </c>
      <c r="AD1193" t="str" cm="1">
        <f t="array" ref="AD1193">_xlfn.IFS(AC1193&lt;=5,"0-5",AC1193&lt;=10,"5-10",AC1193&lt;=40,"10-40")</f>
        <v>5-10</v>
      </c>
      <c r="AE1193">
        <v>0</v>
      </c>
      <c r="AF1193">
        <v>0</v>
      </c>
      <c r="AG1193">
        <v>2</v>
      </c>
      <c r="AH1193">
        <v>1192</v>
      </c>
    </row>
    <row r="1194" spans="1:34" x14ac:dyDescent="0.3">
      <c r="A1194">
        <v>49</v>
      </c>
      <c r="B1194" t="str" cm="1">
        <f t="array" ref="B1194">_xlfn.IFS(A1194&lt;=25,"18-25",A1194&lt;=35,"26-35",A1194&lt;=45,"36-45",A1194&lt;=55,"46-55",A1194&gt;55,"55+")</f>
        <v>46-55</v>
      </c>
      <c r="C1194">
        <v>0</v>
      </c>
      <c r="D1194" t="s">
        <v>32</v>
      </c>
      <c r="E1194">
        <v>464</v>
      </c>
      <c r="F1194" t="s">
        <v>48</v>
      </c>
      <c r="G1194">
        <v>16</v>
      </c>
      <c r="H1194" t="s">
        <v>61</v>
      </c>
      <c r="I1194" t="s">
        <v>59</v>
      </c>
      <c r="J1194" t="s">
        <v>41</v>
      </c>
      <c r="K1194" t="s">
        <v>37</v>
      </c>
      <c r="L1194">
        <v>74</v>
      </c>
      <c r="M1194" t="s">
        <v>38</v>
      </c>
      <c r="N1194" t="s">
        <v>56</v>
      </c>
      <c r="O1194" t="s">
        <v>57</v>
      </c>
      <c r="P1194" t="s">
        <v>44</v>
      </c>
      <c r="Q1194" t="s">
        <v>62</v>
      </c>
      <c r="R1194">
        <v>2587</v>
      </c>
      <c r="S1194">
        <v>24941</v>
      </c>
      <c r="T1194">
        <v>4</v>
      </c>
      <c r="U1194" t="s">
        <v>31</v>
      </c>
      <c r="V1194">
        <v>16</v>
      </c>
      <c r="W1194" t="s">
        <v>43</v>
      </c>
      <c r="X1194" t="s">
        <v>36</v>
      </c>
      <c r="Y1194">
        <v>1</v>
      </c>
      <c r="Z1194">
        <v>17</v>
      </c>
      <c r="AA1194">
        <v>2</v>
      </c>
      <c r="AB1194" t="s">
        <v>60</v>
      </c>
      <c r="AC1194">
        <v>2</v>
      </c>
      <c r="AD1194" t="str" cm="1">
        <f t="array" ref="AD1194">_xlfn.IFS(AC1194&lt;=5,"0-5",AC1194&lt;=10,"5-10",AC1194&lt;=40,"10-40")</f>
        <v>0-5</v>
      </c>
      <c r="AE1194">
        <v>2</v>
      </c>
      <c r="AF1194">
        <v>2</v>
      </c>
      <c r="AG1194">
        <v>2</v>
      </c>
      <c r="AH1194">
        <v>1193</v>
      </c>
    </row>
    <row r="1195" spans="1:34" x14ac:dyDescent="0.3">
      <c r="A1195">
        <v>38</v>
      </c>
      <c r="B1195" t="str" cm="1">
        <f t="array" ref="B1195">_xlfn.IFS(A1195&lt;=25,"18-25",A1195&lt;=35,"26-35",A1195&lt;=45,"36-45",A1195&lt;=55,"46-55",A1195&gt;55,"55+")</f>
        <v>36-45</v>
      </c>
      <c r="C1195">
        <v>0</v>
      </c>
      <c r="D1195" t="s">
        <v>47</v>
      </c>
      <c r="E1195">
        <v>148</v>
      </c>
      <c r="F1195" t="s">
        <v>48</v>
      </c>
      <c r="G1195">
        <v>2</v>
      </c>
      <c r="H1195" t="s">
        <v>61</v>
      </c>
      <c r="I1195" t="s">
        <v>59</v>
      </c>
      <c r="J1195" t="s">
        <v>41</v>
      </c>
      <c r="K1195" t="s">
        <v>37</v>
      </c>
      <c r="L1195">
        <v>42</v>
      </c>
      <c r="M1195" t="s">
        <v>36</v>
      </c>
      <c r="N1195" t="s">
        <v>56</v>
      </c>
      <c r="O1195" t="s">
        <v>57</v>
      </c>
      <c r="P1195" t="s">
        <v>36</v>
      </c>
      <c r="Q1195" t="s">
        <v>42</v>
      </c>
      <c r="R1195">
        <v>2440</v>
      </c>
      <c r="S1195">
        <v>23826</v>
      </c>
      <c r="T1195">
        <v>1</v>
      </c>
      <c r="U1195" t="s">
        <v>46</v>
      </c>
      <c r="V1195">
        <v>22</v>
      </c>
      <c r="W1195" t="s">
        <v>53</v>
      </c>
      <c r="X1195" t="s">
        <v>36</v>
      </c>
      <c r="Y1195">
        <v>0</v>
      </c>
      <c r="Z1195">
        <v>4</v>
      </c>
      <c r="AA1195">
        <v>3</v>
      </c>
      <c r="AB1195" t="s">
        <v>54</v>
      </c>
      <c r="AC1195">
        <v>4</v>
      </c>
      <c r="AD1195" t="str" cm="1">
        <f t="array" ref="AD1195">_xlfn.IFS(AC1195&lt;=5,"0-5",AC1195&lt;=10,"5-10",AC1195&lt;=40,"10-40")</f>
        <v>0-5</v>
      </c>
      <c r="AE1195">
        <v>3</v>
      </c>
      <c r="AF1195">
        <v>3</v>
      </c>
      <c r="AG1195">
        <v>3</v>
      </c>
      <c r="AH1195">
        <v>1194</v>
      </c>
    </row>
    <row r="1196" spans="1:34" x14ac:dyDescent="0.3">
      <c r="A1196">
        <v>47</v>
      </c>
      <c r="B1196" t="str" cm="1">
        <f t="array" ref="B1196">_xlfn.IFS(A1196&lt;=25,"18-25",A1196&lt;=35,"26-35",A1196&lt;=45,"36-45",A1196&lt;=55,"46-55",A1196&gt;55,"55+")</f>
        <v>46-55</v>
      </c>
      <c r="C1196">
        <v>0</v>
      </c>
      <c r="D1196" t="s">
        <v>32</v>
      </c>
      <c r="E1196">
        <v>1225</v>
      </c>
      <c r="F1196" t="s">
        <v>33</v>
      </c>
      <c r="G1196">
        <v>2</v>
      </c>
      <c r="H1196" t="s">
        <v>58</v>
      </c>
      <c r="I1196" t="s">
        <v>35</v>
      </c>
      <c r="J1196" t="s">
        <v>36</v>
      </c>
      <c r="K1196" t="s">
        <v>37</v>
      </c>
      <c r="L1196">
        <v>47</v>
      </c>
      <c r="M1196" t="s">
        <v>41</v>
      </c>
      <c r="N1196" t="s">
        <v>67</v>
      </c>
      <c r="O1196" t="s">
        <v>68</v>
      </c>
      <c r="P1196" t="s">
        <v>36</v>
      </c>
      <c r="Q1196" t="s">
        <v>62</v>
      </c>
      <c r="R1196">
        <v>15972</v>
      </c>
      <c r="S1196">
        <v>21086</v>
      </c>
      <c r="T1196">
        <v>6</v>
      </c>
      <c r="U1196" t="s">
        <v>46</v>
      </c>
      <c r="V1196">
        <v>14</v>
      </c>
      <c r="W1196" t="s">
        <v>43</v>
      </c>
      <c r="X1196" t="s">
        <v>38</v>
      </c>
      <c r="Y1196">
        <v>3</v>
      </c>
      <c r="Z1196">
        <v>29</v>
      </c>
      <c r="AA1196">
        <v>2</v>
      </c>
      <c r="AB1196" t="s">
        <v>54</v>
      </c>
      <c r="AC1196">
        <v>3</v>
      </c>
      <c r="AD1196" t="str" cm="1">
        <f t="array" ref="AD1196">_xlfn.IFS(AC1196&lt;=5,"0-5",AC1196&lt;=10,"5-10",AC1196&lt;=40,"10-40")</f>
        <v>0-5</v>
      </c>
      <c r="AE1196">
        <v>2</v>
      </c>
      <c r="AF1196">
        <v>1</v>
      </c>
      <c r="AG1196">
        <v>2</v>
      </c>
      <c r="AH1196">
        <v>1195</v>
      </c>
    </row>
    <row r="1197" spans="1:34" x14ac:dyDescent="0.3">
      <c r="A1197">
        <v>49</v>
      </c>
      <c r="B1197" t="str" cm="1">
        <f t="array" ref="B1197">_xlfn.IFS(A1197&lt;=25,"18-25",A1197&lt;=35,"26-35",A1197&lt;=45,"36-45",A1197&lt;=55,"46-55",A1197&gt;55,"55+")</f>
        <v>46-55</v>
      </c>
      <c r="C1197">
        <v>0</v>
      </c>
      <c r="D1197" t="s">
        <v>32</v>
      </c>
      <c r="E1197">
        <v>809</v>
      </c>
      <c r="F1197" t="s">
        <v>48</v>
      </c>
      <c r="G1197">
        <v>1</v>
      </c>
      <c r="H1197" t="s">
        <v>61</v>
      </c>
      <c r="I1197" t="s">
        <v>35</v>
      </c>
      <c r="J1197" t="s">
        <v>38</v>
      </c>
      <c r="K1197" t="s">
        <v>50</v>
      </c>
      <c r="L1197">
        <v>36</v>
      </c>
      <c r="M1197" t="s">
        <v>38</v>
      </c>
      <c r="N1197" t="s">
        <v>67</v>
      </c>
      <c r="O1197" t="s">
        <v>68</v>
      </c>
      <c r="P1197" t="s">
        <v>38</v>
      </c>
      <c r="Q1197" t="s">
        <v>42</v>
      </c>
      <c r="R1197">
        <v>15379</v>
      </c>
      <c r="S1197">
        <v>22384</v>
      </c>
      <c r="T1197">
        <v>4</v>
      </c>
      <c r="U1197" t="s">
        <v>46</v>
      </c>
      <c r="V1197">
        <v>14</v>
      </c>
      <c r="W1197" t="s">
        <v>43</v>
      </c>
      <c r="X1197" t="s">
        <v>44</v>
      </c>
      <c r="Y1197">
        <v>0</v>
      </c>
      <c r="Z1197">
        <v>23</v>
      </c>
      <c r="AA1197">
        <v>2</v>
      </c>
      <c r="AB1197" t="s">
        <v>54</v>
      </c>
      <c r="AC1197">
        <v>8</v>
      </c>
      <c r="AD1197" t="str" cm="1">
        <f t="array" ref="AD1197">_xlfn.IFS(AC1197&lt;=5,"0-5",AC1197&lt;=10,"5-10",AC1197&lt;=40,"10-40")</f>
        <v>5-10</v>
      </c>
      <c r="AE1197">
        <v>7</v>
      </c>
      <c r="AF1197">
        <v>0</v>
      </c>
      <c r="AG1197">
        <v>0</v>
      </c>
      <c r="AH1197">
        <v>1196</v>
      </c>
    </row>
    <row r="1198" spans="1:34" x14ac:dyDescent="0.3">
      <c r="A1198">
        <v>41</v>
      </c>
      <c r="B1198" t="str" cm="1">
        <f t="array" ref="B1198">_xlfn.IFS(A1198&lt;=25,"18-25",A1198&lt;=35,"26-35",A1198&lt;=45,"36-45",A1198&lt;=55,"46-55",A1198&gt;55,"55+")</f>
        <v>36-45</v>
      </c>
      <c r="C1198">
        <v>0</v>
      </c>
      <c r="D1198" t="s">
        <v>32</v>
      </c>
      <c r="E1198">
        <v>1206</v>
      </c>
      <c r="F1198" t="s">
        <v>33</v>
      </c>
      <c r="G1198">
        <v>23</v>
      </c>
      <c r="H1198" t="s">
        <v>34</v>
      </c>
      <c r="I1198" t="s">
        <v>35</v>
      </c>
      <c r="J1198" t="s">
        <v>41</v>
      </c>
      <c r="K1198" t="s">
        <v>50</v>
      </c>
      <c r="L1198">
        <v>80</v>
      </c>
      <c r="M1198" t="s">
        <v>38</v>
      </c>
      <c r="N1198" t="s">
        <v>63</v>
      </c>
      <c r="O1198" t="s">
        <v>40</v>
      </c>
      <c r="P1198" t="s">
        <v>38</v>
      </c>
      <c r="Q1198" t="s">
        <v>42</v>
      </c>
      <c r="R1198">
        <v>7082</v>
      </c>
      <c r="S1198">
        <v>11591</v>
      </c>
      <c r="T1198">
        <v>3</v>
      </c>
      <c r="U1198" t="s">
        <v>31</v>
      </c>
      <c r="V1198">
        <v>16</v>
      </c>
      <c r="W1198" t="s">
        <v>43</v>
      </c>
      <c r="X1198" t="s">
        <v>41</v>
      </c>
      <c r="Y1198">
        <v>0</v>
      </c>
      <c r="Z1198">
        <v>21</v>
      </c>
      <c r="AA1198">
        <v>2</v>
      </c>
      <c r="AB1198" t="s">
        <v>54</v>
      </c>
      <c r="AC1198">
        <v>2</v>
      </c>
      <c r="AD1198" t="str" cm="1">
        <f t="array" ref="AD1198">_xlfn.IFS(AC1198&lt;=5,"0-5",AC1198&lt;=10,"5-10",AC1198&lt;=40,"10-40")</f>
        <v>0-5</v>
      </c>
      <c r="AE1198">
        <v>0</v>
      </c>
      <c r="AF1198">
        <v>0</v>
      </c>
      <c r="AG1198">
        <v>2</v>
      </c>
      <c r="AH1198">
        <v>1197</v>
      </c>
    </row>
    <row r="1199" spans="1:34" x14ac:dyDescent="0.3">
      <c r="A1199">
        <v>20</v>
      </c>
      <c r="B1199" t="str" cm="1">
        <f t="array" ref="B1199">_xlfn.IFS(A1199&lt;=25,"18-25",A1199&lt;=35,"26-35",A1199&lt;=45,"36-45",A1199&lt;=55,"46-55",A1199&gt;55,"55+")</f>
        <v>18-25</v>
      </c>
      <c r="C1199">
        <v>0</v>
      </c>
      <c r="D1199" t="s">
        <v>32</v>
      </c>
      <c r="E1199">
        <v>727</v>
      </c>
      <c r="F1199" t="s">
        <v>33</v>
      </c>
      <c r="G1199">
        <v>9</v>
      </c>
      <c r="H1199" t="s">
        <v>49</v>
      </c>
      <c r="I1199" t="s">
        <v>35</v>
      </c>
      <c r="J1199" t="s">
        <v>41</v>
      </c>
      <c r="K1199" t="s">
        <v>50</v>
      </c>
      <c r="L1199">
        <v>54</v>
      </c>
      <c r="M1199" t="s">
        <v>38</v>
      </c>
      <c r="N1199" t="s">
        <v>56</v>
      </c>
      <c r="O1199" t="s">
        <v>69</v>
      </c>
      <c r="P1199" t="s">
        <v>44</v>
      </c>
      <c r="Q1199" t="s">
        <v>42</v>
      </c>
      <c r="R1199">
        <v>2728</v>
      </c>
      <c r="S1199">
        <v>21082</v>
      </c>
      <c r="T1199">
        <v>1</v>
      </c>
      <c r="U1199" t="s">
        <v>46</v>
      </c>
      <c r="V1199">
        <v>11</v>
      </c>
      <c r="W1199" t="s">
        <v>43</v>
      </c>
      <c r="X1199" t="s">
        <v>44</v>
      </c>
      <c r="Y1199">
        <v>0</v>
      </c>
      <c r="Z1199">
        <v>2</v>
      </c>
      <c r="AA1199">
        <v>3</v>
      </c>
      <c r="AB1199" t="s">
        <v>54</v>
      </c>
      <c r="AC1199">
        <v>2</v>
      </c>
      <c r="AD1199" t="str" cm="1">
        <f t="array" ref="AD1199">_xlfn.IFS(AC1199&lt;=5,"0-5",AC1199&lt;=10,"5-10",AC1199&lt;=40,"10-40")</f>
        <v>0-5</v>
      </c>
      <c r="AE1199">
        <v>2</v>
      </c>
      <c r="AF1199">
        <v>0</v>
      </c>
      <c r="AG1199">
        <v>2</v>
      </c>
      <c r="AH1199">
        <v>1198</v>
      </c>
    </row>
    <row r="1200" spans="1:34" x14ac:dyDescent="0.3">
      <c r="A1200">
        <v>33</v>
      </c>
      <c r="B1200" t="str" cm="1">
        <f t="array" ref="B1200">_xlfn.IFS(A1200&lt;=25,"18-25",A1200&lt;=35,"26-35",A1200&lt;=45,"36-45",A1200&lt;=55,"46-55",A1200&gt;55,"55+")</f>
        <v>26-35</v>
      </c>
      <c r="C1200">
        <v>0</v>
      </c>
      <c r="D1200" t="s">
        <v>66</v>
      </c>
      <c r="E1200">
        <v>530</v>
      </c>
      <c r="F1200" t="s">
        <v>33</v>
      </c>
      <c r="G1200">
        <v>16</v>
      </c>
      <c r="H1200" t="s">
        <v>61</v>
      </c>
      <c r="I1200" t="s">
        <v>35</v>
      </c>
      <c r="J1200" t="s">
        <v>38</v>
      </c>
      <c r="K1200" t="s">
        <v>37</v>
      </c>
      <c r="L1200">
        <v>36</v>
      </c>
      <c r="M1200" t="s">
        <v>38</v>
      </c>
      <c r="N1200" t="s">
        <v>39</v>
      </c>
      <c r="O1200" t="s">
        <v>40</v>
      </c>
      <c r="P1200" t="s">
        <v>41</v>
      </c>
      <c r="Q1200" t="s">
        <v>62</v>
      </c>
      <c r="R1200">
        <v>5368</v>
      </c>
      <c r="S1200">
        <v>16130</v>
      </c>
      <c r="T1200">
        <v>1</v>
      </c>
      <c r="U1200" t="s">
        <v>31</v>
      </c>
      <c r="V1200">
        <v>25</v>
      </c>
      <c r="W1200" t="s">
        <v>53</v>
      </c>
      <c r="X1200" t="s">
        <v>38</v>
      </c>
      <c r="Y1200">
        <v>1</v>
      </c>
      <c r="Z1200">
        <v>7</v>
      </c>
      <c r="AA1200">
        <v>2</v>
      </c>
      <c r="AB1200" t="s">
        <v>54</v>
      </c>
      <c r="AC1200">
        <v>6</v>
      </c>
      <c r="AD1200" t="str" cm="1">
        <f t="array" ref="AD1200">_xlfn.IFS(AC1200&lt;=5,"0-5",AC1200&lt;=10,"5-10",AC1200&lt;=40,"10-40")</f>
        <v>5-10</v>
      </c>
      <c r="AE1200">
        <v>5</v>
      </c>
      <c r="AF1200">
        <v>1</v>
      </c>
      <c r="AG1200">
        <v>2</v>
      </c>
      <c r="AH1200">
        <v>1199</v>
      </c>
    </row>
    <row r="1201" spans="1:34" x14ac:dyDescent="0.3">
      <c r="A1201">
        <v>36</v>
      </c>
      <c r="B1201" t="str" cm="1">
        <f t="array" ref="B1201">_xlfn.IFS(A1201&lt;=25,"18-25",A1201&lt;=35,"26-35",A1201&lt;=45,"36-45",A1201&lt;=55,"46-55",A1201&gt;55,"55+")</f>
        <v>36-45</v>
      </c>
      <c r="C1201">
        <v>0</v>
      </c>
      <c r="D1201" t="s">
        <v>32</v>
      </c>
      <c r="E1201">
        <v>1351</v>
      </c>
      <c r="F1201" t="s">
        <v>48</v>
      </c>
      <c r="G1201">
        <v>26</v>
      </c>
      <c r="H1201" t="s">
        <v>58</v>
      </c>
      <c r="I1201" t="s">
        <v>35</v>
      </c>
      <c r="J1201" t="s">
        <v>44</v>
      </c>
      <c r="K1201" t="s">
        <v>50</v>
      </c>
      <c r="L1201">
        <v>80</v>
      </c>
      <c r="M1201" t="s">
        <v>38</v>
      </c>
      <c r="N1201" t="s">
        <v>39</v>
      </c>
      <c r="O1201" t="s">
        <v>65</v>
      </c>
      <c r="P1201" t="s">
        <v>38</v>
      </c>
      <c r="Q1201" t="s">
        <v>52</v>
      </c>
      <c r="R1201">
        <v>5347</v>
      </c>
      <c r="S1201">
        <v>7419</v>
      </c>
      <c r="T1201">
        <v>6</v>
      </c>
      <c r="U1201" t="s">
        <v>46</v>
      </c>
      <c r="V1201">
        <v>14</v>
      </c>
      <c r="W1201" t="s">
        <v>43</v>
      </c>
      <c r="X1201" t="s">
        <v>36</v>
      </c>
      <c r="Y1201">
        <v>2</v>
      </c>
      <c r="Z1201">
        <v>10</v>
      </c>
      <c r="AA1201">
        <v>2</v>
      </c>
      <c r="AB1201" t="s">
        <v>60</v>
      </c>
      <c r="AC1201">
        <v>3</v>
      </c>
      <c r="AD1201" t="str" cm="1">
        <f t="array" ref="AD1201">_xlfn.IFS(AC1201&lt;=5,"0-5",AC1201&lt;=10,"5-10",AC1201&lt;=40,"10-40")</f>
        <v>0-5</v>
      </c>
      <c r="AE1201">
        <v>2</v>
      </c>
      <c r="AF1201">
        <v>0</v>
      </c>
      <c r="AG1201">
        <v>2</v>
      </c>
      <c r="AH1201">
        <v>1200</v>
      </c>
    </row>
    <row r="1202" spans="1:34" x14ac:dyDescent="0.3">
      <c r="A1202">
        <v>44</v>
      </c>
      <c r="B1202" t="str" cm="1">
        <f t="array" ref="B1202">_xlfn.IFS(A1202&lt;=25,"18-25",A1202&lt;=35,"26-35",A1202&lt;=45,"36-45",A1202&lt;=55,"46-55",A1202&gt;55,"55+")</f>
        <v>36-45</v>
      </c>
      <c r="C1202">
        <v>0</v>
      </c>
      <c r="D1202" t="s">
        <v>32</v>
      </c>
      <c r="E1202">
        <v>528</v>
      </c>
      <c r="F1202" t="s">
        <v>76</v>
      </c>
      <c r="G1202">
        <v>1</v>
      </c>
      <c r="H1202" t="s">
        <v>61</v>
      </c>
      <c r="I1202" t="s">
        <v>35</v>
      </c>
      <c r="J1202" t="s">
        <v>38</v>
      </c>
      <c r="K1202" t="s">
        <v>37</v>
      </c>
      <c r="L1202">
        <v>44</v>
      </c>
      <c r="M1202" t="s">
        <v>38</v>
      </c>
      <c r="N1202" t="s">
        <v>56</v>
      </c>
      <c r="O1202" t="s">
        <v>76</v>
      </c>
      <c r="P1202" t="s">
        <v>41</v>
      </c>
      <c r="Q1202" t="s">
        <v>62</v>
      </c>
      <c r="R1202">
        <v>3195</v>
      </c>
      <c r="S1202">
        <v>4167</v>
      </c>
      <c r="T1202">
        <v>4</v>
      </c>
      <c r="U1202" t="s">
        <v>31</v>
      </c>
      <c r="V1202">
        <v>18</v>
      </c>
      <c r="W1202" t="s">
        <v>43</v>
      </c>
      <c r="X1202" t="s">
        <v>44</v>
      </c>
      <c r="Y1202">
        <v>3</v>
      </c>
      <c r="Z1202">
        <v>8</v>
      </c>
      <c r="AA1202">
        <v>2</v>
      </c>
      <c r="AB1202" t="s">
        <v>54</v>
      </c>
      <c r="AC1202">
        <v>2</v>
      </c>
      <c r="AD1202" t="str" cm="1">
        <f t="array" ref="AD1202">_xlfn.IFS(AC1202&lt;=5,"0-5",AC1202&lt;=10,"5-10",AC1202&lt;=40,"10-40")</f>
        <v>0-5</v>
      </c>
      <c r="AE1202">
        <v>2</v>
      </c>
      <c r="AF1202">
        <v>2</v>
      </c>
      <c r="AG1202">
        <v>2</v>
      </c>
      <c r="AH1202">
        <v>1201</v>
      </c>
    </row>
    <row r="1203" spans="1:34" x14ac:dyDescent="0.3">
      <c r="A1203">
        <v>23</v>
      </c>
      <c r="B1203" t="str" cm="1">
        <f t="array" ref="B1203">_xlfn.IFS(A1203&lt;=25,"18-25",A1203&lt;=35,"26-35",A1203&lt;=45,"36-45",A1203&lt;=55,"46-55",A1203&gt;55,"55+")</f>
        <v>18-25</v>
      </c>
      <c r="C1203">
        <v>1</v>
      </c>
      <c r="D1203" t="s">
        <v>32</v>
      </c>
      <c r="E1203">
        <v>1320</v>
      </c>
      <c r="F1203" t="s">
        <v>48</v>
      </c>
      <c r="G1203">
        <v>8</v>
      </c>
      <c r="H1203" t="s">
        <v>49</v>
      </c>
      <c r="I1203" t="s">
        <v>59</v>
      </c>
      <c r="J1203" t="s">
        <v>41</v>
      </c>
      <c r="K1203" t="s">
        <v>50</v>
      </c>
      <c r="L1203">
        <v>93</v>
      </c>
      <c r="M1203" t="s">
        <v>36</v>
      </c>
      <c r="N1203" t="s">
        <v>56</v>
      </c>
      <c r="O1203" t="s">
        <v>57</v>
      </c>
      <c r="P1203" t="s">
        <v>38</v>
      </c>
      <c r="Q1203" t="s">
        <v>42</v>
      </c>
      <c r="R1203">
        <v>3989</v>
      </c>
      <c r="S1203">
        <v>20586</v>
      </c>
      <c r="T1203">
        <v>1</v>
      </c>
      <c r="U1203" t="s">
        <v>31</v>
      </c>
      <c r="V1203">
        <v>11</v>
      </c>
      <c r="W1203" t="s">
        <v>43</v>
      </c>
      <c r="X1203" t="s">
        <v>44</v>
      </c>
      <c r="Y1203">
        <v>0</v>
      </c>
      <c r="Z1203">
        <v>5</v>
      </c>
      <c r="AA1203">
        <v>2</v>
      </c>
      <c r="AB1203" t="s">
        <v>54</v>
      </c>
      <c r="AC1203">
        <v>5</v>
      </c>
      <c r="AD1203" t="str" cm="1">
        <f t="array" ref="AD1203">_xlfn.IFS(AC1203&lt;=5,"0-5",AC1203&lt;=10,"5-10",AC1203&lt;=40,"10-40")</f>
        <v>0-5</v>
      </c>
      <c r="AE1203">
        <v>4</v>
      </c>
      <c r="AF1203">
        <v>1</v>
      </c>
      <c r="AG1203">
        <v>2</v>
      </c>
      <c r="AH1203">
        <v>1202</v>
      </c>
    </row>
    <row r="1204" spans="1:34" x14ac:dyDescent="0.3">
      <c r="A1204">
        <v>38</v>
      </c>
      <c r="B1204" t="str" cm="1">
        <f t="array" ref="B1204">_xlfn.IFS(A1204&lt;=25,"18-25",A1204&lt;=35,"26-35",A1204&lt;=45,"36-45",A1204&lt;=55,"46-55",A1204&gt;55,"55+")</f>
        <v>36-45</v>
      </c>
      <c r="C1204">
        <v>0</v>
      </c>
      <c r="D1204" t="s">
        <v>32</v>
      </c>
      <c r="E1204">
        <v>1495</v>
      </c>
      <c r="F1204" t="s">
        <v>48</v>
      </c>
      <c r="G1204">
        <v>4</v>
      </c>
      <c r="H1204" t="s">
        <v>34</v>
      </c>
      <c r="I1204" t="s">
        <v>59</v>
      </c>
      <c r="J1204" t="s">
        <v>41</v>
      </c>
      <c r="K1204" t="s">
        <v>37</v>
      </c>
      <c r="L1204">
        <v>87</v>
      </c>
      <c r="M1204" t="s">
        <v>38</v>
      </c>
      <c r="N1204" t="s">
        <v>56</v>
      </c>
      <c r="O1204" t="s">
        <v>57</v>
      </c>
      <c r="P1204" t="s">
        <v>38</v>
      </c>
      <c r="Q1204" t="s">
        <v>52</v>
      </c>
      <c r="R1204">
        <v>3306</v>
      </c>
      <c r="S1204">
        <v>26176</v>
      </c>
      <c r="T1204">
        <v>7</v>
      </c>
      <c r="U1204" t="s">
        <v>46</v>
      </c>
      <c r="V1204">
        <v>19</v>
      </c>
      <c r="W1204" t="s">
        <v>43</v>
      </c>
      <c r="X1204" t="s">
        <v>41</v>
      </c>
      <c r="Y1204">
        <v>1</v>
      </c>
      <c r="Z1204">
        <v>7</v>
      </c>
      <c r="AA1204">
        <v>5</v>
      </c>
      <c r="AB1204" t="s">
        <v>60</v>
      </c>
      <c r="AC1204">
        <v>0</v>
      </c>
      <c r="AD1204" t="str" cm="1">
        <f t="array" ref="AD1204">_xlfn.IFS(AC1204&lt;=5,"0-5",AC1204&lt;=10,"5-10",AC1204&lt;=40,"10-40")</f>
        <v>0-5</v>
      </c>
      <c r="AE1204">
        <v>0</v>
      </c>
      <c r="AF1204">
        <v>0</v>
      </c>
      <c r="AG1204">
        <v>0</v>
      </c>
      <c r="AH1204">
        <v>1203</v>
      </c>
    </row>
    <row r="1205" spans="1:34" x14ac:dyDescent="0.3">
      <c r="A1205">
        <v>53</v>
      </c>
      <c r="B1205" t="str" cm="1">
        <f t="array" ref="B1205">_xlfn.IFS(A1205&lt;=25,"18-25",A1205&lt;=35,"26-35",A1205&lt;=45,"36-45",A1205&lt;=55,"46-55",A1205&gt;55,"55+")</f>
        <v>46-55</v>
      </c>
      <c r="C1205">
        <v>0</v>
      </c>
      <c r="D1205" t="s">
        <v>32</v>
      </c>
      <c r="E1205">
        <v>1395</v>
      </c>
      <c r="F1205" t="s">
        <v>48</v>
      </c>
      <c r="G1205">
        <v>24</v>
      </c>
      <c r="H1205" t="s">
        <v>58</v>
      </c>
      <c r="I1205" t="s">
        <v>59</v>
      </c>
      <c r="J1205" t="s">
        <v>36</v>
      </c>
      <c r="K1205" t="s">
        <v>50</v>
      </c>
      <c r="L1205">
        <v>48</v>
      </c>
      <c r="M1205" t="s">
        <v>41</v>
      </c>
      <c r="N1205" t="s">
        <v>63</v>
      </c>
      <c r="O1205" t="s">
        <v>65</v>
      </c>
      <c r="P1205" t="s">
        <v>41</v>
      </c>
      <c r="Q1205" t="s">
        <v>52</v>
      </c>
      <c r="R1205">
        <v>7005</v>
      </c>
      <c r="S1205">
        <v>3458</v>
      </c>
      <c r="T1205">
        <v>3</v>
      </c>
      <c r="U1205" t="s">
        <v>46</v>
      </c>
      <c r="V1205">
        <v>15</v>
      </c>
      <c r="W1205" t="s">
        <v>43</v>
      </c>
      <c r="X1205" t="s">
        <v>38</v>
      </c>
      <c r="Y1205">
        <v>0</v>
      </c>
      <c r="Z1205">
        <v>11</v>
      </c>
      <c r="AA1205">
        <v>2</v>
      </c>
      <c r="AB1205" t="s">
        <v>54</v>
      </c>
      <c r="AC1205">
        <v>4</v>
      </c>
      <c r="AD1205" t="str" cm="1">
        <f t="array" ref="AD1205">_xlfn.IFS(AC1205&lt;=5,"0-5",AC1205&lt;=10,"5-10",AC1205&lt;=40,"10-40")</f>
        <v>0-5</v>
      </c>
      <c r="AE1205">
        <v>3</v>
      </c>
      <c r="AF1205">
        <v>1</v>
      </c>
      <c r="AG1205">
        <v>2</v>
      </c>
      <c r="AH1205">
        <v>1204</v>
      </c>
    </row>
    <row r="1206" spans="1:34" x14ac:dyDescent="0.3">
      <c r="A1206">
        <v>48</v>
      </c>
      <c r="B1206" t="str" cm="1">
        <f t="array" ref="B1206">_xlfn.IFS(A1206&lt;=25,"18-25",A1206&lt;=35,"26-35",A1206&lt;=45,"36-45",A1206&lt;=55,"46-55",A1206&gt;55,"55+")</f>
        <v>46-55</v>
      </c>
      <c r="C1206">
        <v>1</v>
      </c>
      <c r="D1206" t="s">
        <v>47</v>
      </c>
      <c r="E1206">
        <v>708</v>
      </c>
      <c r="F1206" t="s">
        <v>33</v>
      </c>
      <c r="G1206">
        <v>7</v>
      </c>
      <c r="H1206" t="s">
        <v>34</v>
      </c>
      <c r="I1206" t="s">
        <v>59</v>
      </c>
      <c r="J1206" t="s">
        <v>41</v>
      </c>
      <c r="K1206" t="s">
        <v>37</v>
      </c>
      <c r="L1206">
        <v>95</v>
      </c>
      <c r="M1206" t="s">
        <v>38</v>
      </c>
      <c r="N1206" t="s">
        <v>56</v>
      </c>
      <c r="O1206" t="s">
        <v>69</v>
      </c>
      <c r="P1206" t="s">
        <v>38</v>
      </c>
      <c r="Q1206" t="s">
        <v>52</v>
      </c>
      <c r="R1206">
        <v>2655</v>
      </c>
      <c r="S1206">
        <v>11740</v>
      </c>
      <c r="T1206">
        <v>2</v>
      </c>
      <c r="U1206" t="s">
        <v>31</v>
      </c>
      <c r="V1206">
        <v>11</v>
      </c>
      <c r="W1206" t="s">
        <v>43</v>
      </c>
      <c r="X1206" t="s">
        <v>38</v>
      </c>
      <c r="Y1206">
        <v>2</v>
      </c>
      <c r="Z1206">
        <v>19</v>
      </c>
      <c r="AA1206">
        <v>3</v>
      </c>
      <c r="AB1206" t="s">
        <v>54</v>
      </c>
      <c r="AC1206">
        <v>9</v>
      </c>
      <c r="AD1206" t="str" cm="1">
        <f t="array" ref="AD1206">_xlfn.IFS(AC1206&lt;=5,"0-5",AC1206&lt;=10,"5-10",AC1206&lt;=40,"10-40")</f>
        <v>5-10</v>
      </c>
      <c r="AE1206">
        <v>7</v>
      </c>
      <c r="AF1206">
        <v>7</v>
      </c>
      <c r="AG1206">
        <v>7</v>
      </c>
      <c r="AH1206">
        <v>1205</v>
      </c>
    </row>
    <row r="1207" spans="1:34" x14ac:dyDescent="0.3">
      <c r="A1207">
        <v>32</v>
      </c>
      <c r="B1207" t="str" cm="1">
        <f t="array" ref="B1207">_xlfn.IFS(A1207&lt;=25,"18-25",A1207&lt;=35,"26-35",A1207&lt;=45,"36-45",A1207&lt;=55,"46-55",A1207&gt;55,"55+")</f>
        <v>26-35</v>
      </c>
      <c r="C1207">
        <v>1</v>
      </c>
      <c r="D1207" t="s">
        <v>32</v>
      </c>
      <c r="E1207">
        <v>1259</v>
      </c>
      <c r="F1207" t="s">
        <v>48</v>
      </c>
      <c r="G1207">
        <v>2</v>
      </c>
      <c r="H1207" t="s">
        <v>58</v>
      </c>
      <c r="I1207" t="s">
        <v>35</v>
      </c>
      <c r="J1207" t="s">
        <v>41</v>
      </c>
      <c r="K1207" t="s">
        <v>50</v>
      </c>
      <c r="L1207">
        <v>95</v>
      </c>
      <c r="M1207" t="s">
        <v>38</v>
      </c>
      <c r="N1207" t="s">
        <v>56</v>
      </c>
      <c r="O1207" t="s">
        <v>57</v>
      </c>
      <c r="P1207" t="s">
        <v>36</v>
      </c>
      <c r="Q1207" t="s">
        <v>42</v>
      </c>
      <c r="R1207">
        <v>1393</v>
      </c>
      <c r="S1207">
        <v>24852</v>
      </c>
      <c r="T1207">
        <v>1</v>
      </c>
      <c r="U1207" t="s">
        <v>46</v>
      </c>
      <c r="V1207">
        <v>12</v>
      </c>
      <c r="W1207" t="s">
        <v>43</v>
      </c>
      <c r="X1207" t="s">
        <v>44</v>
      </c>
      <c r="Y1207">
        <v>0</v>
      </c>
      <c r="Z1207">
        <v>1</v>
      </c>
      <c r="AA1207">
        <v>2</v>
      </c>
      <c r="AB1207" t="s">
        <v>54</v>
      </c>
      <c r="AC1207">
        <v>1</v>
      </c>
      <c r="AD1207" t="str" cm="1">
        <f t="array" ref="AD1207">_xlfn.IFS(AC1207&lt;=5,"0-5",AC1207&lt;=10,"5-10",AC1207&lt;=40,"10-40")</f>
        <v>0-5</v>
      </c>
      <c r="AE1207">
        <v>0</v>
      </c>
      <c r="AF1207">
        <v>0</v>
      </c>
      <c r="AG1207">
        <v>0</v>
      </c>
      <c r="AH1207">
        <v>1206</v>
      </c>
    </row>
    <row r="1208" spans="1:34" x14ac:dyDescent="0.3">
      <c r="A1208">
        <v>26</v>
      </c>
      <c r="B1208" t="str" cm="1">
        <f t="array" ref="B1208">_xlfn.IFS(A1208&lt;=25,"18-25",A1208&lt;=35,"26-35",A1208&lt;=45,"36-45",A1208&lt;=55,"46-55",A1208&gt;55,"55+")</f>
        <v>26-35</v>
      </c>
      <c r="C1208">
        <v>0</v>
      </c>
      <c r="D1208" t="s">
        <v>66</v>
      </c>
      <c r="E1208">
        <v>786</v>
      </c>
      <c r="F1208" t="s">
        <v>48</v>
      </c>
      <c r="G1208">
        <v>7</v>
      </c>
      <c r="H1208" t="s">
        <v>61</v>
      </c>
      <c r="I1208" t="s">
        <v>59</v>
      </c>
      <c r="J1208" t="s">
        <v>41</v>
      </c>
      <c r="K1208" t="s">
        <v>50</v>
      </c>
      <c r="L1208">
        <v>76</v>
      </c>
      <c r="M1208" t="s">
        <v>38</v>
      </c>
      <c r="N1208" t="s">
        <v>56</v>
      </c>
      <c r="O1208" t="s">
        <v>57</v>
      </c>
      <c r="P1208" t="s">
        <v>41</v>
      </c>
      <c r="Q1208" t="s">
        <v>42</v>
      </c>
      <c r="R1208">
        <v>2570</v>
      </c>
      <c r="S1208">
        <v>11925</v>
      </c>
      <c r="T1208">
        <v>1</v>
      </c>
      <c r="U1208" t="s">
        <v>46</v>
      </c>
      <c r="V1208">
        <v>20</v>
      </c>
      <c r="W1208" t="s">
        <v>53</v>
      </c>
      <c r="X1208" t="s">
        <v>38</v>
      </c>
      <c r="Y1208">
        <v>0</v>
      </c>
      <c r="Z1208">
        <v>7</v>
      </c>
      <c r="AA1208">
        <v>5</v>
      </c>
      <c r="AB1208" t="s">
        <v>54</v>
      </c>
      <c r="AC1208">
        <v>7</v>
      </c>
      <c r="AD1208" t="str" cm="1">
        <f t="array" ref="AD1208">_xlfn.IFS(AC1208&lt;=5,"0-5",AC1208&lt;=10,"5-10",AC1208&lt;=40,"10-40")</f>
        <v>5-10</v>
      </c>
      <c r="AE1208">
        <v>7</v>
      </c>
      <c r="AF1208">
        <v>5</v>
      </c>
      <c r="AG1208">
        <v>7</v>
      </c>
      <c r="AH1208">
        <v>1207</v>
      </c>
    </row>
    <row r="1209" spans="1:34" x14ac:dyDescent="0.3">
      <c r="A1209">
        <v>55</v>
      </c>
      <c r="B1209" t="str" cm="1">
        <f t="array" ref="B1209">_xlfn.IFS(A1209&lt;=25,"18-25",A1209&lt;=35,"26-35",A1209&lt;=45,"36-45",A1209&lt;=55,"46-55",A1209&gt;55,"55+")</f>
        <v>46-55</v>
      </c>
      <c r="C1209">
        <v>0</v>
      </c>
      <c r="D1209" t="s">
        <v>32</v>
      </c>
      <c r="E1209">
        <v>1441</v>
      </c>
      <c r="F1209" t="s">
        <v>48</v>
      </c>
      <c r="G1209">
        <v>22</v>
      </c>
      <c r="H1209" t="s">
        <v>61</v>
      </c>
      <c r="I1209" t="s">
        <v>74</v>
      </c>
      <c r="J1209" t="s">
        <v>44</v>
      </c>
      <c r="K1209" t="s">
        <v>50</v>
      </c>
      <c r="L1209">
        <v>94</v>
      </c>
      <c r="M1209" t="s">
        <v>36</v>
      </c>
      <c r="N1209" t="s">
        <v>56</v>
      </c>
      <c r="O1209" t="s">
        <v>51</v>
      </c>
      <c r="P1209" t="s">
        <v>36</v>
      </c>
      <c r="Q1209" t="s">
        <v>62</v>
      </c>
      <c r="R1209">
        <v>3537</v>
      </c>
      <c r="S1209">
        <v>23737</v>
      </c>
      <c r="T1209">
        <v>5</v>
      </c>
      <c r="U1209" t="s">
        <v>46</v>
      </c>
      <c r="V1209">
        <v>12</v>
      </c>
      <c r="W1209" t="s">
        <v>43</v>
      </c>
      <c r="X1209" t="s">
        <v>41</v>
      </c>
      <c r="Y1209">
        <v>1</v>
      </c>
      <c r="Z1209">
        <v>8</v>
      </c>
      <c r="AA1209">
        <v>1</v>
      </c>
      <c r="AB1209" t="s">
        <v>54</v>
      </c>
      <c r="AC1209">
        <v>4</v>
      </c>
      <c r="AD1209" t="str" cm="1">
        <f t="array" ref="AD1209">_xlfn.IFS(AC1209&lt;=5,"0-5",AC1209&lt;=10,"5-10",AC1209&lt;=40,"10-40")</f>
        <v>0-5</v>
      </c>
      <c r="AE1209">
        <v>2</v>
      </c>
      <c r="AF1209">
        <v>1</v>
      </c>
      <c r="AG1209">
        <v>2</v>
      </c>
      <c r="AH1209">
        <v>1208</v>
      </c>
    </row>
    <row r="1210" spans="1:34" x14ac:dyDescent="0.3">
      <c r="A1210">
        <v>34</v>
      </c>
      <c r="B1210" t="str" cm="1">
        <f t="array" ref="B1210">_xlfn.IFS(A1210&lt;=25,"18-25",A1210&lt;=35,"26-35",A1210&lt;=45,"36-45",A1210&lt;=55,"46-55",A1210&gt;55,"55+")</f>
        <v>26-35</v>
      </c>
      <c r="C1210">
        <v>0</v>
      </c>
      <c r="D1210" t="s">
        <v>32</v>
      </c>
      <c r="E1210">
        <v>1157</v>
      </c>
      <c r="F1210" t="s">
        <v>48</v>
      </c>
      <c r="G1210">
        <v>5</v>
      </c>
      <c r="H1210" t="s">
        <v>34</v>
      </c>
      <c r="I1210" t="s">
        <v>59</v>
      </c>
      <c r="J1210" t="s">
        <v>36</v>
      </c>
      <c r="K1210" t="s">
        <v>50</v>
      </c>
      <c r="L1210">
        <v>57</v>
      </c>
      <c r="M1210" t="s">
        <v>36</v>
      </c>
      <c r="N1210" t="s">
        <v>39</v>
      </c>
      <c r="O1210" t="s">
        <v>57</v>
      </c>
      <c r="P1210" t="s">
        <v>41</v>
      </c>
      <c r="Q1210" t="s">
        <v>52</v>
      </c>
      <c r="R1210">
        <v>3986</v>
      </c>
      <c r="S1210">
        <v>11912</v>
      </c>
      <c r="T1210">
        <v>1</v>
      </c>
      <c r="U1210" t="s">
        <v>46</v>
      </c>
      <c r="V1210">
        <v>14</v>
      </c>
      <c r="W1210" t="s">
        <v>43</v>
      </c>
      <c r="X1210" t="s">
        <v>38</v>
      </c>
      <c r="Y1210">
        <v>1</v>
      </c>
      <c r="Z1210">
        <v>15</v>
      </c>
      <c r="AA1210">
        <v>3</v>
      </c>
      <c r="AB1210" t="s">
        <v>73</v>
      </c>
      <c r="AC1210">
        <v>15</v>
      </c>
      <c r="AD1210" t="str" cm="1">
        <f t="array" ref="AD1210">_xlfn.IFS(AC1210&lt;=5,"0-5",AC1210&lt;=10,"5-10",AC1210&lt;=40,"10-40")</f>
        <v>10-40</v>
      </c>
      <c r="AE1210">
        <v>10</v>
      </c>
      <c r="AF1210">
        <v>4</v>
      </c>
      <c r="AG1210">
        <v>13</v>
      </c>
      <c r="AH1210">
        <v>1209</v>
      </c>
    </row>
    <row r="1211" spans="1:34" x14ac:dyDescent="0.3">
      <c r="A1211">
        <v>60</v>
      </c>
      <c r="B1211" t="str" cm="1">
        <f t="array" ref="B1211">_xlfn.IFS(A1211&lt;=25,"18-25",A1211&lt;=35,"26-35",A1211&lt;=45,"36-45",A1211&lt;=55,"46-55",A1211&gt;55,"55+")</f>
        <v>55+</v>
      </c>
      <c r="C1211">
        <v>0</v>
      </c>
      <c r="D1211" t="s">
        <v>32</v>
      </c>
      <c r="E1211">
        <v>370</v>
      </c>
      <c r="F1211" t="s">
        <v>48</v>
      </c>
      <c r="G1211">
        <v>1</v>
      </c>
      <c r="H1211" t="s">
        <v>58</v>
      </c>
      <c r="I1211" t="s">
        <v>59</v>
      </c>
      <c r="J1211" t="s">
        <v>38</v>
      </c>
      <c r="K1211" t="s">
        <v>50</v>
      </c>
      <c r="L1211">
        <v>92</v>
      </c>
      <c r="M1211" t="s">
        <v>44</v>
      </c>
      <c r="N1211" t="s">
        <v>63</v>
      </c>
      <c r="O1211" t="s">
        <v>65</v>
      </c>
      <c r="P1211" t="s">
        <v>41</v>
      </c>
      <c r="Q1211" t="s">
        <v>62</v>
      </c>
      <c r="R1211">
        <v>10883</v>
      </c>
      <c r="S1211">
        <v>20467</v>
      </c>
      <c r="T1211">
        <v>3</v>
      </c>
      <c r="U1211" t="s">
        <v>46</v>
      </c>
      <c r="V1211">
        <v>20</v>
      </c>
      <c r="W1211" t="s">
        <v>53</v>
      </c>
      <c r="X1211" t="s">
        <v>38</v>
      </c>
      <c r="Y1211">
        <v>1</v>
      </c>
      <c r="Z1211">
        <v>19</v>
      </c>
      <c r="AA1211">
        <v>2</v>
      </c>
      <c r="AB1211" t="s">
        <v>73</v>
      </c>
      <c r="AC1211">
        <v>1</v>
      </c>
      <c r="AD1211" t="str" cm="1">
        <f t="array" ref="AD1211">_xlfn.IFS(AC1211&lt;=5,"0-5",AC1211&lt;=10,"5-10",AC1211&lt;=40,"10-40")</f>
        <v>0-5</v>
      </c>
      <c r="AE1211">
        <v>0</v>
      </c>
      <c r="AF1211">
        <v>0</v>
      </c>
      <c r="AG1211">
        <v>0</v>
      </c>
      <c r="AH1211">
        <v>1210</v>
      </c>
    </row>
    <row r="1212" spans="1:34" x14ac:dyDescent="0.3">
      <c r="A1212">
        <v>33</v>
      </c>
      <c r="B1212" t="str" cm="1">
        <f t="array" ref="B1212">_xlfn.IFS(A1212&lt;=25,"18-25",A1212&lt;=35,"26-35",A1212&lt;=45,"36-45",A1212&lt;=55,"46-55",A1212&gt;55,"55+")</f>
        <v>26-35</v>
      </c>
      <c r="C1212">
        <v>0</v>
      </c>
      <c r="D1212" t="s">
        <v>32</v>
      </c>
      <c r="E1212">
        <v>267</v>
      </c>
      <c r="F1212" t="s">
        <v>48</v>
      </c>
      <c r="G1212">
        <v>21</v>
      </c>
      <c r="H1212" t="s">
        <v>61</v>
      </c>
      <c r="I1212" t="s">
        <v>59</v>
      </c>
      <c r="J1212" t="s">
        <v>36</v>
      </c>
      <c r="K1212" t="s">
        <v>50</v>
      </c>
      <c r="L1212">
        <v>79</v>
      </c>
      <c r="M1212" t="s">
        <v>41</v>
      </c>
      <c r="N1212" t="s">
        <v>56</v>
      </c>
      <c r="O1212" t="s">
        <v>57</v>
      </c>
      <c r="P1212" t="s">
        <v>36</v>
      </c>
      <c r="Q1212" t="s">
        <v>52</v>
      </c>
      <c r="R1212">
        <v>2028</v>
      </c>
      <c r="S1212">
        <v>13637</v>
      </c>
      <c r="T1212">
        <v>1</v>
      </c>
      <c r="U1212" t="s">
        <v>46</v>
      </c>
      <c r="V1212">
        <v>18</v>
      </c>
      <c r="W1212" t="s">
        <v>43</v>
      </c>
      <c r="X1212" t="s">
        <v>41</v>
      </c>
      <c r="Y1212">
        <v>3</v>
      </c>
      <c r="Z1212">
        <v>14</v>
      </c>
      <c r="AA1212">
        <v>6</v>
      </c>
      <c r="AB1212" t="s">
        <v>54</v>
      </c>
      <c r="AC1212">
        <v>14</v>
      </c>
      <c r="AD1212" t="str" cm="1">
        <f t="array" ref="AD1212">_xlfn.IFS(AC1212&lt;=5,"0-5",AC1212&lt;=10,"5-10",AC1212&lt;=40,"10-40")</f>
        <v>10-40</v>
      </c>
      <c r="AE1212">
        <v>11</v>
      </c>
      <c r="AF1212">
        <v>2</v>
      </c>
      <c r="AG1212">
        <v>13</v>
      </c>
      <c r="AH1212">
        <v>1211</v>
      </c>
    </row>
    <row r="1213" spans="1:34" x14ac:dyDescent="0.3">
      <c r="A1213">
        <v>37</v>
      </c>
      <c r="B1213" t="str" cm="1">
        <f t="array" ref="B1213">_xlfn.IFS(A1213&lt;=25,"18-25",A1213&lt;=35,"26-35",A1213&lt;=45,"36-45",A1213&lt;=55,"46-55",A1213&gt;55,"55+")</f>
        <v>36-45</v>
      </c>
      <c r="C1213">
        <v>0</v>
      </c>
      <c r="D1213" t="s">
        <v>47</v>
      </c>
      <c r="E1213">
        <v>1278</v>
      </c>
      <c r="F1213" t="s">
        <v>33</v>
      </c>
      <c r="G1213">
        <v>1</v>
      </c>
      <c r="H1213" t="s">
        <v>58</v>
      </c>
      <c r="I1213" t="s">
        <v>59</v>
      </c>
      <c r="J1213" t="s">
        <v>38</v>
      </c>
      <c r="K1213" t="s">
        <v>50</v>
      </c>
      <c r="L1213">
        <v>31</v>
      </c>
      <c r="M1213" t="s">
        <v>44</v>
      </c>
      <c r="N1213" t="s">
        <v>39</v>
      </c>
      <c r="O1213" t="s">
        <v>40</v>
      </c>
      <c r="P1213" t="s">
        <v>41</v>
      </c>
      <c r="Q1213" t="s">
        <v>62</v>
      </c>
      <c r="R1213">
        <v>9525</v>
      </c>
      <c r="S1213">
        <v>7677</v>
      </c>
      <c r="T1213">
        <v>1</v>
      </c>
      <c r="U1213" t="s">
        <v>46</v>
      </c>
      <c r="V1213">
        <v>14</v>
      </c>
      <c r="W1213" t="s">
        <v>43</v>
      </c>
      <c r="X1213" t="s">
        <v>38</v>
      </c>
      <c r="Y1213">
        <v>2</v>
      </c>
      <c r="Z1213">
        <v>6</v>
      </c>
      <c r="AA1213">
        <v>2</v>
      </c>
      <c r="AB1213" t="s">
        <v>60</v>
      </c>
      <c r="AC1213">
        <v>6</v>
      </c>
      <c r="AD1213" t="str" cm="1">
        <f t="array" ref="AD1213">_xlfn.IFS(AC1213&lt;=5,"0-5",AC1213&lt;=10,"5-10",AC1213&lt;=40,"10-40")</f>
        <v>5-10</v>
      </c>
      <c r="AE1213">
        <v>3</v>
      </c>
      <c r="AF1213">
        <v>1</v>
      </c>
      <c r="AG1213">
        <v>3</v>
      </c>
      <c r="AH1213">
        <v>1212</v>
      </c>
    </row>
    <row r="1214" spans="1:34" x14ac:dyDescent="0.3">
      <c r="A1214">
        <v>34</v>
      </c>
      <c r="B1214" t="str" cm="1">
        <f t="array" ref="B1214">_xlfn.IFS(A1214&lt;=25,"18-25",A1214&lt;=35,"26-35",A1214&lt;=45,"36-45",A1214&lt;=55,"46-55",A1214&gt;55,"55+")</f>
        <v>26-35</v>
      </c>
      <c r="C1214">
        <v>0</v>
      </c>
      <c r="D1214" t="s">
        <v>32</v>
      </c>
      <c r="E1214">
        <v>678</v>
      </c>
      <c r="F1214" t="s">
        <v>48</v>
      </c>
      <c r="G1214">
        <v>19</v>
      </c>
      <c r="H1214" t="s">
        <v>61</v>
      </c>
      <c r="I1214" t="s">
        <v>35</v>
      </c>
      <c r="J1214" t="s">
        <v>36</v>
      </c>
      <c r="K1214" t="s">
        <v>37</v>
      </c>
      <c r="L1214">
        <v>35</v>
      </c>
      <c r="M1214" t="s">
        <v>36</v>
      </c>
      <c r="N1214" t="s">
        <v>56</v>
      </c>
      <c r="O1214" t="s">
        <v>51</v>
      </c>
      <c r="P1214" t="s">
        <v>41</v>
      </c>
      <c r="Q1214" t="s">
        <v>52</v>
      </c>
      <c r="R1214">
        <v>2929</v>
      </c>
      <c r="S1214">
        <v>20338</v>
      </c>
      <c r="T1214">
        <v>1</v>
      </c>
      <c r="U1214" t="s">
        <v>46</v>
      </c>
      <c r="V1214">
        <v>12</v>
      </c>
      <c r="W1214" t="s">
        <v>43</v>
      </c>
      <c r="X1214" t="s">
        <v>36</v>
      </c>
      <c r="Y1214">
        <v>0</v>
      </c>
      <c r="Z1214">
        <v>10</v>
      </c>
      <c r="AA1214">
        <v>3</v>
      </c>
      <c r="AB1214" t="s">
        <v>54</v>
      </c>
      <c r="AC1214">
        <v>10</v>
      </c>
      <c r="AD1214" t="str" cm="1">
        <f t="array" ref="AD1214">_xlfn.IFS(AC1214&lt;=5,"0-5",AC1214&lt;=10,"5-10",AC1214&lt;=40,"10-40")</f>
        <v>5-10</v>
      </c>
      <c r="AE1214">
        <v>9</v>
      </c>
      <c r="AF1214">
        <v>8</v>
      </c>
      <c r="AG1214">
        <v>7</v>
      </c>
      <c r="AH1214">
        <v>1213</v>
      </c>
    </row>
    <row r="1215" spans="1:34" x14ac:dyDescent="0.3">
      <c r="A1215">
        <v>23</v>
      </c>
      <c r="B1215" t="str" cm="1">
        <f t="array" ref="B1215">_xlfn.IFS(A1215&lt;=25,"18-25",A1215&lt;=35,"26-35",A1215&lt;=45,"36-45",A1215&lt;=55,"46-55",A1215&gt;55,"55+")</f>
        <v>18-25</v>
      </c>
      <c r="C1215">
        <v>1</v>
      </c>
      <c r="D1215" t="s">
        <v>32</v>
      </c>
      <c r="E1215">
        <v>427</v>
      </c>
      <c r="F1215" t="s">
        <v>33</v>
      </c>
      <c r="G1215">
        <v>7</v>
      </c>
      <c r="H1215" t="s">
        <v>61</v>
      </c>
      <c r="I1215" t="s">
        <v>35</v>
      </c>
      <c r="J1215" t="s">
        <v>38</v>
      </c>
      <c r="K1215" t="s">
        <v>50</v>
      </c>
      <c r="L1215">
        <v>99</v>
      </c>
      <c r="M1215" t="s">
        <v>38</v>
      </c>
      <c r="N1215" t="s">
        <v>56</v>
      </c>
      <c r="O1215" t="s">
        <v>69</v>
      </c>
      <c r="P1215" t="s">
        <v>41</v>
      </c>
      <c r="Q1215" t="s">
        <v>62</v>
      </c>
      <c r="R1215">
        <v>2275</v>
      </c>
      <c r="S1215">
        <v>25103</v>
      </c>
      <c r="T1215">
        <v>1</v>
      </c>
      <c r="U1215" t="s">
        <v>31</v>
      </c>
      <c r="V1215">
        <v>21</v>
      </c>
      <c r="W1215" t="s">
        <v>53</v>
      </c>
      <c r="X1215" t="s">
        <v>36</v>
      </c>
      <c r="Y1215">
        <v>1</v>
      </c>
      <c r="Z1215">
        <v>3</v>
      </c>
      <c r="AA1215">
        <v>2</v>
      </c>
      <c r="AB1215" t="s">
        <v>54</v>
      </c>
      <c r="AC1215">
        <v>3</v>
      </c>
      <c r="AD1215" t="str" cm="1">
        <f t="array" ref="AD1215">_xlfn.IFS(AC1215&lt;=5,"0-5",AC1215&lt;=10,"5-10",AC1215&lt;=40,"10-40")</f>
        <v>0-5</v>
      </c>
      <c r="AE1215">
        <v>2</v>
      </c>
      <c r="AF1215">
        <v>0</v>
      </c>
      <c r="AG1215">
        <v>2</v>
      </c>
      <c r="AH1215">
        <v>1214</v>
      </c>
    </row>
    <row r="1216" spans="1:34" x14ac:dyDescent="0.3">
      <c r="A1216">
        <v>44</v>
      </c>
      <c r="B1216" t="str" cm="1">
        <f t="array" ref="B1216">_xlfn.IFS(A1216&lt;=25,"18-25",A1216&lt;=35,"26-35",A1216&lt;=45,"36-45",A1216&lt;=55,"46-55",A1216&gt;55,"55+")</f>
        <v>36-45</v>
      </c>
      <c r="C1216">
        <v>0</v>
      </c>
      <c r="D1216" t="s">
        <v>32</v>
      </c>
      <c r="E1216">
        <v>921</v>
      </c>
      <c r="F1216" t="s">
        <v>48</v>
      </c>
      <c r="G1216">
        <v>2</v>
      </c>
      <c r="H1216" t="s">
        <v>61</v>
      </c>
      <c r="I1216" t="s">
        <v>35</v>
      </c>
      <c r="J1216" t="s">
        <v>38</v>
      </c>
      <c r="K1216" t="s">
        <v>37</v>
      </c>
      <c r="L1216">
        <v>96</v>
      </c>
      <c r="M1216" t="s">
        <v>41</v>
      </c>
      <c r="N1216" t="s">
        <v>63</v>
      </c>
      <c r="O1216" t="s">
        <v>65</v>
      </c>
      <c r="P1216" t="s">
        <v>41</v>
      </c>
      <c r="Q1216" t="s">
        <v>52</v>
      </c>
      <c r="R1216">
        <v>7879</v>
      </c>
      <c r="S1216">
        <v>14810</v>
      </c>
      <c r="T1216">
        <v>1</v>
      </c>
      <c r="U1216" t="s">
        <v>31</v>
      </c>
      <c r="V1216">
        <v>19</v>
      </c>
      <c r="W1216" t="s">
        <v>43</v>
      </c>
      <c r="X1216" t="s">
        <v>36</v>
      </c>
      <c r="Y1216">
        <v>1</v>
      </c>
      <c r="Z1216">
        <v>9</v>
      </c>
      <c r="AA1216">
        <v>2</v>
      </c>
      <c r="AB1216" t="s">
        <v>54</v>
      </c>
      <c r="AC1216">
        <v>8</v>
      </c>
      <c r="AD1216" t="str" cm="1">
        <f t="array" ref="AD1216">_xlfn.IFS(AC1216&lt;=5,"0-5",AC1216&lt;=10,"5-10",AC1216&lt;=40,"10-40")</f>
        <v>5-10</v>
      </c>
      <c r="AE1216">
        <v>7</v>
      </c>
      <c r="AF1216">
        <v>6</v>
      </c>
      <c r="AG1216">
        <v>7</v>
      </c>
      <c r="AH1216">
        <v>1215</v>
      </c>
    </row>
    <row r="1217" spans="1:34" x14ac:dyDescent="0.3">
      <c r="A1217">
        <v>35</v>
      </c>
      <c r="B1217" t="str" cm="1">
        <f t="array" ref="B1217">_xlfn.IFS(A1217&lt;=25,"18-25",A1217&lt;=35,"26-35",A1217&lt;=45,"36-45",A1217&lt;=55,"46-55",A1217&gt;55,"55+")</f>
        <v>26-35</v>
      </c>
      <c r="C1217">
        <v>0</v>
      </c>
      <c r="D1217" t="s">
        <v>47</v>
      </c>
      <c r="E1217">
        <v>146</v>
      </c>
      <c r="F1217" t="s">
        <v>48</v>
      </c>
      <c r="G1217">
        <v>2</v>
      </c>
      <c r="H1217" t="s">
        <v>58</v>
      </c>
      <c r="I1217" t="s">
        <v>59</v>
      </c>
      <c r="J1217" t="s">
        <v>44</v>
      </c>
      <c r="K1217" t="s">
        <v>50</v>
      </c>
      <c r="L1217">
        <v>79</v>
      </c>
      <c r="M1217" t="s">
        <v>36</v>
      </c>
      <c r="N1217" t="s">
        <v>56</v>
      </c>
      <c r="O1217" t="s">
        <v>51</v>
      </c>
      <c r="P1217" t="s">
        <v>41</v>
      </c>
      <c r="Q1217" t="s">
        <v>42</v>
      </c>
      <c r="R1217">
        <v>4930</v>
      </c>
      <c r="S1217">
        <v>13970</v>
      </c>
      <c r="T1217">
        <v>0</v>
      </c>
      <c r="U1217" t="s">
        <v>31</v>
      </c>
      <c r="V1217">
        <v>14</v>
      </c>
      <c r="W1217" t="s">
        <v>43</v>
      </c>
      <c r="X1217" t="s">
        <v>38</v>
      </c>
      <c r="Y1217">
        <v>0</v>
      </c>
      <c r="Z1217">
        <v>6</v>
      </c>
      <c r="AA1217">
        <v>2</v>
      </c>
      <c r="AB1217" t="s">
        <v>73</v>
      </c>
      <c r="AC1217">
        <v>5</v>
      </c>
      <c r="AD1217" t="str" cm="1">
        <f t="array" ref="AD1217">_xlfn.IFS(AC1217&lt;=5,"0-5",AC1217&lt;=10,"5-10",AC1217&lt;=40,"10-40")</f>
        <v>0-5</v>
      </c>
      <c r="AE1217">
        <v>4</v>
      </c>
      <c r="AF1217">
        <v>1</v>
      </c>
      <c r="AG1217">
        <v>4</v>
      </c>
      <c r="AH1217">
        <v>1216</v>
      </c>
    </row>
    <row r="1218" spans="1:34" x14ac:dyDescent="0.3">
      <c r="A1218">
        <v>43</v>
      </c>
      <c r="B1218" t="str" cm="1">
        <f t="array" ref="B1218">_xlfn.IFS(A1218&lt;=25,"18-25",A1218&lt;=35,"26-35",A1218&lt;=45,"36-45",A1218&lt;=55,"46-55",A1218&gt;55,"55+")</f>
        <v>36-45</v>
      </c>
      <c r="C1218">
        <v>0</v>
      </c>
      <c r="D1218" t="s">
        <v>32</v>
      </c>
      <c r="E1218">
        <v>1179</v>
      </c>
      <c r="F1218" t="s">
        <v>33</v>
      </c>
      <c r="G1218">
        <v>2</v>
      </c>
      <c r="H1218" t="s">
        <v>61</v>
      </c>
      <c r="I1218" t="s">
        <v>59</v>
      </c>
      <c r="J1218" t="s">
        <v>41</v>
      </c>
      <c r="K1218" t="s">
        <v>50</v>
      </c>
      <c r="L1218">
        <v>73</v>
      </c>
      <c r="M1218" t="s">
        <v>38</v>
      </c>
      <c r="N1218" t="s">
        <v>39</v>
      </c>
      <c r="O1218" t="s">
        <v>40</v>
      </c>
      <c r="P1218" t="s">
        <v>41</v>
      </c>
      <c r="Q1218" t="s">
        <v>52</v>
      </c>
      <c r="R1218">
        <v>7847</v>
      </c>
      <c r="S1218">
        <v>6069</v>
      </c>
      <c r="T1218">
        <v>1</v>
      </c>
      <c r="U1218" t="s">
        <v>31</v>
      </c>
      <c r="V1218">
        <v>17</v>
      </c>
      <c r="W1218" t="s">
        <v>43</v>
      </c>
      <c r="X1218" t="s">
        <v>44</v>
      </c>
      <c r="Y1218">
        <v>1</v>
      </c>
      <c r="Z1218">
        <v>10</v>
      </c>
      <c r="AA1218">
        <v>3</v>
      </c>
      <c r="AB1218" t="s">
        <v>54</v>
      </c>
      <c r="AC1218">
        <v>10</v>
      </c>
      <c r="AD1218" t="str" cm="1">
        <f t="array" ref="AD1218">_xlfn.IFS(AC1218&lt;=5,"0-5",AC1218&lt;=10,"5-10",AC1218&lt;=40,"10-40")</f>
        <v>5-10</v>
      </c>
      <c r="AE1218">
        <v>9</v>
      </c>
      <c r="AF1218">
        <v>8</v>
      </c>
      <c r="AG1218">
        <v>8</v>
      </c>
      <c r="AH1218">
        <v>1217</v>
      </c>
    </row>
    <row r="1219" spans="1:34" x14ac:dyDescent="0.3">
      <c r="A1219">
        <v>24</v>
      </c>
      <c r="B1219" t="str" cm="1">
        <f t="array" ref="B1219">_xlfn.IFS(A1219&lt;=25,"18-25",A1219&lt;=35,"26-35",A1219&lt;=45,"36-45",A1219&lt;=55,"46-55",A1219&gt;55,"55+")</f>
        <v>18-25</v>
      </c>
      <c r="C1219">
        <v>0</v>
      </c>
      <c r="D1219" t="s">
        <v>32</v>
      </c>
      <c r="E1219">
        <v>581</v>
      </c>
      <c r="F1219" t="s">
        <v>48</v>
      </c>
      <c r="G1219">
        <v>9</v>
      </c>
      <c r="H1219" t="s">
        <v>61</v>
      </c>
      <c r="I1219" t="s">
        <v>59</v>
      </c>
      <c r="J1219" t="s">
        <v>38</v>
      </c>
      <c r="K1219" t="s">
        <v>50</v>
      </c>
      <c r="L1219">
        <v>62</v>
      </c>
      <c r="M1219" t="s">
        <v>41</v>
      </c>
      <c r="N1219" t="s">
        <v>56</v>
      </c>
      <c r="O1219" t="s">
        <v>51</v>
      </c>
      <c r="P1219" t="s">
        <v>38</v>
      </c>
      <c r="Q1219" t="s">
        <v>52</v>
      </c>
      <c r="R1219">
        <v>4401</v>
      </c>
      <c r="S1219">
        <v>17616</v>
      </c>
      <c r="T1219">
        <v>1</v>
      </c>
      <c r="U1219" t="s">
        <v>46</v>
      </c>
      <c r="V1219">
        <v>16</v>
      </c>
      <c r="W1219" t="s">
        <v>43</v>
      </c>
      <c r="X1219" t="s">
        <v>41</v>
      </c>
      <c r="Y1219">
        <v>1</v>
      </c>
      <c r="Z1219">
        <v>5</v>
      </c>
      <c r="AA1219">
        <v>1</v>
      </c>
      <c r="AB1219" t="s">
        <v>54</v>
      </c>
      <c r="AC1219">
        <v>5</v>
      </c>
      <c r="AD1219" t="str" cm="1">
        <f t="array" ref="AD1219">_xlfn.IFS(AC1219&lt;=5,"0-5",AC1219&lt;=10,"5-10",AC1219&lt;=40,"10-40")</f>
        <v>0-5</v>
      </c>
      <c r="AE1219">
        <v>3</v>
      </c>
      <c r="AF1219">
        <v>0</v>
      </c>
      <c r="AG1219">
        <v>4</v>
      </c>
      <c r="AH1219">
        <v>1218</v>
      </c>
    </row>
    <row r="1220" spans="1:34" x14ac:dyDescent="0.3">
      <c r="A1220">
        <v>41</v>
      </c>
      <c r="B1220" t="str" cm="1">
        <f t="array" ref="B1220">_xlfn.IFS(A1220&lt;=25,"18-25",A1220&lt;=35,"26-35",A1220&lt;=45,"36-45",A1220&lt;=55,"46-55",A1220&gt;55,"55+")</f>
        <v>36-45</v>
      </c>
      <c r="C1220">
        <v>0</v>
      </c>
      <c r="D1220" t="s">
        <v>32</v>
      </c>
      <c r="E1220">
        <v>918</v>
      </c>
      <c r="F1220" t="s">
        <v>33</v>
      </c>
      <c r="G1220">
        <v>6</v>
      </c>
      <c r="H1220" t="s">
        <v>61</v>
      </c>
      <c r="I1220" t="s">
        <v>72</v>
      </c>
      <c r="J1220" t="s">
        <v>41</v>
      </c>
      <c r="K1220" t="s">
        <v>50</v>
      </c>
      <c r="L1220">
        <v>35</v>
      </c>
      <c r="M1220" t="s">
        <v>38</v>
      </c>
      <c r="N1220" t="s">
        <v>63</v>
      </c>
      <c r="O1220" t="s">
        <v>40</v>
      </c>
      <c r="P1220" t="s">
        <v>38</v>
      </c>
      <c r="Q1220" t="s">
        <v>42</v>
      </c>
      <c r="R1220">
        <v>9241</v>
      </c>
      <c r="S1220">
        <v>15869</v>
      </c>
      <c r="T1220">
        <v>1</v>
      </c>
      <c r="U1220" t="s">
        <v>46</v>
      </c>
      <c r="V1220">
        <v>12</v>
      </c>
      <c r="W1220" t="s">
        <v>43</v>
      </c>
      <c r="X1220" t="s">
        <v>36</v>
      </c>
      <c r="Y1220">
        <v>0</v>
      </c>
      <c r="Z1220">
        <v>10</v>
      </c>
      <c r="AA1220">
        <v>3</v>
      </c>
      <c r="AB1220" t="s">
        <v>54</v>
      </c>
      <c r="AC1220">
        <v>10</v>
      </c>
      <c r="AD1220" t="str" cm="1">
        <f t="array" ref="AD1220">_xlfn.IFS(AC1220&lt;=5,"0-5",AC1220&lt;=10,"5-10",AC1220&lt;=40,"10-40")</f>
        <v>5-10</v>
      </c>
      <c r="AE1220">
        <v>8</v>
      </c>
      <c r="AF1220">
        <v>8</v>
      </c>
      <c r="AG1220">
        <v>7</v>
      </c>
      <c r="AH1220">
        <v>1219</v>
      </c>
    </row>
    <row r="1221" spans="1:34" x14ac:dyDescent="0.3">
      <c r="A1221">
        <v>29</v>
      </c>
      <c r="B1221" t="str" cm="1">
        <f t="array" ref="B1221">_xlfn.IFS(A1221&lt;=25,"18-25",A1221&lt;=35,"26-35",A1221&lt;=45,"36-45",A1221&lt;=55,"46-55",A1221&gt;55,"55+")</f>
        <v>26-35</v>
      </c>
      <c r="C1221">
        <v>0</v>
      </c>
      <c r="D1221" t="s">
        <v>32</v>
      </c>
      <c r="E1221">
        <v>1082</v>
      </c>
      <c r="F1221" t="s">
        <v>48</v>
      </c>
      <c r="G1221">
        <v>9</v>
      </c>
      <c r="H1221" t="s">
        <v>58</v>
      </c>
      <c r="I1221" t="s">
        <v>59</v>
      </c>
      <c r="J1221" t="s">
        <v>41</v>
      </c>
      <c r="K1221" t="s">
        <v>37</v>
      </c>
      <c r="L1221">
        <v>43</v>
      </c>
      <c r="M1221" t="s">
        <v>38</v>
      </c>
      <c r="N1221" t="s">
        <v>56</v>
      </c>
      <c r="O1221" t="s">
        <v>57</v>
      </c>
      <c r="P1221" t="s">
        <v>38</v>
      </c>
      <c r="Q1221" t="s">
        <v>52</v>
      </c>
      <c r="R1221">
        <v>2974</v>
      </c>
      <c r="S1221">
        <v>25412</v>
      </c>
      <c r="T1221">
        <v>9</v>
      </c>
      <c r="U1221" t="s">
        <v>46</v>
      </c>
      <c r="V1221">
        <v>17</v>
      </c>
      <c r="W1221" t="s">
        <v>43</v>
      </c>
      <c r="X1221" t="s">
        <v>38</v>
      </c>
      <c r="Y1221">
        <v>1</v>
      </c>
      <c r="Z1221">
        <v>9</v>
      </c>
      <c r="AA1221">
        <v>2</v>
      </c>
      <c r="AB1221" t="s">
        <v>54</v>
      </c>
      <c r="AC1221">
        <v>5</v>
      </c>
      <c r="AD1221" t="str" cm="1">
        <f t="array" ref="AD1221">_xlfn.IFS(AC1221&lt;=5,"0-5",AC1221&lt;=10,"5-10",AC1221&lt;=40,"10-40")</f>
        <v>0-5</v>
      </c>
      <c r="AE1221">
        <v>3</v>
      </c>
      <c r="AF1221">
        <v>1</v>
      </c>
      <c r="AG1221">
        <v>2</v>
      </c>
      <c r="AH1221">
        <v>1220</v>
      </c>
    </row>
    <row r="1222" spans="1:34" x14ac:dyDescent="0.3">
      <c r="A1222">
        <v>36</v>
      </c>
      <c r="B1222" t="str" cm="1">
        <f t="array" ref="B1222">_xlfn.IFS(A1222&lt;=25,"18-25",A1222&lt;=35,"26-35",A1222&lt;=45,"36-45",A1222&lt;=55,"46-55",A1222&gt;55,"55+")</f>
        <v>36-45</v>
      </c>
      <c r="C1222">
        <v>0</v>
      </c>
      <c r="D1222" t="s">
        <v>32</v>
      </c>
      <c r="E1222">
        <v>530</v>
      </c>
      <c r="F1222" t="s">
        <v>33</v>
      </c>
      <c r="G1222">
        <v>2</v>
      </c>
      <c r="H1222" t="s">
        <v>58</v>
      </c>
      <c r="I1222" t="s">
        <v>35</v>
      </c>
      <c r="J1222" t="s">
        <v>38</v>
      </c>
      <c r="K1222" t="s">
        <v>37</v>
      </c>
      <c r="L1222">
        <v>51</v>
      </c>
      <c r="M1222" t="s">
        <v>38</v>
      </c>
      <c r="N1222" t="s">
        <v>39</v>
      </c>
      <c r="O1222" t="s">
        <v>69</v>
      </c>
      <c r="P1222" t="s">
        <v>41</v>
      </c>
      <c r="Q1222" t="s">
        <v>42</v>
      </c>
      <c r="R1222">
        <v>4502</v>
      </c>
      <c r="S1222">
        <v>7439</v>
      </c>
      <c r="T1222">
        <v>3</v>
      </c>
      <c r="U1222" t="s">
        <v>46</v>
      </c>
      <c r="V1222">
        <v>15</v>
      </c>
      <c r="W1222" t="s">
        <v>43</v>
      </c>
      <c r="X1222" t="s">
        <v>38</v>
      </c>
      <c r="Y1222">
        <v>0</v>
      </c>
      <c r="Z1222">
        <v>17</v>
      </c>
      <c r="AA1222">
        <v>2</v>
      </c>
      <c r="AB1222" t="s">
        <v>60</v>
      </c>
      <c r="AC1222">
        <v>13</v>
      </c>
      <c r="AD1222" t="str" cm="1">
        <f t="array" ref="AD1222">_xlfn.IFS(AC1222&lt;=5,"0-5",AC1222&lt;=10,"5-10",AC1222&lt;=40,"10-40")</f>
        <v>10-40</v>
      </c>
      <c r="AE1222">
        <v>7</v>
      </c>
      <c r="AF1222">
        <v>6</v>
      </c>
      <c r="AG1222">
        <v>7</v>
      </c>
      <c r="AH1222">
        <v>1221</v>
      </c>
    </row>
    <row r="1223" spans="1:34" x14ac:dyDescent="0.3">
      <c r="A1223">
        <v>45</v>
      </c>
      <c r="B1223" t="str" cm="1">
        <f t="array" ref="B1223">_xlfn.IFS(A1223&lt;=25,"18-25",A1223&lt;=35,"26-35",A1223&lt;=45,"36-45",A1223&lt;=55,"46-55",A1223&gt;55,"55+")</f>
        <v>36-45</v>
      </c>
      <c r="C1223">
        <v>0</v>
      </c>
      <c r="D1223" t="s">
        <v>66</v>
      </c>
      <c r="E1223">
        <v>1238</v>
      </c>
      <c r="F1223" t="s">
        <v>48</v>
      </c>
      <c r="G1223">
        <v>1</v>
      </c>
      <c r="H1223" t="s">
        <v>49</v>
      </c>
      <c r="I1223" t="s">
        <v>35</v>
      </c>
      <c r="J1223" t="s">
        <v>38</v>
      </c>
      <c r="K1223" t="s">
        <v>50</v>
      </c>
      <c r="L1223">
        <v>74</v>
      </c>
      <c r="M1223" t="s">
        <v>36</v>
      </c>
      <c r="N1223" t="s">
        <v>63</v>
      </c>
      <c r="O1223" t="s">
        <v>65</v>
      </c>
      <c r="P1223" t="s">
        <v>38</v>
      </c>
      <c r="Q1223" t="s">
        <v>52</v>
      </c>
      <c r="R1223">
        <v>10748</v>
      </c>
      <c r="S1223">
        <v>3395</v>
      </c>
      <c r="T1223">
        <v>3</v>
      </c>
      <c r="U1223" t="s">
        <v>46</v>
      </c>
      <c r="V1223">
        <v>23</v>
      </c>
      <c r="W1223" t="s">
        <v>53</v>
      </c>
      <c r="X1223" t="s">
        <v>41</v>
      </c>
      <c r="Y1223">
        <v>1</v>
      </c>
      <c r="Z1223">
        <v>25</v>
      </c>
      <c r="AA1223">
        <v>3</v>
      </c>
      <c r="AB1223" t="s">
        <v>60</v>
      </c>
      <c r="AC1223">
        <v>23</v>
      </c>
      <c r="AD1223" t="str" cm="1">
        <f t="array" ref="AD1223">_xlfn.IFS(AC1223&lt;=5,"0-5",AC1223&lt;=10,"5-10",AC1223&lt;=40,"10-40")</f>
        <v>10-40</v>
      </c>
      <c r="AE1223">
        <v>15</v>
      </c>
      <c r="AF1223">
        <v>14</v>
      </c>
      <c r="AG1223">
        <v>4</v>
      </c>
      <c r="AH1223">
        <v>1222</v>
      </c>
    </row>
    <row r="1224" spans="1:34" x14ac:dyDescent="0.3">
      <c r="A1224">
        <v>24</v>
      </c>
      <c r="B1224" t="str" cm="1">
        <f t="array" ref="B1224">_xlfn.IFS(A1224&lt;=25,"18-25",A1224&lt;=35,"26-35",A1224&lt;=45,"36-45",A1224&lt;=55,"46-55",A1224&gt;55,"55+")</f>
        <v>18-25</v>
      </c>
      <c r="C1224">
        <v>1</v>
      </c>
      <c r="D1224" t="s">
        <v>32</v>
      </c>
      <c r="E1224">
        <v>240</v>
      </c>
      <c r="F1224" t="s">
        <v>76</v>
      </c>
      <c r="G1224">
        <v>22</v>
      </c>
      <c r="H1224" t="s">
        <v>49</v>
      </c>
      <c r="I1224" t="s">
        <v>76</v>
      </c>
      <c r="J1224" t="s">
        <v>41</v>
      </c>
      <c r="K1224" t="s">
        <v>50</v>
      </c>
      <c r="L1224">
        <v>58</v>
      </c>
      <c r="M1224" t="s">
        <v>44</v>
      </c>
      <c r="N1224" t="s">
        <v>56</v>
      </c>
      <c r="O1224" t="s">
        <v>76</v>
      </c>
      <c r="P1224" t="s">
        <v>38</v>
      </c>
      <c r="Q1224" t="s">
        <v>52</v>
      </c>
      <c r="R1224">
        <v>1555</v>
      </c>
      <c r="S1224">
        <v>11585</v>
      </c>
      <c r="T1224">
        <v>1</v>
      </c>
      <c r="U1224" t="s">
        <v>46</v>
      </c>
      <c r="V1224">
        <v>11</v>
      </c>
      <c r="W1224" t="s">
        <v>43</v>
      </c>
      <c r="X1224" t="s">
        <v>38</v>
      </c>
      <c r="Y1224">
        <v>1</v>
      </c>
      <c r="Z1224">
        <v>1</v>
      </c>
      <c r="AA1224">
        <v>2</v>
      </c>
      <c r="AB1224" t="s">
        <v>54</v>
      </c>
      <c r="AC1224">
        <v>1</v>
      </c>
      <c r="AD1224" t="str" cm="1">
        <f t="array" ref="AD1224">_xlfn.IFS(AC1224&lt;=5,"0-5",AC1224&lt;=10,"5-10",AC1224&lt;=40,"10-40")</f>
        <v>0-5</v>
      </c>
      <c r="AE1224">
        <v>0</v>
      </c>
      <c r="AF1224">
        <v>0</v>
      </c>
      <c r="AG1224">
        <v>0</v>
      </c>
      <c r="AH1224">
        <v>1223</v>
      </c>
    </row>
    <row r="1225" spans="1:34" x14ac:dyDescent="0.3">
      <c r="A1225">
        <v>47</v>
      </c>
      <c r="B1225" t="str" cm="1">
        <f t="array" ref="B1225">_xlfn.IFS(A1225&lt;=25,"18-25",A1225&lt;=35,"26-35",A1225&lt;=45,"36-45",A1225&lt;=55,"46-55",A1225&gt;55,"55+")</f>
        <v>46-55</v>
      </c>
      <c r="C1225">
        <v>1</v>
      </c>
      <c r="D1225" t="s">
        <v>47</v>
      </c>
      <c r="E1225">
        <v>1093</v>
      </c>
      <c r="F1225" t="s">
        <v>33</v>
      </c>
      <c r="G1225">
        <v>9</v>
      </c>
      <c r="H1225" t="s">
        <v>61</v>
      </c>
      <c r="I1225" t="s">
        <v>35</v>
      </c>
      <c r="J1225" t="s">
        <v>38</v>
      </c>
      <c r="K1225" t="s">
        <v>50</v>
      </c>
      <c r="L1225">
        <v>82</v>
      </c>
      <c r="M1225" t="s">
        <v>44</v>
      </c>
      <c r="N1225" t="s">
        <v>67</v>
      </c>
      <c r="O1225" t="s">
        <v>40</v>
      </c>
      <c r="P1225" t="s">
        <v>38</v>
      </c>
      <c r="Q1225" t="s">
        <v>52</v>
      </c>
      <c r="R1225">
        <v>12936</v>
      </c>
      <c r="S1225">
        <v>24164</v>
      </c>
      <c r="T1225">
        <v>7</v>
      </c>
      <c r="U1225" t="s">
        <v>46</v>
      </c>
      <c r="V1225">
        <v>11</v>
      </c>
      <c r="W1225" t="s">
        <v>43</v>
      </c>
      <c r="X1225" t="s">
        <v>38</v>
      </c>
      <c r="Y1225">
        <v>0</v>
      </c>
      <c r="Z1225">
        <v>25</v>
      </c>
      <c r="AA1225">
        <v>3</v>
      </c>
      <c r="AB1225" t="s">
        <v>45</v>
      </c>
      <c r="AC1225">
        <v>23</v>
      </c>
      <c r="AD1225" t="str" cm="1">
        <f t="array" ref="AD1225">_xlfn.IFS(AC1225&lt;=5,"0-5",AC1225&lt;=10,"5-10",AC1225&lt;=40,"10-40")</f>
        <v>10-40</v>
      </c>
      <c r="AE1225">
        <v>5</v>
      </c>
      <c r="AF1225">
        <v>14</v>
      </c>
      <c r="AG1225">
        <v>10</v>
      </c>
      <c r="AH1225">
        <v>1224</v>
      </c>
    </row>
    <row r="1226" spans="1:34" x14ac:dyDescent="0.3">
      <c r="A1226">
        <v>26</v>
      </c>
      <c r="B1226" t="str" cm="1">
        <f t="array" ref="B1226">_xlfn.IFS(A1226&lt;=25,"18-25",A1226&lt;=35,"26-35",A1226&lt;=45,"36-45",A1226&lt;=55,"46-55",A1226&gt;55,"55+")</f>
        <v>26-35</v>
      </c>
      <c r="C1226">
        <v>0</v>
      </c>
      <c r="D1226" t="s">
        <v>32</v>
      </c>
      <c r="E1226">
        <v>390</v>
      </c>
      <c r="F1226" t="s">
        <v>48</v>
      </c>
      <c r="G1226">
        <v>17</v>
      </c>
      <c r="H1226" t="s">
        <v>58</v>
      </c>
      <c r="I1226" t="s">
        <v>59</v>
      </c>
      <c r="J1226" t="s">
        <v>41</v>
      </c>
      <c r="K1226" t="s">
        <v>50</v>
      </c>
      <c r="L1226">
        <v>62</v>
      </c>
      <c r="M1226" t="s">
        <v>44</v>
      </c>
      <c r="N1226" t="s">
        <v>56</v>
      </c>
      <c r="O1226" t="s">
        <v>57</v>
      </c>
      <c r="P1226" t="s">
        <v>38</v>
      </c>
      <c r="Q1226" t="s">
        <v>52</v>
      </c>
      <c r="R1226">
        <v>2305</v>
      </c>
      <c r="S1226">
        <v>6217</v>
      </c>
      <c r="T1226">
        <v>1</v>
      </c>
      <c r="U1226" t="s">
        <v>46</v>
      </c>
      <c r="V1226">
        <v>15</v>
      </c>
      <c r="W1226" t="s">
        <v>43</v>
      </c>
      <c r="X1226" t="s">
        <v>38</v>
      </c>
      <c r="Y1226">
        <v>3</v>
      </c>
      <c r="Z1226">
        <v>3</v>
      </c>
      <c r="AA1226">
        <v>3</v>
      </c>
      <c r="AB1226" t="s">
        <v>73</v>
      </c>
      <c r="AC1226">
        <v>3</v>
      </c>
      <c r="AD1226" t="str" cm="1">
        <f t="array" ref="AD1226">_xlfn.IFS(AC1226&lt;=5,"0-5",AC1226&lt;=10,"5-10",AC1226&lt;=40,"10-40")</f>
        <v>0-5</v>
      </c>
      <c r="AE1226">
        <v>2</v>
      </c>
      <c r="AF1226">
        <v>0</v>
      </c>
      <c r="AG1226">
        <v>2</v>
      </c>
      <c r="AH1226">
        <v>1225</v>
      </c>
    </row>
    <row r="1227" spans="1:34" x14ac:dyDescent="0.3">
      <c r="A1227">
        <v>45</v>
      </c>
      <c r="B1227" t="str" cm="1">
        <f t="array" ref="B1227">_xlfn.IFS(A1227&lt;=25,"18-25",A1227&lt;=35,"26-35",A1227&lt;=45,"36-45",A1227&lt;=55,"46-55",A1227&gt;55,"55+")</f>
        <v>36-45</v>
      </c>
      <c r="C1227">
        <v>0</v>
      </c>
      <c r="D1227" t="s">
        <v>32</v>
      </c>
      <c r="E1227">
        <v>1005</v>
      </c>
      <c r="F1227" t="s">
        <v>48</v>
      </c>
      <c r="G1227">
        <v>28</v>
      </c>
      <c r="H1227" t="s">
        <v>34</v>
      </c>
      <c r="I1227" t="s">
        <v>74</v>
      </c>
      <c r="J1227" t="s">
        <v>41</v>
      </c>
      <c r="K1227" t="s">
        <v>37</v>
      </c>
      <c r="L1227">
        <v>48</v>
      </c>
      <c r="M1227" t="s">
        <v>36</v>
      </c>
      <c r="N1227" t="s">
        <v>67</v>
      </c>
      <c r="O1227" t="s">
        <v>70</v>
      </c>
      <c r="P1227" t="s">
        <v>36</v>
      </c>
      <c r="Q1227" t="s">
        <v>42</v>
      </c>
      <c r="R1227">
        <v>16704</v>
      </c>
      <c r="S1227">
        <v>17119</v>
      </c>
      <c r="T1227">
        <v>1</v>
      </c>
      <c r="U1227" t="s">
        <v>46</v>
      </c>
      <c r="V1227">
        <v>11</v>
      </c>
      <c r="W1227" t="s">
        <v>43</v>
      </c>
      <c r="X1227" t="s">
        <v>38</v>
      </c>
      <c r="Y1227">
        <v>0</v>
      </c>
      <c r="Z1227">
        <v>21</v>
      </c>
      <c r="AA1227">
        <v>2</v>
      </c>
      <c r="AB1227" t="s">
        <v>54</v>
      </c>
      <c r="AC1227">
        <v>21</v>
      </c>
      <c r="AD1227" t="str" cm="1">
        <f t="array" ref="AD1227">_xlfn.IFS(AC1227&lt;=5,"0-5",AC1227&lt;=10,"5-10",AC1227&lt;=40,"10-40")</f>
        <v>10-40</v>
      </c>
      <c r="AE1227">
        <v>6</v>
      </c>
      <c r="AF1227">
        <v>8</v>
      </c>
      <c r="AG1227">
        <v>6</v>
      </c>
      <c r="AH1227">
        <v>1226</v>
      </c>
    </row>
    <row r="1228" spans="1:34" x14ac:dyDescent="0.3">
      <c r="A1228">
        <v>32</v>
      </c>
      <c r="B1228" t="str" cm="1">
        <f t="array" ref="B1228">_xlfn.IFS(A1228&lt;=25,"18-25",A1228&lt;=35,"26-35",A1228&lt;=45,"36-45",A1228&lt;=55,"46-55",A1228&gt;55,"55+")</f>
        <v>26-35</v>
      </c>
      <c r="C1228">
        <v>0</v>
      </c>
      <c r="D1228" t="s">
        <v>47</v>
      </c>
      <c r="E1228">
        <v>585</v>
      </c>
      <c r="F1228" t="s">
        <v>48</v>
      </c>
      <c r="G1228">
        <v>10</v>
      </c>
      <c r="H1228" t="s">
        <v>61</v>
      </c>
      <c r="I1228" t="s">
        <v>35</v>
      </c>
      <c r="J1228" t="s">
        <v>44</v>
      </c>
      <c r="K1228" t="s">
        <v>50</v>
      </c>
      <c r="L1228">
        <v>56</v>
      </c>
      <c r="M1228" t="s">
        <v>38</v>
      </c>
      <c r="N1228" t="s">
        <v>56</v>
      </c>
      <c r="O1228" t="s">
        <v>51</v>
      </c>
      <c r="P1228" t="s">
        <v>38</v>
      </c>
      <c r="Q1228" t="s">
        <v>52</v>
      </c>
      <c r="R1228">
        <v>3433</v>
      </c>
      <c r="S1228">
        <v>17360</v>
      </c>
      <c r="T1228">
        <v>6</v>
      </c>
      <c r="U1228" t="s">
        <v>46</v>
      </c>
      <c r="V1228">
        <v>13</v>
      </c>
      <c r="W1228" t="s">
        <v>43</v>
      </c>
      <c r="X1228" t="s">
        <v>44</v>
      </c>
      <c r="Y1228">
        <v>1</v>
      </c>
      <c r="Z1228">
        <v>10</v>
      </c>
      <c r="AA1228">
        <v>3</v>
      </c>
      <c r="AB1228" t="s">
        <v>60</v>
      </c>
      <c r="AC1228">
        <v>5</v>
      </c>
      <c r="AD1228" t="str" cm="1">
        <f t="array" ref="AD1228">_xlfn.IFS(AC1228&lt;=5,"0-5",AC1228&lt;=10,"5-10",AC1228&lt;=40,"10-40")</f>
        <v>0-5</v>
      </c>
      <c r="AE1228">
        <v>2</v>
      </c>
      <c r="AF1228">
        <v>1</v>
      </c>
      <c r="AG1228">
        <v>3</v>
      </c>
      <c r="AH1228">
        <v>1227</v>
      </c>
    </row>
    <row r="1229" spans="1:34" x14ac:dyDescent="0.3">
      <c r="A1229">
        <v>31</v>
      </c>
      <c r="B1229" t="str" cm="1">
        <f t="array" ref="B1229">_xlfn.IFS(A1229&lt;=25,"18-25",A1229&lt;=35,"26-35",A1229&lt;=45,"36-45",A1229&lt;=55,"46-55",A1229&gt;55,"55+")</f>
        <v>26-35</v>
      </c>
      <c r="C1229">
        <v>0</v>
      </c>
      <c r="D1229" t="s">
        <v>32</v>
      </c>
      <c r="E1229">
        <v>741</v>
      </c>
      <c r="F1229" t="s">
        <v>48</v>
      </c>
      <c r="G1229">
        <v>2</v>
      </c>
      <c r="H1229" t="s">
        <v>58</v>
      </c>
      <c r="I1229" t="s">
        <v>35</v>
      </c>
      <c r="J1229" t="s">
        <v>36</v>
      </c>
      <c r="K1229" t="s">
        <v>50</v>
      </c>
      <c r="L1229">
        <v>69</v>
      </c>
      <c r="M1229" t="s">
        <v>38</v>
      </c>
      <c r="N1229" t="s">
        <v>56</v>
      </c>
      <c r="O1229" t="s">
        <v>57</v>
      </c>
      <c r="P1229" t="s">
        <v>38</v>
      </c>
      <c r="Q1229" t="s">
        <v>52</v>
      </c>
      <c r="R1229">
        <v>3477</v>
      </c>
      <c r="S1229">
        <v>18103</v>
      </c>
      <c r="T1229">
        <v>1</v>
      </c>
      <c r="U1229" t="s">
        <v>46</v>
      </c>
      <c r="V1229">
        <v>14</v>
      </c>
      <c r="W1229" t="s">
        <v>43</v>
      </c>
      <c r="X1229" t="s">
        <v>41</v>
      </c>
      <c r="Y1229">
        <v>1</v>
      </c>
      <c r="Z1229">
        <v>6</v>
      </c>
      <c r="AA1229">
        <v>2</v>
      </c>
      <c r="AB1229" t="s">
        <v>73</v>
      </c>
      <c r="AC1229">
        <v>5</v>
      </c>
      <c r="AD1229" t="str" cm="1">
        <f t="array" ref="AD1229">_xlfn.IFS(AC1229&lt;=5,"0-5",AC1229&lt;=10,"5-10",AC1229&lt;=40,"10-40")</f>
        <v>0-5</v>
      </c>
      <c r="AE1229">
        <v>2</v>
      </c>
      <c r="AF1229">
        <v>0</v>
      </c>
      <c r="AG1229">
        <v>3</v>
      </c>
      <c r="AH1229">
        <v>1228</v>
      </c>
    </row>
    <row r="1230" spans="1:34" x14ac:dyDescent="0.3">
      <c r="A1230">
        <v>41</v>
      </c>
      <c r="B1230" t="str" cm="1">
        <f t="array" ref="B1230">_xlfn.IFS(A1230&lt;=25,"18-25",A1230&lt;=35,"26-35",A1230&lt;=45,"36-45",A1230&lt;=55,"46-55",A1230&gt;55,"55+")</f>
        <v>36-45</v>
      </c>
      <c r="C1230">
        <v>0</v>
      </c>
      <c r="D1230" t="s">
        <v>66</v>
      </c>
      <c r="E1230">
        <v>552</v>
      </c>
      <c r="F1230" t="s">
        <v>76</v>
      </c>
      <c r="G1230">
        <v>4</v>
      </c>
      <c r="H1230" t="s">
        <v>61</v>
      </c>
      <c r="I1230" t="s">
        <v>76</v>
      </c>
      <c r="J1230" t="s">
        <v>38</v>
      </c>
      <c r="K1230" t="s">
        <v>50</v>
      </c>
      <c r="L1230">
        <v>60</v>
      </c>
      <c r="M1230" t="s">
        <v>44</v>
      </c>
      <c r="N1230" t="s">
        <v>39</v>
      </c>
      <c r="O1230" t="s">
        <v>76</v>
      </c>
      <c r="P1230" t="s">
        <v>36</v>
      </c>
      <c r="Q1230" t="s">
        <v>52</v>
      </c>
      <c r="R1230">
        <v>6430</v>
      </c>
      <c r="S1230">
        <v>20794</v>
      </c>
      <c r="T1230">
        <v>6</v>
      </c>
      <c r="U1230" t="s">
        <v>46</v>
      </c>
      <c r="V1230">
        <v>19</v>
      </c>
      <c r="W1230" t="s">
        <v>43</v>
      </c>
      <c r="X1230" t="s">
        <v>36</v>
      </c>
      <c r="Y1230">
        <v>1</v>
      </c>
      <c r="Z1230">
        <v>10</v>
      </c>
      <c r="AA1230">
        <v>4</v>
      </c>
      <c r="AB1230" t="s">
        <v>54</v>
      </c>
      <c r="AC1230">
        <v>3</v>
      </c>
      <c r="AD1230" t="str" cm="1">
        <f t="array" ref="AD1230">_xlfn.IFS(AC1230&lt;=5,"0-5",AC1230&lt;=10,"5-10",AC1230&lt;=40,"10-40")</f>
        <v>0-5</v>
      </c>
      <c r="AE1230">
        <v>2</v>
      </c>
      <c r="AF1230">
        <v>1</v>
      </c>
      <c r="AG1230">
        <v>2</v>
      </c>
      <c r="AH1230">
        <v>1229</v>
      </c>
    </row>
    <row r="1231" spans="1:34" x14ac:dyDescent="0.3">
      <c r="A1231">
        <v>40</v>
      </c>
      <c r="B1231" t="str" cm="1">
        <f t="array" ref="B1231">_xlfn.IFS(A1231&lt;=25,"18-25",A1231&lt;=35,"26-35",A1231&lt;=45,"36-45",A1231&lt;=55,"46-55",A1231&gt;55,"55+")</f>
        <v>36-45</v>
      </c>
      <c r="C1231">
        <v>0</v>
      </c>
      <c r="D1231" t="s">
        <v>32</v>
      </c>
      <c r="E1231">
        <v>369</v>
      </c>
      <c r="F1231" t="s">
        <v>48</v>
      </c>
      <c r="G1231">
        <v>8</v>
      </c>
      <c r="H1231" t="s">
        <v>34</v>
      </c>
      <c r="I1231" t="s">
        <v>35</v>
      </c>
      <c r="J1231" t="s">
        <v>36</v>
      </c>
      <c r="K1231" t="s">
        <v>37</v>
      </c>
      <c r="L1231">
        <v>92</v>
      </c>
      <c r="M1231" t="s">
        <v>38</v>
      </c>
      <c r="N1231" t="s">
        <v>39</v>
      </c>
      <c r="O1231" t="s">
        <v>64</v>
      </c>
      <c r="P1231" t="s">
        <v>44</v>
      </c>
      <c r="Q1231" t="s">
        <v>52</v>
      </c>
      <c r="R1231">
        <v>6516</v>
      </c>
      <c r="S1231">
        <v>5041</v>
      </c>
      <c r="T1231">
        <v>2</v>
      </c>
      <c r="U1231" t="s">
        <v>31</v>
      </c>
      <c r="V1231">
        <v>16</v>
      </c>
      <c r="W1231" t="s">
        <v>43</v>
      </c>
      <c r="X1231" t="s">
        <v>36</v>
      </c>
      <c r="Y1231">
        <v>1</v>
      </c>
      <c r="Z1231">
        <v>18</v>
      </c>
      <c r="AA1231">
        <v>3</v>
      </c>
      <c r="AB1231" t="s">
        <v>54</v>
      </c>
      <c r="AC1231">
        <v>1</v>
      </c>
      <c r="AD1231" t="str" cm="1">
        <f t="array" ref="AD1231">_xlfn.IFS(AC1231&lt;=5,"0-5",AC1231&lt;=10,"5-10",AC1231&lt;=40,"10-40")</f>
        <v>0-5</v>
      </c>
      <c r="AE1231">
        <v>0</v>
      </c>
      <c r="AF1231">
        <v>0</v>
      </c>
      <c r="AG1231">
        <v>0</v>
      </c>
      <c r="AH1231">
        <v>1230</v>
      </c>
    </row>
    <row r="1232" spans="1:34" x14ac:dyDescent="0.3">
      <c r="A1232">
        <v>24</v>
      </c>
      <c r="B1232" t="str" cm="1">
        <f t="array" ref="B1232">_xlfn.IFS(A1232&lt;=25,"18-25",A1232&lt;=35,"26-35",A1232&lt;=45,"36-45",A1232&lt;=55,"46-55",A1232&gt;55,"55+")</f>
        <v>18-25</v>
      </c>
      <c r="C1232">
        <v>0</v>
      </c>
      <c r="D1232" t="s">
        <v>32</v>
      </c>
      <c r="E1232">
        <v>506</v>
      </c>
      <c r="F1232" t="s">
        <v>48</v>
      </c>
      <c r="G1232">
        <v>29</v>
      </c>
      <c r="H1232" t="s">
        <v>49</v>
      </c>
      <c r="I1232" t="s">
        <v>59</v>
      </c>
      <c r="J1232" t="s">
        <v>36</v>
      </c>
      <c r="K1232" t="s">
        <v>50</v>
      </c>
      <c r="L1232">
        <v>91</v>
      </c>
      <c r="M1232" t="s">
        <v>38</v>
      </c>
      <c r="N1232" t="s">
        <v>56</v>
      </c>
      <c r="O1232" t="s">
        <v>57</v>
      </c>
      <c r="P1232" t="s">
        <v>44</v>
      </c>
      <c r="Q1232" t="s">
        <v>62</v>
      </c>
      <c r="R1232">
        <v>3907</v>
      </c>
      <c r="S1232">
        <v>3622</v>
      </c>
      <c r="T1232">
        <v>1</v>
      </c>
      <c r="U1232" t="s">
        <v>46</v>
      </c>
      <c r="V1232">
        <v>13</v>
      </c>
      <c r="W1232" t="s">
        <v>43</v>
      </c>
      <c r="X1232" t="s">
        <v>36</v>
      </c>
      <c r="Y1232">
        <v>3</v>
      </c>
      <c r="Z1232">
        <v>6</v>
      </c>
      <c r="AA1232">
        <v>2</v>
      </c>
      <c r="AB1232" t="s">
        <v>73</v>
      </c>
      <c r="AC1232">
        <v>6</v>
      </c>
      <c r="AD1232" t="str" cm="1">
        <f t="array" ref="AD1232">_xlfn.IFS(AC1232&lt;=5,"0-5",AC1232&lt;=10,"5-10",AC1232&lt;=40,"10-40")</f>
        <v>5-10</v>
      </c>
      <c r="AE1232">
        <v>2</v>
      </c>
      <c r="AF1232">
        <v>1</v>
      </c>
      <c r="AG1232">
        <v>2</v>
      </c>
      <c r="AH1232">
        <v>1231</v>
      </c>
    </row>
    <row r="1233" spans="1:34" x14ac:dyDescent="0.3">
      <c r="A1233">
        <v>46</v>
      </c>
      <c r="B1233" t="str" cm="1">
        <f t="array" ref="B1233">_xlfn.IFS(A1233&lt;=25,"18-25",A1233&lt;=35,"26-35",A1233&lt;=45,"36-45",A1233&lt;=55,"46-55",A1233&gt;55,"55+")</f>
        <v>46-55</v>
      </c>
      <c r="C1233">
        <v>0</v>
      </c>
      <c r="D1233" t="s">
        <v>32</v>
      </c>
      <c r="E1233">
        <v>717</v>
      </c>
      <c r="F1233" t="s">
        <v>48</v>
      </c>
      <c r="G1233">
        <v>13</v>
      </c>
      <c r="H1233" t="s">
        <v>58</v>
      </c>
      <c r="I1233" t="s">
        <v>35</v>
      </c>
      <c r="J1233" t="s">
        <v>38</v>
      </c>
      <c r="K1233" t="s">
        <v>50</v>
      </c>
      <c r="L1233">
        <v>34</v>
      </c>
      <c r="M1233" t="s">
        <v>38</v>
      </c>
      <c r="N1233" t="s">
        <v>39</v>
      </c>
      <c r="O1233" t="s">
        <v>65</v>
      </c>
      <c r="P1233" t="s">
        <v>36</v>
      </c>
      <c r="Q1233" t="s">
        <v>42</v>
      </c>
      <c r="R1233">
        <v>5562</v>
      </c>
      <c r="S1233">
        <v>9697</v>
      </c>
      <c r="T1233">
        <v>6</v>
      </c>
      <c r="U1233" t="s">
        <v>46</v>
      </c>
      <c r="V1233">
        <v>14</v>
      </c>
      <c r="W1233" t="s">
        <v>43</v>
      </c>
      <c r="X1233" t="s">
        <v>41</v>
      </c>
      <c r="Y1233">
        <v>0</v>
      </c>
      <c r="Z1233">
        <v>19</v>
      </c>
      <c r="AA1233">
        <v>3</v>
      </c>
      <c r="AB1233" t="s">
        <v>54</v>
      </c>
      <c r="AC1233">
        <v>10</v>
      </c>
      <c r="AD1233" t="str" cm="1">
        <f t="array" ref="AD1233">_xlfn.IFS(AC1233&lt;=5,"0-5",AC1233&lt;=10,"5-10",AC1233&lt;=40,"10-40")</f>
        <v>5-10</v>
      </c>
      <c r="AE1233">
        <v>7</v>
      </c>
      <c r="AF1233">
        <v>0</v>
      </c>
      <c r="AG1233">
        <v>9</v>
      </c>
      <c r="AH1233">
        <v>1232</v>
      </c>
    </row>
    <row r="1234" spans="1:34" x14ac:dyDescent="0.3">
      <c r="A1234">
        <v>35</v>
      </c>
      <c r="B1234" t="str" cm="1">
        <f t="array" ref="B1234">_xlfn.IFS(A1234&lt;=25,"18-25",A1234&lt;=35,"26-35",A1234&lt;=45,"36-45",A1234&lt;=55,"46-55",A1234&gt;55,"55+")</f>
        <v>26-35</v>
      </c>
      <c r="C1234">
        <v>0</v>
      </c>
      <c r="D1234" t="s">
        <v>32</v>
      </c>
      <c r="E1234">
        <v>1370</v>
      </c>
      <c r="F1234" t="s">
        <v>48</v>
      </c>
      <c r="G1234">
        <v>27</v>
      </c>
      <c r="H1234" t="s">
        <v>58</v>
      </c>
      <c r="I1234" t="s">
        <v>35</v>
      </c>
      <c r="J1234" t="s">
        <v>41</v>
      </c>
      <c r="K1234" t="s">
        <v>50</v>
      </c>
      <c r="L1234">
        <v>49</v>
      </c>
      <c r="M1234" t="s">
        <v>38</v>
      </c>
      <c r="N1234" t="s">
        <v>39</v>
      </c>
      <c r="O1234" t="s">
        <v>64</v>
      </c>
      <c r="P1234" t="s">
        <v>38</v>
      </c>
      <c r="Q1234" t="s">
        <v>52</v>
      </c>
      <c r="R1234">
        <v>6883</v>
      </c>
      <c r="S1234">
        <v>5151</v>
      </c>
      <c r="T1234">
        <v>2</v>
      </c>
      <c r="U1234" t="s">
        <v>46</v>
      </c>
      <c r="V1234">
        <v>16</v>
      </c>
      <c r="W1234" t="s">
        <v>43</v>
      </c>
      <c r="X1234" t="s">
        <v>36</v>
      </c>
      <c r="Y1234">
        <v>1</v>
      </c>
      <c r="Z1234">
        <v>17</v>
      </c>
      <c r="AA1234">
        <v>3</v>
      </c>
      <c r="AB1234" t="s">
        <v>54</v>
      </c>
      <c r="AC1234">
        <v>7</v>
      </c>
      <c r="AD1234" t="str" cm="1">
        <f t="array" ref="AD1234">_xlfn.IFS(AC1234&lt;=5,"0-5",AC1234&lt;=10,"5-10",AC1234&lt;=40,"10-40")</f>
        <v>5-10</v>
      </c>
      <c r="AE1234">
        <v>7</v>
      </c>
      <c r="AF1234">
        <v>0</v>
      </c>
      <c r="AG1234">
        <v>7</v>
      </c>
      <c r="AH1234">
        <v>1233</v>
      </c>
    </row>
    <row r="1235" spans="1:34" x14ac:dyDescent="0.3">
      <c r="A1235">
        <v>30</v>
      </c>
      <c r="B1235" t="str" cm="1">
        <f t="array" ref="B1235">_xlfn.IFS(A1235&lt;=25,"18-25",A1235&lt;=35,"26-35",A1235&lt;=45,"36-45",A1235&lt;=55,"46-55",A1235&gt;55,"55+")</f>
        <v>26-35</v>
      </c>
      <c r="C1235">
        <v>0</v>
      </c>
      <c r="D1235" t="s">
        <v>32</v>
      </c>
      <c r="E1235">
        <v>793</v>
      </c>
      <c r="F1235" t="s">
        <v>48</v>
      </c>
      <c r="G1235">
        <v>16</v>
      </c>
      <c r="H1235" t="s">
        <v>49</v>
      </c>
      <c r="I1235" t="s">
        <v>35</v>
      </c>
      <c r="J1235" t="s">
        <v>36</v>
      </c>
      <c r="K1235" t="s">
        <v>50</v>
      </c>
      <c r="L1235">
        <v>33</v>
      </c>
      <c r="M1235" t="s">
        <v>38</v>
      </c>
      <c r="N1235" t="s">
        <v>56</v>
      </c>
      <c r="O1235" t="s">
        <v>51</v>
      </c>
      <c r="P1235" t="s">
        <v>41</v>
      </c>
      <c r="Q1235" t="s">
        <v>52</v>
      </c>
      <c r="R1235">
        <v>2862</v>
      </c>
      <c r="S1235">
        <v>3811</v>
      </c>
      <c r="T1235">
        <v>1</v>
      </c>
      <c r="U1235" t="s">
        <v>46</v>
      </c>
      <c r="V1235">
        <v>12</v>
      </c>
      <c r="W1235" t="s">
        <v>43</v>
      </c>
      <c r="X1235" t="s">
        <v>36</v>
      </c>
      <c r="Y1235">
        <v>1</v>
      </c>
      <c r="Z1235">
        <v>10</v>
      </c>
      <c r="AA1235">
        <v>2</v>
      </c>
      <c r="AB1235" t="s">
        <v>60</v>
      </c>
      <c r="AC1235">
        <v>10</v>
      </c>
      <c r="AD1235" t="str" cm="1">
        <f t="array" ref="AD1235">_xlfn.IFS(AC1235&lt;=5,"0-5",AC1235&lt;=10,"5-10",AC1235&lt;=40,"10-40")</f>
        <v>5-10</v>
      </c>
      <c r="AE1235">
        <v>0</v>
      </c>
      <c r="AF1235">
        <v>0</v>
      </c>
      <c r="AG1235">
        <v>8</v>
      </c>
      <c r="AH1235">
        <v>1234</v>
      </c>
    </row>
    <row r="1236" spans="1:34" x14ac:dyDescent="0.3">
      <c r="A1236">
        <v>47</v>
      </c>
      <c r="B1236" t="str" cm="1">
        <f t="array" ref="B1236">_xlfn.IFS(A1236&lt;=25,"18-25",A1236&lt;=35,"26-35",A1236&lt;=45,"36-45",A1236&lt;=55,"46-55",A1236&gt;55,"55+")</f>
        <v>46-55</v>
      </c>
      <c r="C1236">
        <v>0</v>
      </c>
      <c r="D1236" t="s">
        <v>66</v>
      </c>
      <c r="E1236">
        <v>543</v>
      </c>
      <c r="F1236" t="s">
        <v>33</v>
      </c>
      <c r="G1236">
        <v>2</v>
      </c>
      <c r="H1236" t="s">
        <v>58</v>
      </c>
      <c r="I1236" t="s">
        <v>72</v>
      </c>
      <c r="J1236" t="s">
        <v>38</v>
      </c>
      <c r="K1236" t="s">
        <v>50</v>
      </c>
      <c r="L1236">
        <v>87</v>
      </c>
      <c r="M1236" t="s">
        <v>38</v>
      </c>
      <c r="N1236" t="s">
        <v>39</v>
      </c>
      <c r="O1236" t="s">
        <v>40</v>
      </c>
      <c r="P1236" t="s">
        <v>36</v>
      </c>
      <c r="Q1236" t="s">
        <v>52</v>
      </c>
      <c r="R1236">
        <v>4978</v>
      </c>
      <c r="S1236">
        <v>3536</v>
      </c>
      <c r="T1236">
        <v>7</v>
      </c>
      <c r="U1236" t="s">
        <v>46</v>
      </c>
      <c r="V1236">
        <v>11</v>
      </c>
      <c r="W1236" t="s">
        <v>43</v>
      </c>
      <c r="X1236" t="s">
        <v>41</v>
      </c>
      <c r="Y1236">
        <v>1</v>
      </c>
      <c r="Z1236">
        <v>4</v>
      </c>
      <c r="AA1236">
        <v>3</v>
      </c>
      <c r="AB1236" t="s">
        <v>45</v>
      </c>
      <c r="AC1236">
        <v>1</v>
      </c>
      <c r="AD1236" t="str" cm="1">
        <f t="array" ref="AD1236">_xlfn.IFS(AC1236&lt;=5,"0-5",AC1236&lt;=10,"5-10",AC1236&lt;=40,"10-40")</f>
        <v>0-5</v>
      </c>
      <c r="AE1236">
        <v>0</v>
      </c>
      <c r="AF1236">
        <v>0</v>
      </c>
      <c r="AG1236">
        <v>0</v>
      </c>
      <c r="AH1236">
        <v>1235</v>
      </c>
    </row>
    <row r="1237" spans="1:34" x14ac:dyDescent="0.3">
      <c r="A1237">
        <v>46</v>
      </c>
      <c r="B1237" t="str" cm="1">
        <f t="array" ref="B1237">_xlfn.IFS(A1237&lt;=25,"18-25",A1237&lt;=35,"26-35",A1237&lt;=45,"36-45",A1237&lt;=55,"46-55",A1237&gt;55,"55+")</f>
        <v>46-55</v>
      </c>
      <c r="C1237">
        <v>0</v>
      </c>
      <c r="D1237" t="s">
        <v>32</v>
      </c>
      <c r="E1237">
        <v>1277</v>
      </c>
      <c r="F1237" t="s">
        <v>33</v>
      </c>
      <c r="G1237">
        <v>2</v>
      </c>
      <c r="H1237" t="s">
        <v>61</v>
      </c>
      <c r="I1237" t="s">
        <v>35</v>
      </c>
      <c r="J1237" t="s">
        <v>38</v>
      </c>
      <c r="K1237" t="s">
        <v>50</v>
      </c>
      <c r="L1237">
        <v>74</v>
      </c>
      <c r="M1237" t="s">
        <v>38</v>
      </c>
      <c r="N1237" t="s">
        <v>63</v>
      </c>
      <c r="O1237" t="s">
        <v>40</v>
      </c>
      <c r="P1237" t="s">
        <v>41</v>
      </c>
      <c r="Q1237" t="s">
        <v>62</v>
      </c>
      <c r="R1237">
        <v>10368</v>
      </c>
      <c r="S1237">
        <v>5596</v>
      </c>
      <c r="T1237">
        <v>4</v>
      </c>
      <c r="U1237" t="s">
        <v>31</v>
      </c>
      <c r="V1237">
        <v>12</v>
      </c>
      <c r="W1237" t="s">
        <v>43</v>
      </c>
      <c r="X1237" t="s">
        <v>36</v>
      </c>
      <c r="Y1237">
        <v>1</v>
      </c>
      <c r="Z1237">
        <v>13</v>
      </c>
      <c r="AA1237">
        <v>5</v>
      </c>
      <c r="AB1237" t="s">
        <v>60</v>
      </c>
      <c r="AC1237">
        <v>10</v>
      </c>
      <c r="AD1237" t="str" cm="1">
        <f t="array" ref="AD1237">_xlfn.IFS(AC1237&lt;=5,"0-5",AC1237&lt;=10,"5-10",AC1237&lt;=40,"10-40")</f>
        <v>5-10</v>
      </c>
      <c r="AE1237">
        <v>6</v>
      </c>
      <c r="AF1237">
        <v>0</v>
      </c>
      <c r="AG1237">
        <v>3</v>
      </c>
      <c r="AH1237">
        <v>1236</v>
      </c>
    </row>
    <row r="1238" spans="1:34" x14ac:dyDescent="0.3">
      <c r="A1238">
        <v>36</v>
      </c>
      <c r="B1238" t="str" cm="1">
        <f t="array" ref="B1238">_xlfn.IFS(A1238&lt;=25,"18-25",A1238&lt;=35,"26-35",A1238&lt;=45,"36-45",A1238&lt;=55,"46-55",A1238&gt;55,"55+")</f>
        <v>36-45</v>
      </c>
      <c r="C1238">
        <v>1</v>
      </c>
      <c r="D1238" t="s">
        <v>32</v>
      </c>
      <c r="E1238">
        <v>1456</v>
      </c>
      <c r="F1238" t="s">
        <v>33</v>
      </c>
      <c r="G1238">
        <v>13</v>
      </c>
      <c r="H1238" t="s">
        <v>75</v>
      </c>
      <c r="I1238" t="s">
        <v>72</v>
      </c>
      <c r="J1238" t="s">
        <v>36</v>
      </c>
      <c r="K1238" t="s">
        <v>50</v>
      </c>
      <c r="L1238">
        <v>96</v>
      </c>
      <c r="M1238" t="s">
        <v>36</v>
      </c>
      <c r="N1238" t="s">
        <v>39</v>
      </c>
      <c r="O1238" t="s">
        <v>40</v>
      </c>
      <c r="P1238" t="s">
        <v>44</v>
      </c>
      <c r="Q1238" t="s">
        <v>62</v>
      </c>
      <c r="R1238">
        <v>6134</v>
      </c>
      <c r="S1238">
        <v>8658</v>
      </c>
      <c r="T1238">
        <v>5</v>
      </c>
      <c r="U1238" t="s">
        <v>31</v>
      </c>
      <c r="V1238">
        <v>13</v>
      </c>
      <c r="W1238" t="s">
        <v>43</v>
      </c>
      <c r="X1238" t="s">
        <v>36</v>
      </c>
      <c r="Y1238">
        <v>3</v>
      </c>
      <c r="Z1238">
        <v>16</v>
      </c>
      <c r="AA1238">
        <v>3</v>
      </c>
      <c r="AB1238" t="s">
        <v>54</v>
      </c>
      <c r="AC1238">
        <v>2</v>
      </c>
      <c r="AD1238" t="str" cm="1">
        <f t="array" ref="AD1238">_xlfn.IFS(AC1238&lt;=5,"0-5",AC1238&lt;=10,"5-10",AC1238&lt;=40,"10-40")</f>
        <v>0-5</v>
      </c>
      <c r="AE1238">
        <v>2</v>
      </c>
      <c r="AF1238">
        <v>2</v>
      </c>
      <c r="AG1238">
        <v>2</v>
      </c>
      <c r="AH1238">
        <v>1237</v>
      </c>
    </row>
    <row r="1239" spans="1:34" x14ac:dyDescent="0.3">
      <c r="A1239">
        <v>32</v>
      </c>
      <c r="B1239" t="str" cm="1">
        <f t="array" ref="B1239">_xlfn.IFS(A1239&lt;=25,"18-25",A1239&lt;=35,"26-35",A1239&lt;=45,"36-45",A1239&lt;=55,"46-55",A1239&gt;55,"55+")</f>
        <v>26-35</v>
      </c>
      <c r="C1239">
        <v>1</v>
      </c>
      <c r="D1239" t="s">
        <v>32</v>
      </c>
      <c r="E1239">
        <v>964</v>
      </c>
      <c r="F1239" t="s">
        <v>33</v>
      </c>
      <c r="G1239">
        <v>1</v>
      </c>
      <c r="H1239" t="s">
        <v>34</v>
      </c>
      <c r="I1239" t="s">
        <v>35</v>
      </c>
      <c r="J1239" t="s">
        <v>44</v>
      </c>
      <c r="K1239" t="s">
        <v>50</v>
      </c>
      <c r="L1239">
        <v>34</v>
      </c>
      <c r="M1239" t="s">
        <v>44</v>
      </c>
      <c r="N1239" t="s">
        <v>39</v>
      </c>
      <c r="O1239" t="s">
        <v>40</v>
      </c>
      <c r="P1239" t="s">
        <v>36</v>
      </c>
      <c r="Q1239" t="s">
        <v>42</v>
      </c>
      <c r="R1239">
        <v>6735</v>
      </c>
      <c r="S1239">
        <v>12147</v>
      </c>
      <c r="T1239">
        <v>6</v>
      </c>
      <c r="U1239" t="s">
        <v>46</v>
      </c>
      <c r="V1239">
        <v>15</v>
      </c>
      <c r="W1239" t="s">
        <v>43</v>
      </c>
      <c r="X1239" t="s">
        <v>36</v>
      </c>
      <c r="Y1239">
        <v>0</v>
      </c>
      <c r="Z1239">
        <v>10</v>
      </c>
      <c r="AA1239">
        <v>2</v>
      </c>
      <c r="AB1239" t="s">
        <v>54</v>
      </c>
      <c r="AC1239">
        <v>0</v>
      </c>
      <c r="AD1239" t="str" cm="1">
        <f t="array" ref="AD1239">_xlfn.IFS(AC1239&lt;=5,"0-5",AC1239&lt;=10,"5-10",AC1239&lt;=40,"10-40")</f>
        <v>0-5</v>
      </c>
      <c r="AE1239">
        <v>0</v>
      </c>
      <c r="AF1239">
        <v>0</v>
      </c>
      <c r="AG1239">
        <v>0</v>
      </c>
      <c r="AH1239">
        <v>1238</v>
      </c>
    </row>
    <row r="1240" spans="1:34" x14ac:dyDescent="0.3">
      <c r="A1240">
        <v>23</v>
      </c>
      <c r="B1240" t="str" cm="1">
        <f t="array" ref="B1240">_xlfn.IFS(A1240&lt;=25,"18-25",A1240&lt;=35,"26-35",A1240&lt;=45,"36-45",A1240&lt;=55,"46-55",A1240&gt;55,"55+")</f>
        <v>18-25</v>
      </c>
      <c r="C1240">
        <v>0</v>
      </c>
      <c r="D1240" t="s">
        <v>32</v>
      </c>
      <c r="E1240">
        <v>160</v>
      </c>
      <c r="F1240" t="s">
        <v>48</v>
      </c>
      <c r="G1240">
        <v>4</v>
      </c>
      <c r="H1240" t="s">
        <v>49</v>
      </c>
      <c r="I1240" t="s">
        <v>59</v>
      </c>
      <c r="J1240" t="s">
        <v>38</v>
      </c>
      <c r="K1240" t="s">
        <v>37</v>
      </c>
      <c r="L1240">
        <v>51</v>
      </c>
      <c r="M1240" t="s">
        <v>38</v>
      </c>
      <c r="N1240" t="s">
        <v>56</v>
      </c>
      <c r="O1240" t="s">
        <v>57</v>
      </c>
      <c r="P1240" t="s">
        <v>36</v>
      </c>
      <c r="Q1240" t="s">
        <v>42</v>
      </c>
      <c r="R1240">
        <v>3295</v>
      </c>
      <c r="S1240">
        <v>12862</v>
      </c>
      <c r="T1240">
        <v>1</v>
      </c>
      <c r="U1240" t="s">
        <v>46</v>
      </c>
      <c r="V1240">
        <v>13</v>
      </c>
      <c r="W1240" t="s">
        <v>43</v>
      </c>
      <c r="X1240" t="s">
        <v>38</v>
      </c>
      <c r="Y1240">
        <v>0</v>
      </c>
      <c r="Z1240">
        <v>3</v>
      </c>
      <c r="AA1240">
        <v>3</v>
      </c>
      <c r="AB1240" t="s">
        <v>45</v>
      </c>
      <c r="AC1240">
        <v>3</v>
      </c>
      <c r="AD1240" t="str" cm="1">
        <f t="array" ref="AD1240">_xlfn.IFS(AC1240&lt;=5,"0-5",AC1240&lt;=10,"5-10",AC1240&lt;=40,"10-40")</f>
        <v>0-5</v>
      </c>
      <c r="AE1240">
        <v>2</v>
      </c>
      <c r="AF1240">
        <v>1</v>
      </c>
      <c r="AG1240">
        <v>2</v>
      </c>
      <c r="AH1240">
        <v>1239</v>
      </c>
    </row>
    <row r="1241" spans="1:34" x14ac:dyDescent="0.3">
      <c r="A1241">
        <v>31</v>
      </c>
      <c r="B1241" t="str" cm="1">
        <f t="array" ref="B1241">_xlfn.IFS(A1241&lt;=25,"18-25",A1241&lt;=35,"26-35",A1241&lt;=45,"36-45",A1241&lt;=55,"46-55",A1241&gt;55,"55+")</f>
        <v>26-35</v>
      </c>
      <c r="C1241">
        <v>0</v>
      </c>
      <c r="D1241" t="s">
        <v>47</v>
      </c>
      <c r="E1241">
        <v>163</v>
      </c>
      <c r="F1241" t="s">
        <v>48</v>
      </c>
      <c r="G1241">
        <v>24</v>
      </c>
      <c r="H1241" t="s">
        <v>49</v>
      </c>
      <c r="I1241" t="s">
        <v>74</v>
      </c>
      <c r="J1241" t="s">
        <v>41</v>
      </c>
      <c r="K1241" t="s">
        <v>37</v>
      </c>
      <c r="L1241">
        <v>30</v>
      </c>
      <c r="M1241" t="s">
        <v>38</v>
      </c>
      <c r="N1241" t="s">
        <v>39</v>
      </c>
      <c r="O1241" t="s">
        <v>64</v>
      </c>
      <c r="P1241" t="s">
        <v>41</v>
      </c>
      <c r="Q1241" t="s">
        <v>42</v>
      </c>
      <c r="R1241">
        <v>5238</v>
      </c>
      <c r="S1241">
        <v>6670</v>
      </c>
      <c r="T1241">
        <v>2</v>
      </c>
      <c r="U1241" t="s">
        <v>46</v>
      </c>
      <c r="V1241">
        <v>20</v>
      </c>
      <c r="W1241" t="s">
        <v>53</v>
      </c>
      <c r="X1241" t="s">
        <v>41</v>
      </c>
      <c r="Y1241">
        <v>0</v>
      </c>
      <c r="Z1241">
        <v>9</v>
      </c>
      <c r="AA1241">
        <v>3</v>
      </c>
      <c r="AB1241" t="s">
        <v>60</v>
      </c>
      <c r="AC1241">
        <v>5</v>
      </c>
      <c r="AD1241" t="str" cm="1">
        <f t="array" ref="AD1241">_xlfn.IFS(AC1241&lt;=5,"0-5",AC1241&lt;=10,"5-10",AC1241&lt;=40,"10-40")</f>
        <v>0-5</v>
      </c>
      <c r="AE1241">
        <v>4</v>
      </c>
      <c r="AF1241">
        <v>1</v>
      </c>
      <c r="AG1241">
        <v>4</v>
      </c>
      <c r="AH1241">
        <v>1240</v>
      </c>
    </row>
    <row r="1242" spans="1:34" x14ac:dyDescent="0.3">
      <c r="A1242">
        <v>39</v>
      </c>
      <c r="B1242" t="str" cm="1">
        <f t="array" ref="B1242">_xlfn.IFS(A1242&lt;=25,"18-25",A1242&lt;=35,"26-35",A1242&lt;=45,"36-45",A1242&lt;=55,"46-55",A1242&gt;55,"55+")</f>
        <v>36-45</v>
      </c>
      <c r="C1242">
        <v>0</v>
      </c>
      <c r="D1242" t="s">
        <v>66</v>
      </c>
      <c r="E1242">
        <v>792</v>
      </c>
      <c r="F1242" t="s">
        <v>48</v>
      </c>
      <c r="G1242">
        <v>1</v>
      </c>
      <c r="H1242" t="s">
        <v>61</v>
      </c>
      <c r="I1242" t="s">
        <v>35</v>
      </c>
      <c r="J1242" t="s">
        <v>41</v>
      </c>
      <c r="K1242" t="s">
        <v>50</v>
      </c>
      <c r="L1242">
        <v>77</v>
      </c>
      <c r="M1242" t="s">
        <v>38</v>
      </c>
      <c r="N1242" t="s">
        <v>39</v>
      </c>
      <c r="O1242" t="s">
        <v>57</v>
      </c>
      <c r="P1242" t="s">
        <v>41</v>
      </c>
      <c r="Q1242" t="s">
        <v>52</v>
      </c>
      <c r="R1242">
        <v>6472</v>
      </c>
      <c r="S1242">
        <v>8989</v>
      </c>
      <c r="T1242">
        <v>1</v>
      </c>
      <c r="U1242" t="s">
        <v>31</v>
      </c>
      <c r="V1242">
        <v>15</v>
      </c>
      <c r="W1242" t="s">
        <v>43</v>
      </c>
      <c r="X1242" t="s">
        <v>41</v>
      </c>
      <c r="Y1242">
        <v>1</v>
      </c>
      <c r="Z1242">
        <v>9</v>
      </c>
      <c r="AA1242">
        <v>2</v>
      </c>
      <c r="AB1242" t="s">
        <v>54</v>
      </c>
      <c r="AC1242">
        <v>9</v>
      </c>
      <c r="AD1242" t="str" cm="1">
        <f t="array" ref="AD1242">_xlfn.IFS(AC1242&lt;=5,"0-5",AC1242&lt;=10,"5-10",AC1242&lt;=40,"10-40")</f>
        <v>5-10</v>
      </c>
      <c r="AE1242">
        <v>8</v>
      </c>
      <c r="AF1242">
        <v>5</v>
      </c>
      <c r="AG1242">
        <v>8</v>
      </c>
      <c r="AH1242">
        <v>1241</v>
      </c>
    </row>
    <row r="1243" spans="1:34" x14ac:dyDescent="0.3">
      <c r="A1243">
        <v>32</v>
      </c>
      <c r="B1243" t="str" cm="1">
        <f t="array" ref="B1243">_xlfn.IFS(A1243&lt;=25,"18-25",A1243&lt;=35,"26-35",A1243&lt;=45,"36-45",A1243&lt;=55,"46-55",A1243&gt;55,"55+")</f>
        <v>26-35</v>
      </c>
      <c r="C1243">
        <v>0</v>
      </c>
      <c r="D1243" t="s">
        <v>32</v>
      </c>
      <c r="E1243">
        <v>371</v>
      </c>
      <c r="F1243" t="s">
        <v>33</v>
      </c>
      <c r="G1243">
        <v>19</v>
      </c>
      <c r="H1243" t="s">
        <v>61</v>
      </c>
      <c r="I1243" t="s">
        <v>35</v>
      </c>
      <c r="J1243" t="s">
        <v>41</v>
      </c>
      <c r="K1243" t="s">
        <v>50</v>
      </c>
      <c r="L1243">
        <v>80</v>
      </c>
      <c r="M1243" t="s">
        <v>44</v>
      </c>
      <c r="N1243" t="s">
        <v>63</v>
      </c>
      <c r="O1243" t="s">
        <v>40</v>
      </c>
      <c r="P1243" t="s">
        <v>38</v>
      </c>
      <c r="Q1243" t="s">
        <v>52</v>
      </c>
      <c r="R1243">
        <v>9610</v>
      </c>
      <c r="S1243">
        <v>3840</v>
      </c>
      <c r="T1243">
        <v>3</v>
      </c>
      <c r="U1243" t="s">
        <v>46</v>
      </c>
      <c r="V1243">
        <v>13</v>
      </c>
      <c r="W1243" t="s">
        <v>43</v>
      </c>
      <c r="X1243" t="s">
        <v>38</v>
      </c>
      <c r="Y1243">
        <v>1</v>
      </c>
      <c r="Z1243">
        <v>10</v>
      </c>
      <c r="AA1243">
        <v>2</v>
      </c>
      <c r="AB1243" t="s">
        <v>45</v>
      </c>
      <c r="AC1243">
        <v>4</v>
      </c>
      <c r="AD1243" t="str" cm="1">
        <f t="array" ref="AD1243">_xlfn.IFS(AC1243&lt;=5,"0-5",AC1243&lt;=10,"5-10",AC1243&lt;=40,"10-40")</f>
        <v>0-5</v>
      </c>
      <c r="AE1243">
        <v>3</v>
      </c>
      <c r="AF1243">
        <v>0</v>
      </c>
      <c r="AG1243">
        <v>2</v>
      </c>
      <c r="AH1243">
        <v>1242</v>
      </c>
    </row>
    <row r="1244" spans="1:34" x14ac:dyDescent="0.3">
      <c r="A1244">
        <v>40</v>
      </c>
      <c r="B1244" t="str" cm="1">
        <f t="array" ref="B1244">_xlfn.IFS(A1244&lt;=25,"18-25",A1244&lt;=35,"26-35",A1244&lt;=45,"36-45",A1244&lt;=55,"46-55",A1244&gt;55,"55+")</f>
        <v>36-45</v>
      </c>
      <c r="C1244">
        <v>0</v>
      </c>
      <c r="D1244" t="s">
        <v>32</v>
      </c>
      <c r="E1244">
        <v>611</v>
      </c>
      <c r="F1244" t="s">
        <v>33</v>
      </c>
      <c r="G1244">
        <v>7</v>
      </c>
      <c r="H1244" t="s">
        <v>58</v>
      </c>
      <c r="I1244" t="s">
        <v>59</v>
      </c>
      <c r="J1244" t="s">
        <v>36</v>
      </c>
      <c r="K1244" t="s">
        <v>50</v>
      </c>
      <c r="L1244">
        <v>88</v>
      </c>
      <c r="M1244" t="s">
        <v>38</v>
      </c>
      <c r="N1244" t="s">
        <v>71</v>
      </c>
      <c r="O1244" t="s">
        <v>68</v>
      </c>
      <c r="P1244" t="s">
        <v>36</v>
      </c>
      <c r="Q1244" t="s">
        <v>42</v>
      </c>
      <c r="R1244">
        <v>19833</v>
      </c>
      <c r="S1244">
        <v>4349</v>
      </c>
      <c r="T1244">
        <v>1</v>
      </c>
      <c r="U1244" t="s">
        <v>46</v>
      </c>
      <c r="V1244">
        <v>14</v>
      </c>
      <c r="W1244" t="s">
        <v>43</v>
      </c>
      <c r="X1244" t="s">
        <v>36</v>
      </c>
      <c r="Y1244">
        <v>0</v>
      </c>
      <c r="Z1244">
        <v>21</v>
      </c>
      <c r="AA1244">
        <v>3</v>
      </c>
      <c r="AB1244" t="s">
        <v>60</v>
      </c>
      <c r="AC1244">
        <v>21</v>
      </c>
      <c r="AD1244" t="str" cm="1">
        <f t="array" ref="AD1244">_xlfn.IFS(AC1244&lt;=5,"0-5",AC1244&lt;=10,"5-10",AC1244&lt;=40,"10-40")</f>
        <v>10-40</v>
      </c>
      <c r="AE1244">
        <v>8</v>
      </c>
      <c r="AF1244">
        <v>12</v>
      </c>
      <c r="AG1244">
        <v>8</v>
      </c>
      <c r="AH1244">
        <v>1243</v>
      </c>
    </row>
    <row r="1245" spans="1:34" x14ac:dyDescent="0.3">
      <c r="A1245">
        <v>45</v>
      </c>
      <c r="B1245" t="str" cm="1">
        <f t="array" ref="B1245">_xlfn.IFS(A1245&lt;=25,"18-25",A1245&lt;=35,"26-35",A1245&lt;=45,"36-45",A1245&lt;=55,"46-55",A1245&gt;55,"55+")</f>
        <v>36-45</v>
      </c>
      <c r="C1245">
        <v>0</v>
      </c>
      <c r="D1245" t="s">
        <v>32</v>
      </c>
      <c r="E1245">
        <v>176</v>
      </c>
      <c r="F1245" t="s">
        <v>76</v>
      </c>
      <c r="G1245">
        <v>4</v>
      </c>
      <c r="H1245" t="s">
        <v>61</v>
      </c>
      <c r="I1245" t="s">
        <v>35</v>
      </c>
      <c r="J1245" t="s">
        <v>38</v>
      </c>
      <c r="K1245" t="s">
        <v>37</v>
      </c>
      <c r="L1245">
        <v>56</v>
      </c>
      <c r="M1245" t="s">
        <v>44</v>
      </c>
      <c r="N1245" t="s">
        <v>63</v>
      </c>
      <c r="O1245" t="s">
        <v>76</v>
      </c>
      <c r="P1245" t="s">
        <v>38</v>
      </c>
      <c r="Q1245" t="s">
        <v>52</v>
      </c>
      <c r="R1245">
        <v>9756</v>
      </c>
      <c r="S1245">
        <v>6595</v>
      </c>
      <c r="T1245">
        <v>4</v>
      </c>
      <c r="U1245" t="s">
        <v>46</v>
      </c>
      <c r="V1245">
        <v>21</v>
      </c>
      <c r="W1245" t="s">
        <v>53</v>
      </c>
      <c r="X1245" t="s">
        <v>38</v>
      </c>
      <c r="Y1245">
        <v>2</v>
      </c>
      <c r="Z1245">
        <v>9</v>
      </c>
      <c r="AA1245">
        <v>2</v>
      </c>
      <c r="AB1245" t="s">
        <v>73</v>
      </c>
      <c r="AC1245">
        <v>5</v>
      </c>
      <c r="AD1245" t="str" cm="1">
        <f t="array" ref="AD1245">_xlfn.IFS(AC1245&lt;=5,"0-5",AC1245&lt;=10,"5-10",AC1245&lt;=40,"10-40")</f>
        <v>0-5</v>
      </c>
      <c r="AE1245">
        <v>0</v>
      </c>
      <c r="AF1245">
        <v>0</v>
      </c>
      <c r="AG1245">
        <v>3</v>
      </c>
      <c r="AH1245">
        <v>1244</v>
      </c>
    </row>
    <row r="1246" spans="1:34" x14ac:dyDescent="0.3">
      <c r="A1246">
        <v>30</v>
      </c>
      <c r="B1246" t="str" cm="1">
        <f t="array" ref="B1246">_xlfn.IFS(A1246&lt;=25,"18-25",A1246&lt;=35,"26-35",A1246&lt;=45,"36-45",A1246&lt;=55,"46-55",A1246&gt;55,"55+")</f>
        <v>26-35</v>
      </c>
      <c r="C1246">
        <v>0</v>
      </c>
      <c r="D1246" t="s">
        <v>47</v>
      </c>
      <c r="E1246">
        <v>1312</v>
      </c>
      <c r="F1246" t="s">
        <v>48</v>
      </c>
      <c r="G1246">
        <v>2</v>
      </c>
      <c r="H1246" t="s">
        <v>58</v>
      </c>
      <c r="I1246" t="s">
        <v>74</v>
      </c>
      <c r="J1246" t="s">
        <v>41</v>
      </c>
      <c r="K1246" t="s">
        <v>37</v>
      </c>
      <c r="L1246">
        <v>78</v>
      </c>
      <c r="M1246" t="s">
        <v>36</v>
      </c>
      <c r="N1246" t="s">
        <v>56</v>
      </c>
      <c r="O1246" t="s">
        <v>51</v>
      </c>
      <c r="P1246" t="s">
        <v>44</v>
      </c>
      <c r="Q1246" t="s">
        <v>42</v>
      </c>
      <c r="R1246">
        <v>4968</v>
      </c>
      <c r="S1246">
        <v>26427</v>
      </c>
      <c r="T1246">
        <v>0</v>
      </c>
      <c r="U1246" t="s">
        <v>46</v>
      </c>
      <c r="V1246">
        <v>16</v>
      </c>
      <c r="W1246" t="s">
        <v>43</v>
      </c>
      <c r="X1246" t="s">
        <v>41</v>
      </c>
      <c r="Y1246">
        <v>0</v>
      </c>
      <c r="Z1246">
        <v>10</v>
      </c>
      <c r="AA1246">
        <v>2</v>
      </c>
      <c r="AB1246" t="s">
        <v>54</v>
      </c>
      <c r="AC1246">
        <v>9</v>
      </c>
      <c r="AD1246" t="str" cm="1">
        <f t="array" ref="AD1246">_xlfn.IFS(AC1246&lt;=5,"0-5",AC1246&lt;=10,"5-10",AC1246&lt;=40,"10-40")</f>
        <v>5-10</v>
      </c>
      <c r="AE1246">
        <v>7</v>
      </c>
      <c r="AF1246">
        <v>0</v>
      </c>
      <c r="AG1246">
        <v>7</v>
      </c>
      <c r="AH1246">
        <v>1245</v>
      </c>
    </row>
    <row r="1247" spans="1:34" x14ac:dyDescent="0.3">
      <c r="A1247">
        <v>24</v>
      </c>
      <c r="B1247" t="str" cm="1">
        <f t="array" ref="B1247">_xlfn.IFS(A1247&lt;=25,"18-25",A1247&lt;=35,"26-35",A1247&lt;=45,"36-45",A1247&lt;=55,"46-55",A1247&gt;55,"55+")</f>
        <v>18-25</v>
      </c>
      <c r="C1247">
        <v>0</v>
      </c>
      <c r="D1247" t="s">
        <v>47</v>
      </c>
      <c r="E1247">
        <v>897</v>
      </c>
      <c r="F1247" t="s">
        <v>76</v>
      </c>
      <c r="G1247">
        <v>10</v>
      </c>
      <c r="H1247" t="s">
        <v>61</v>
      </c>
      <c r="I1247" t="s">
        <v>59</v>
      </c>
      <c r="J1247" t="s">
        <v>44</v>
      </c>
      <c r="K1247" t="s">
        <v>50</v>
      </c>
      <c r="L1247">
        <v>59</v>
      </c>
      <c r="M1247" t="s">
        <v>38</v>
      </c>
      <c r="N1247" t="s">
        <v>56</v>
      </c>
      <c r="O1247" t="s">
        <v>76</v>
      </c>
      <c r="P1247" t="s">
        <v>41</v>
      </c>
      <c r="Q1247" t="s">
        <v>52</v>
      </c>
      <c r="R1247">
        <v>2145</v>
      </c>
      <c r="S1247">
        <v>2097</v>
      </c>
      <c r="T1247">
        <v>0</v>
      </c>
      <c r="U1247" t="s">
        <v>46</v>
      </c>
      <c r="V1247">
        <v>14</v>
      </c>
      <c r="W1247" t="s">
        <v>43</v>
      </c>
      <c r="X1247" t="s">
        <v>41</v>
      </c>
      <c r="Y1247">
        <v>1</v>
      </c>
      <c r="Z1247">
        <v>3</v>
      </c>
      <c r="AA1247">
        <v>2</v>
      </c>
      <c r="AB1247" t="s">
        <v>54</v>
      </c>
      <c r="AC1247">
        <v>2</v>
      </c>
      <c r="AD1247" t="str" cm="1">
        <f t="array" ref="AD1247">_xlfn.IFS(AC1247&lt;=5,"0-5",AC1247&lt;=10,"5-10",AC1247&lt;=40,"10-40")</f>
        <v>0-5</v>
      </c>
      <c r="AE1247">
        <v>2</v>
      </c>
      <c r="AF1247">
        <v>2</v>
      </c>
      <c r="AG1247">
        <v>1</v>
      </c>
      <c r="AH1247">
        <v>1246</v>
      </c>
    </row>
    <row r="1248" spans="1:34" x14ac:dyDescent="0.3">
      <c r="A1248">
        <v>30</v>
      </c>
      <c r="B1248" t="str" cm="1">
        <f t="array" ref="B1248">_xlfn.IFS(A1248&lt;=25,"18-25",A1248&lt;=35,"26-35",A1248&lt;=45,"36-45",A1248&lt;=55,"46-55",A1248&gt;55,"55+")</f>
        <v>26-35</v>
      </c>
      <c r="C1248">
        <v>1</v>
      </c>
      <c r="D1248" t="s">
        <v>47</v>
      </c>
      <c r="E1248">
        <v>600</v>
      </c>
      <c r="F1248" t="s">
        <v>76</v>
      </c>
      <c r="G1248">
        <v>8</v>
      </c>
      <c r="H1248" t="s">
        <v>61</v>
      </c>
      <c r="I1248" t="s">
        <v>76</v>
      </c>
      <c r="J1248" t="s">
        <v>38</v>
      </c>
      <c r="K1248" t="s">
        <v>37</v>
      </c>
      <c r="L1248">
        <v>66</v>
      </c>
      <c r="M1248" t="s">
        <v>36</v>
      </c>
      <c r="N1248" t="s">
        <v>56</v>
      </c>
      <c r="O1248" t="s">
        <v>76</v>
      </c>
      <c r="P1248" t="s">
        <v>41</v>
      </c>
      <c r="Q1248" t="s">
        <v>62</v>
      </c>
      <c r="R1248">
        <v>2180</v>
      </c>
      <c r="S1248">
        <v>9732</v>
      </c>
      <c r="T1248">
        <v>6</v>
      </c>
      <c r="U1248" t="s">
        <v>46</v>
      </c>
      <c r="V1248">
        <v>11</v>
      </c>
      <c r="W1248" t="s">
        <v>43</v>
      </c>
      <c r="X1248" t="s">
        <v>38</v>
      </c>
      <c r="Y1248">
        <v>1</v>
      </c>
      <c r="Z1248">
        <v>6</v>
      </c>
      <c r="AA1248">
        <v>0</v>
      </c>
      <c r="AB1248" t="s">
        <v>60</v>
      </c>
      <c r="AC1248">
        <v>4</v>
      </c>
      <c r="AD1248" t="str" cm="1">
        <f t="array" ref="AD1248">_xlfn.IFS(AC1248&lt;=5,"0-5",AC1248&lt;=10,"5-10",AC1248&lt;=40,"10-40")</f>
        <v>0-5</v>
      </c>
      <c r="AE1248">
        <v>2</v>
      </c>
      <c r="AF1248">
        <v>1</v>
      </c>
      <c r="AG1248">
        <v>2</v>
      </c>
      <c r="AH1248">
        <v>1247</v>
      </c>
    </row>
    <row r="1249" spans="1:34" x14ac:dyDescent="0.3">
      <c r="A1249">
        <v>31</v>
      </c>
      <c r="B1249" t="str" cm="1">
        <f t="array" ref="B1249">_xlfn.IFS(A1249&lt;=25,"18-25",A1249&lt;=35,"26-35",A1249&lt;=45,"36-45",A1249&lt;=55,"46-55",A1249&gt;55,"55+")</f>
        <v>26-35</v>
      </c>
      <c r="C1249">
        <v>0</v>
      </c>
      <c r="D1249" t="s">
        <v>32</v>
      </c>
      <c r="E1249">
        <v>1003</v>
      </c>
      <c r="F1249" t="s">
        <v>33</v>
      </c>
      <c r="G1249">
        <v>5</v>
      </c>
      <c r="H1249" t="s">
        <v>61</v>
      </c>
      <c r="I1249" t="s">
        <v>74</v>
      </c>
      <c r="J1249" t="s">
        <v>44</v>
      </c>
      <c r="K1249" t="s">
        <v>50</v>
      </c>
      <c r="L1249">
        <v>51</v>
      </c>
      <c r="M1249" t="s">
        <v>38</v>
      </c>
      <c r="N1249" t="s">
        <v>39</v>
      </c>
      <c r="O1249" t="s">
        <v>40</v>
      </c>
      <c r="P1249" t="s">
        <v>38</v>
      </c>
      <c r="Q1249" t="s">
        <v>52</v>
      </c>
      <c r="R1249">
        <v>8346</v>
      </c>
      <c r="S1249">
        <v>20943</v>
      </c>
      <c r="T1249">
        <v>1</v>
      </c>
      <c r="U1249" t="s">
        <v>46</v>
      </c>
      <c r="V1249">
        <v>19</v>
      </c>
      <c r="W1249" t="s">
        <v>43</v>
      </c>
      <c r="X1249" t="s">
        <v>38</v>
      </c>
      <c r="Y1249">
        <v>1</v>
      </c>
      <c r="Z1249">
        <v>6</v>
      </c>
      <c r="AA1249">
        <v>3</v>
      </c>
      <c r="AB1249" t="s">
        <v>54</v>
      </c>
      <c r="AC1249">
        <v>5</v>
      </c>
      <c r="AD1249" t="str" cm="1">
        <f t="array" ref="AD1249">_xlfn.IFS(AC1249&lt;=5,"0-5",AC1249&lt;=10,"5-10",AC1249&lt;=40,"10-40")</f>
        <v>0-5</v>
      </c>
      <c r="AE1249">
        <v>2</v>
      </c>
      <c r="AF1249">
        <v>0</v>
      </c>
      <c r="AG1249">
        <v>2</v>
      </c>
      <c r="AH1249">
        <v>1248</v>
      </c>
    </row>
    <row r="1250" spans="1:34" x14ac:dyDescent="0.3">
      <c r="A1250">
        <v>27</v>
      </c>
      <c r="B1250" t="str" cm="1">
        <f t="array" ref="B1250">_xlfn.IFS(A1250&lt;=25,"18-25",A1250&lt;=35,"26-35",A1250&lt;=45,"36-45",A1250&lt;=55,"46-55",A1250&gt;55,"55+")</f>
        <v>26-35</v>
      </c>
      <c r="C1250">
        <v>0</v>
      </c>
      <c r="D1250" t="s">
        <v>32</v>
      </c>
      <c r="E1250">
        <v>1054</v>
      </c>
      <c r="F1250" t="s">
        <v>48</v>
      </c>
      <c r="G1250">
        <v>8</v>
      </c>
      <c r="H1250" t="s">
        <v>61</v>
      </c>
      <c r="I1250" t="s">
        <v>59</v>
      </c>
      <c r="J1250" t="s">
        <v>38</v>
      </c>
      <c r="K1250" t="s">
        <v>37</v>
      </c>
      <c r="L1250">
        <v>67</v>
      </c>
      <c r="M1250" t="s">
        <v>38</v>
      </c>
      <c r="N1250" t="s">
        <v>56</v>
      </c>
      <c r="O1250" t="s">
        <v>51</v>
      </c>
      <c r="P1250" t="s">
        <v>41</v>
      </c>
      <c r="Q1250" t="s">
        <v>42</v>
      </c>
      <c r="R1250">
        <v>3445</v>
      </c>
      <c r="S1250">
        <v>6152</v>
      </c>
      <c r="T1250">
        <v>1</v>
      </c>
      <c r="U1250" t="s">
        <v>46</v>
      </c>
      <c r="V1250">
        <v>11</v>
      </c>
      <c r="W1250" t="s">
        <v>43</v>
      </c>
      <c r="X1250" t="s">
        <v>38</v>
      </c>
      <c r="Y1250">
        <v>0</v>
      </c>
      <c r="Z1250">
        <v>6</v>
      </c>
      <c r="AA1250">
        <v>5</v>
      </c>
      <c r="AB1250" t="s">
        <v>60</v>
      </c>
      <c r="AC1250">
        <v>6</v>
      </c>
      <c r="AD1250" t="str" cm="1">
        <f t="array" ref="AD1250">_xlfn.IFS(AC1250&lt;=5,"0-5",AC1250&lt;=10,"5-10",AC1250&lt;=40,"10-40")</f>
        <v>5-10</v>
      </c>
      <c r="AE1250">
        <v>2</v>
      </c>
      <c r="AF1250">
        <v>1</v>
      </c>
      <c r="AG1250">
        <v>4</v>
      </c>
      <c r="AH1250">
        <v>1249</v>
      </c>
    </row>
    <row r="1251" spans="1:34" x14ac:dyDescent="0.3">
      <c r="A1251">
        <v>29</v>
      </c>
      <c r="B1251" t="str" cm="1">
        <f t="array" ref="B1251">_xlfn.IFS(A1251&lt;=25,"18-25",A1251&lt;=35,"26-35",A1251&lt;=45,"36-45",A1251&lt;=55,"46-55",A1251&gt;55,"55+")</f>
        <v>26-35</v>
      </c>
      <c r="C1251">
        <v>1</v>
      </c>
      <c r="D1251" t="s">
        <v>32</v>
      </c>
      <c r="E1251">
        <v>428</v>
      </c>
      <c r="F1251" t="s">
        <v>33</v>
      </c>
      <c r="G1251">
        <v>9</v>
      </c>
      <c r="H1251" t="s">
        <v>61</v>
      </c>
      <c r="I1251" t="s">
        <v>72</v>
      </c>
      <c r="J1251" t="s">
        <v>36</v>
      </c>
      <c r="K1251" t="s">
        <v>37</v>
      </c>
      <c r="L1251">
        <v>52</v>
      </c>
      <c r="M1251" t="s">
        <v>44</v>
      </c>
      <c r="N1251" t="s">
        <v>56</v>
      </c>
      <c r="O1251" t="s">
        <v>69</v>
      </c>
      <c r="P1251" t="s">
        <v>36</v>
      </c>
      <c r="Q1251" t="s">
        <v>42</v>
      </c>
      <c r="R1251">
        <v>2760</v>
      </c>
      <c r="S1251">
        <v>14630</v>
      </c>
      <c r="T1251">
        <v>1</v>
      </c>
      <c r="U1251" t="s">
        <v>46</v>
      </c>
      <c r="V1251">
        <v>13</v>
      </c>
      <c r="W1251" t="s">
        <v>43</v>
      </c>
      <c r="X1251" t="s">
        <v>38</v>
      </c>
      <c r="Y1251">
        <v>0</v>
      </c>
      <c r="Z1251">
        <v>2</v>
      </c>
      <c r="AA1251">
        <v>3</v>
      </c>
      <c r="AB1251" t="s">
        <v>54</v>
      </c>
      <c r="AC1251">
        <v>2</v>
      </c>
      <c r="AD1251" t="str" cm="1">
        <f t="array" ref="AD1251">_xlfn.IFS(AC1251&lt;=5,"0-5",AC1251&lt;=10,"5-10",AC1251&lt;=40,"10-40")</f>
        <v>0-5</v>
      </c>
      <c r="AE1251">
        <v>2</v>
      </c>
      <c r="AF1251">
        <v>2</v>
      </c>
      <c r="AG1251">
        <v>2</v>
      </c>
      <c r="AH1251">
        <v>1250</v>
      </c>
    </row>
    <row r="1252" spans="1:34" x14ac:dyDescent="0.3">
      <c r="A1252">
        <v>29</v>
      </c>
      <c r="B1252" t="str" cm="1">
        <f t="array" ref="B1252">_xlfn.IFS(A1252&lt;=25,"18-25",A1252&lt;=35,"26-35",A1252&lt;=45,"36-45",A1252&lt;=55,"46-55",A1252&gt;55,"55+")</f>
        <v>26-35</v>
      </c>
      <c r="C1252">
        <v>0</v>
      </c>
      <c r="D1252" t="s">
        <v>47</v>
      </c>
      <c r="E1252">
        <v>461</v>
      </c>
      <c r="F1252" t="s">
        <v>48</v>
      </c>
      <c r="G1252">
        <v>1</v>
      </c>
      <c r="H1252" t="s">
        <v>61</v>
      </c>
      <c r="I1252" t="s">
        <v>35</v>
      </c>
      <c r="J1252" t="s">
        <v>41</v>
      </c>
      <c r="K1252" t="s">
        <v>50</v>
      </c>
      <c r="L1252">
        <v>70</v>
      </c>
      <c r="M1252" t="s">
        <v>41</v>
      </c>
      <c r="N1252" t="s">
        <v>39</v>
      </c>
      <c r="O1252" t="s">
        <v>65</v>
      </c>
      <c r="P1252" t="s">
        <v>38</v>
      </c>
      <c r="Q1252" t="s">
        <v>42</v>
      </c>
      <c r="R1252">
        <v>6294</v>
      </c>
      <c r="S1252">
        <v>23060</v>
      </c>
      <c r="T1252">
        <v>8</v>
      </c>
      <c r="U1252" t="s">
        <v>31</v>
      </c>
      <c r="V1252">
        <v>12</v>
      </c>
      <c r="W1252" t="s">
        <v>43</v>
      </c>
      <c r="X1252" t="s">
        <v>41</v>
      </c>
      <c r="Y1252">
        <v>0</v>
      </c>
      <c r="Z1252">
        <v>10</v>
      </c>
      <c r="AA1252">
        <v>5</v>
      </c>
      <c r="AB1252" t="s">
        <v>73</v>
      </c>
      <c r="AC1252">
        <v>3</v>
      </c>
      <c r="AD1252" t="str" cm="1">
        <f t="array" ref="AD1252">_xlfn.IFS(AC1252&lt;=5,"0-5",AC1252&lt;=10,"5-10",AC1252&lt;=40,"10-40")</f>
        <v>0-5</v>
      </c>
      <c r="AE1252">
        <v>2</v>
      </c>
      <c r="AF1252">
        <v>0</v>
      </c>
      <c r="AG1252">
        <v>2</v>
      </c>
      <c r="AH1252">
        <v>1251</v>
      </c>
    </row>
    <row r="1253" spans="1:34" x14ac:dyDescent="0.3">
      <c r="A1253">
        <v>30</v>
      </c>
      <c r="B1253" t="str" cm="1">
        <f t="array" ref="B1253">_xlfn.IFS(A1253&lt;=25,"18-25",A1253&lt;=35,"26-35",A1253&lt;=45,"36-45",A1253&lt;=55,"46-55",A1253&gt;55,"55+")</f>
        <v>26-35</v>
      </c>
      <c r="C1253">
        <v>0</v>
      </c>
      <c r="D1253" t="s">
        <v>32</v>
      </c>
      <c r="E1253">
        <v>979</v>
      </c>
      <c r="F1253" t="s">
        <v>33</v>
      </c>
      <c r="G1253">
        <v>15</v>
      </c>
      <c r="H1253" t="s">
        <v>34</v>
      </c>
      <c r="I1253" t="s">
        <v>72</v>
      </c>
      <c r="J1253" t="s">
        <v>38</v>
      </c>
      <c r="K1253" t="s">
        <v>50</v>
      </c>
      <c r="L1253">
        <v>94</v>
      </c>
      <c r="M1253" t="s">
        <v>36</v>
      </c>
      <c r="N1253" t="s">
        <v>63</v>
      </c>
      <c r="O1253" t="s">
        <v>40</v>
      </c>
      <c r="P1253" t="s">
        <v>44</v>
      </c>
      <c r="Q1253" t="s">
        <v>62</v>
      </c>
      <c r="R1253">
        <v>7140</v>
      </c>
      <c r="S1253">
        <v>3088</v>
      </c>
      <c r="T1253">
        <v>2</v>
      </c>
      <c r="U1253" t="s">
        <v>46</v>
      </c>
      <c r="V1253">
        <v>11</v>
      </c>
      <c r="W1253" t="s">
        <v>43</v>
      </c>
      <c r="X1253" t="s">
        <v>44</v>
      </c>
      <c r="Y1253">
        <v>1</v>
      </c>
      <c r="Z1253">
        <v>12</v>
      </c>
      <c r="AA1253">
        <v>2</v>
      </c>
      <c r="AB1253" t="s">
        <v>54</v>
      </c>
      <c r="AC1253">
        <v>7</v>
      </c>
      <c r="AD1253" t="str" cm="1">
        <f t="array" ref="AD1253">_xlfn.IFS(AC1253&lt;=5,"0-5",AC1253&lt;=10,"5-10",AC1253&lt;=40,"10-40")</f>
        <v>5-10</v>
      </c>
      <c r="AE1253">
        <v>7</v>
      </c>
      <c r="AF1253">
        <v>1</v>
      </c>
      <c r="AG1253">
        <v>7</v>
      </c>
      <c r="AH1253">
        <v>1252</v>
      </c>
    </row>
    <row r="1254" spans="1:34" x14ac:dyDescent="0.3">
      <c r="A1254">
        <v>34</v>
      </c>
      <c r="B1254" t="str" cm="1">
        <f t="array" ref="B1254">_xlfn.IFS(A1254&lt;=25,"18-25",A1254&lt;=35,"26-35",A1254&lt;=45,"36-45",A1254&lt;=55,"46-55",A1254&gt;55,"55+")</f>
        <v>26-35</v>
      </c>
      <c r="C1254">
        <v>0</v>
      </c>
      <c r="D1254" t="s">
        <v>32</v>
      </c>
      <c r="E1254">
        <v>181</v>
      </c>
      <c r="F1254" t="s">
        <v>48</v>
      </c>
      <c r="G1254">
        <v>2</v>
      </c>
      <c r="H1254" t="s">
        <v>58</v>
      </c>
      <c r="I1254" t="s">
        <v>59</v>
      </c>
      <c r="J1254" t="s">
        <v>41</v>
      </c>
      <c r="K1254" t="s">
        <v>50</v>
      </c>
      <c r="L1254">
        <v>97</v>
      </c>
      <c r="M1254" t="s">
        <v>41</v>
      </c>
      <c r="N1254" t="s">
        <v>56</v>
      </c>
      <c r="O1254" t="s">
        <v>51</v>
      </c>
      <c r="P1254" t="s">
        <v>41</v>
      </c>
      <c r="Q1254" t="s">
        <v>52</v>
      </c>
      <c r="R1254">
        <v>2932</v>
      </c>
      <c r="S1254">
        <v>5586</v>
      </c>
      <c r="T1254">
        <v>0</v>
      </c>
      <c r="U1254" t="s">
        <v>31</v>
      </c>
      <c r="V1254">
        <v>14</v>
      </c>
      <c r="W1254" t="s">
        <v>43</v>
      </c>
      <c r="X1254" t="s">
        <v>44</v>
      </c>
      <c r="Y1254">
        <v>3</v>
      </c>
      <c r="Z1254">
        <v>6</v>
      </c>
      <c r="AA1254">
        <v>3</v>
      </c>
      <c r="AB1254" t="s">
        <v>54</v>
      </c>
      <c r="AC1254">
        <v>5</v>
      </c>
      <c r="AD1254" t="str" cm="1">
        <f t="array" ref="AD1254">_xlfn.IFS(AC1254&lt;=5,"0-5",AC1254&lt;=10,"5-10",AC1254&lt;=40,"10-40")</f>
        <v>0-5</v>
      </c>
      <c r="AE1254">
        <v>0</v>
      </c>
      <c r="AF1254">
        <v>1</v>
      </c>
      <c r="AG1254">
        <v>2</v>
      </c>
      <c r="AH1254">
        <v>1253</v>
      </c>
    </row>
    <row r="1255" spans="1:34" x14ac:dyDescent="0.3">
      <c r="A1255">
        <v>33</v>
      </c>
      <c r="B1255" t="str" cm="1">
        <f t="array" ref="B1255">_xlfn.IFS(A1255&lt;=25,"18-25",A1255&lt;=35,"26-35",A1255&lt;=45,"36-45",A1255&lt;=55,"46-55",A1255&gt;55,"55+")</f>
        <v>26-35</v>
      </c>
      <c r="C1255">
        <v>0</v>
      </c>
      <c r="D1255" t="s">
        <v>66</v>
      </c>
      <c r="E1255">
        <v>1283</v>
      </c>
      <c r="F1255" t="s">
        <v>33</v>
      </c>
      <c r="G1255">
        <v>2</v>
      </c>
      <c r="H1255" t="s">
        <v>61</v>
      </c>
      <c r="I1255" t="s">
        <v>72</v>
      </c>
      <c r="J1255" t="s">
        <v>41</v>
      </c>
      <c r="K1255" t="s">
        <v>37</v>
      </c>
      <c r="L1255">
        <v>62</v>
      </c>
      <c r="M1255" t="s">
        <v>38</v>
      </c>
      <c r="N1255" t="s">
        <v>39</v>
      </c>
      <c r="O1255" t="s">
        <v>40</v>
      </c>
      <c r="P1255" t="s">
        <v>36</v>
      </c>
      <c r="Q1255" t="s">
        <v>42</v>
      </c>
      <c r="R1255">
        <v>5147</v>
      </c>
      <c r="S1255">
        <v>10697</v>
      </c>
      <c r="T1255">
        <v>8</v>
      </c>
      <c r="U1255" t="s">
        <v>46</v>
      </c>
      <c r="V1255">
        <v>15</v>
      </c>
      <c r="W1255" t="s">
        <v>43</v>
      </c>
      <c r="X1255" t="s">
        <v>41</v>
      </c>
      <c r="Y1255">
        <v>0</v>
      </c>
      <c r="Z1255">
        <v>13</v>
      </c>
      <c r="AA1255">
        <v>2</v>
      </c>
      <c r="AB1255" t="s">
        <v>60</v>
      </c>
      <c r="AC1255">
        <v>11</v>
      </c>
      <c r="AD1255" t="str" cm="1">
        <f t="array" ref="AD1255">_xlfn.IFS(AC1255&lt;=5,"0-5",AC1255&lt;=10,"5-10",AC1255&lt;=40,"10-40")</f>
        <v>10-40</v>
      </c>
      <c r="AE1255">
        <v>7</v>
      </c>
      <c r="AF1255">
        <v>1</v>
      </c>
      <c r="AG1255">
        <v>7</v>
      </c>
      <c r="AH1255">
        <v>1254</v>
      </c>
    </row>
    <row r="1256" spans="1:34" x14ac:dyDescent="0.3">
      <c r="A1256">
        <v>49</v>
      </c>
      <c r="B1256" t="str" cm="1">
        <f t="array" ref="B1256">_xlfn.IFS(A1256&lt;=25,"18-25",A1256&lt;=35,"26-35",A1256&lt;=45,"36-45",A1256&lt;=55,"46-55",A1256&gt;55,"55+")</f>
        <v>46-55</v>
      </c>
      <c r="C1256">
        <v>0</v>
      </c>
      <c r="D1256" t="s">
        <v>32</v>
      </c>
      <c r="E1256">
        <v>1313</v>
      </c>
      <c r="F1256" t="s">
        <v>33</v>
      </c>
      <c r="G1256">
        <v>11</v>
      </c>
      <c r="H1256" t="s">
        <v>58</v>
      </c>
      <c r="I1256" t="s">
        <v>72</v>
      </c>
      <c r="J1256" t="s">
        <v>41</v>
      </c>
      <c r="K1256" t="s">
        <v>37</v>
      </c>
      <c r="L1256">
        <v>80</v>
      </c>
      <c r="M1256" t="s">
        <v>38</v>
      </c>
      <c r="N1256" t="s">
        <v>39</v>
      </c>
      <c r="O1256" t="s">
        <v>40</v>
      </c>
      <c r="P1256" t="s">
        <v>41</v>
      </c>
      <c r="Q1256" t="s">
        <v>42</v>
      </c>
      <c r="R1256">
        <v>4507</v>
      </c>
      <c r="S1256">
        <v>8191</v>
      </c>
      <c r="T1256">
        <v>3</v>
      </c>
      <c r="U1256" t="s">
        <v>46</v>
      </c>
      <c r="V1256">
        <v>12</v>
      </c>
      <c r="W1256" t="s">
        <v>43</v>
      </c>
      <c r="X1256" t="s">
        <v>38</v>
      </c>
      <c r="Y1256">
        <v>0</v>
      </c>
      <c r="Z1256">
        <v>8</v>
      </c>
      <c r="AA1256">
        <v>1</v>
      </c>
      <c r="AB1256" t="s">
        <v>73</v>
      </c>
      <c r="AC1256">
        <v>5</v>
      </c>
      <c r="AD1256" t="str" cm="1">
        <f t="array" ref="AD1256">_xlfn.IFS(AC1256&lt;=5,"0-5",AC1256&lt;=10,"5-10",AC1256&lt;=40,"10-40")</f>
        <v>0-5</v>
      </c>
      <c r="AE1256">
        <v>1</v>
      </c>
      <c r="AF1256">
        <v>0</v>
      </c>
      <c r="AG1256">
        <v>4</v>
      </c>
      <c r="AH1256">
        <v>1255</v>
      </c>
    </row>
    <row r="1257" spans="1:34" x14ac:dyDescent="0.3">
      <c r="A1257">
        <v>33</v>
      </c>
      <c r="B1257" t="str" cm="1">
        <f t="array" ref="B1257">_xlfn.IFS(A1257&lt;=25,"18-25",A1257&lt;=35,"26-35",A1257&lt;=45,"36-45",A1257&lt;=55,"46-55",A1257&gt;55,"55+")</f>
        <v>26-35</v>
      </c>
      <c r="C1257">
        <v>1</v>
      </c>
      <c r="D1257" t="s">
        <v>32</v>
      </c>
      <c r="E1257">
        <v>211</v>
      </c>
      <c r="F1257" t="s">
        <v>33</v>
      </c>
      <c r="G1257">
        <v>16</v>
      </c>
      <c r="H1257" t="s">
        <v>61</v>
      </c>
      <c r="I1257" t="s">
        <v>35</v>
      </c>
      <c r="J1257" t="s">
        <v>44</v>
      </c>
      <c r="K1257" t="s">
        <v>37</v>
      </c>
      <c r="L1257">
        <v>74</v>
      </c>
      <c r="M1257" t="s">
        <v>38</v>
      </c>
      <c r="N1257" t="s">
        <v>63</v>
      </c>
      <c r="O1257" t="s">
        <v>40</v>
      </c>
      <c r="P1257" t="s">
        <v>44</v>
      </c>
      <c r="Q1257" t="s">
        <v>42</v>
      </c>
      <c r="R1257">
        <v>8564</v>
      </c>
      <c r="S1257">
        <v>10092</v>
      </c>
      <c r="T1257">
        <v>2</v>
      </c>
      <c r="U1257" t="s">
        <v>31</v>
      </c>
      <c r="V1257">
        <v>20</v>
      </c>
      <c r="W1257" t="s">
        <v>53</v>
      </c>
      <c r="X1257" t="s">
        <v>38</v>
      </c>
      <c r="Y1257">
        <v>0</v>
      </c>
      <c r="Z1257">
        <v>11</v>
      </c>
      <c r="AA1257">
        <v>2</v>
      </c>
      <c r="AB1257" t="s">
        <v>60</v>
      </c>
      <c r="AC1257">
        <v>0</v>
      </c>
      <c r="AD1257" t="str" cm="1">
        <f t="array" ref="AD1257">_xlfn.IFS(AC1257&lt;=5,"0-5",AC1257&lt;=10,"5-10",AC1257&lt;=40,"10-40")</f>
        <v>0-5</v>
      </c>
      <c r="AE1257">
        <v>0</v>
      </c>
      <c r="AF1257">
        <v>0</v>
      </c>
      <c r="AG1257">
        <v>0</v>
      </c>
      <c r="AH1257">
        <v>1256</v>
      </c>
    </row>
    <row r="1258" spans="1:34" x14ac:dyDescent="0.3">
      <c r="A1258">
        <v>38</v>
      </c>
      <c r="B1258" t="str" cm="1">
        <f t="array" ref="B1258">_xlfn.IFS(A1258&lt;=25,"18-25",A1258&lt;=35,"26-35",A1258&lt;=45,"36-45",A1258&lt;=55,"46-55",A1258&gt;55,"55+")</f>
        <v>36-45</v>
      </c>
      <c r="C1258">
        <v>0</v>
      </c>
      <c r="D1258" t="s">
        <v>47</v>
      </c>
      <c r="E1258">
        <v>594</v>
      </c>
      <c r="F1258" t="s">
        <v>48</v>
      </c>
      <c r="G1258">
        <v>2</v>
      </c>
      <c r="H1258" t="s">
        <v>34</v>
      </c>
      <c r="I1258" t="s">
        <v>59</v>
      </c>
      <c r="J1258" t="s">
        <v>38</v>
      </c>
      <c r="K1258" t="s">
        <v>37</v>
      </c>
      <c r="L1258">
        <v>75</v>
      </c>
      <c r="M1258" t="s">
        <v>36</v>
      </c>
      <c r="N1258" t="s">
        <v>56</v>
      </c>
      <c r="O1258" t="s">
        <v>57</v>
      </c>
      <c r="P1258" t="s">
        <v>36</v>
      </c>
      <c r="Q1258" t="s">
        <v>52</v>
      </c>
      <c r="R1258">
        <v>2468</v>
      </c>
      <c r="S1258">
        <v>15963</v>
      </c>
      <c r="T1258">
        <v>4</v>
      </c>
      <c r="U1258" t="s">
        <v>46</v>
      </c>
      <c r="V1258">
        <v>14</v>
      </c>
      <c r="W1258" t="s">
        <v>43</v>
      </c>
      <c r="X1258" t="s">
        <v>36</v>
      </c>
      <c r="Y1258">
        <v>1</v>
      </c>
      <c r="Z1258">
        <v>9</v>
      </c>
      <c r="AA1258">
        <v>4</v>
      </c>
      <c r="AB1258" t="s">
        <v>60</v>
      </c>
      <c r="AC1258">
        <v>6</v>
      </c>
      <c r="AD1258" t="str" cm="1">
        <f t="array" ref="AD1258">_xlfn.IFS(AC1258&lt;=5,"0-5",AC1258&lt;=10,"5-10",AC1258&lt;=40,"10-40")</f>
        <v>5-10</v>
      </c>
      <c r="AE1258">
        <v>1</v>
      </c>
      <c r="AF1258">
        <v>0</v>
      </c>
      <c r="AG1258">
        <v>5</v>
      </c>
      <c r="AH1258">
        <v>1257</v>
      </c>
    </row>
    <row r="1259" spans="1:34" x14ac:dyDescent="0.3">
      <c r="A1259">
        <v>31</v>
      </c>
      <c r="B1259" t="str" cm="1">
        <f t="array" ref="B1259">_xlfn.IFS(A1259&lt;=25,"18-25",A1259&lt;=35,"26-35",A1259&lt;=45,"36-45",A1259&lt;=55,"46-55",A1259&gt;55,"55+")</f>
        <v>26-35</v>
      </c>
      <c r="C1259">
        <v>1</v>
      </c>
      <c r="D1259" t="s">
        <v>32</v>
      </c>
      <c r="E1259">
        <v>1079</v>
      </c>
      <c r="F1259" t="s">
        <v>33</v>
      </c>
      <c r="G1259">
        <v>16</v>
      </c>
      <c r="H1259" t="s">
        <v>58</v>
      </c>
      <c r="I1259" t="s">
        <v>72</v>
      </c>
      <c r="J1259" t="s">
        <v>44</v>
      </c>
      <c r="K1259" t="s">
        <v>50</v>
      </c>
      <c r="L1259">
        <v>70</v>
      </c>
      <c r="M1259" t="s">
        <v>38</v>
      </c>
      <c r="N1259" t="s">
        <v>63</v>
      </c>
      <c r="O1259" t="s">
        <v>40</v>
      </c>
      <c r="P1259" t="s">
        <v>38</v>
      </c>
      <c r="Q1259" t="s">
        <v>52</v>
      </c>
      <c r="R1259">
        <v>8161</v>
      </c>
      <c r="S1259">
        <v>19002</v>
      </c>
      <c r="T1259">
        <v>2</v>
      </c>
      <c r="U1259" t="s">
        <v>46</v>
      </c>
      <c r="V1259">
        <v>13</v>
      </c>
      <c r="W1259" t="s">
        <v>43</v>
      </c>
      <c r="X1259" t="s">
        <v>44</v>
      </c>
      <c r="Y1259">
        <v>3</v>
      </c>
      <c r="Z1259">
        <v>10</v>
      </c>
      <c r="AA1259">
        <v>2</v>
      </c>
      <c r="AB1259" t="s">
        <v>54</v>
      </c>
      <c r="AC1259">
        <v>1</v>
      </c>
      <c r="AD1259" t="str" cm="1">
        <f t="array" ref="AD1259">_xlfn.IFS(AC1259&lt;=5,"0-5",AC1259&lt;=10,"5-10",AC1259&lt;=40,"10-40")</f>
        <v>0-5</v>
      </c>
      <c r="AE1259">
        <v>0</v>
      </c>
      <c r="AF1259">
        <v>0</v>
      </c>
      <c r="AG1259">
        <v>0</v>
      </c>
      <c r="AH1259">
        <v>1258</v>
      </c>
    </row>
    <row r="1260" spans="1:34" x14ac:dyDescent="0.3">
      <c r="A1260">
        <v>29</v>
      </c>
      <c r="B1260" t="str" cm="1">
        <f t="array" ref="B1260">_xlfn.IFS(A1260&lt;=25,"18-25",A1260&lt;=35,"26-35",A1260&lt;=45,"36-45",A1260&lt;=55,"46-55",A1260&gt;55,"55+")</f>
        <v>26-35</v>
      </c>
      <c r="C1260">
        <v>0</v>
      </c>
      <c r="D1260" t="s">
        <v>32</v>
      </c>
      <c r="E1260">
        <v>590</v>
      </c>
      <c r="F1260" t="s">
        <v>48</v>
      </c>
      <c r="G1260">
        <v>4</v>
      </c>
      <c r="H1260" t="s">
        <v>61</v>
      </c>
      <c r="I1260" t="s">
        <v>74</v>
      </c>
      <c r="J1260" t="s">
        <v>41</v>
      </c>
      <c r="K1260" t="s">
        <v>37</v>
      </c>
      <c r="L1260">
        <v>91</v>
      </c>
      <c r="M1260" t="s">
        <v>36</v>
      </c>
      <c r="N1260" t="s">
        <v>56</v>
      </c>
      <c r="O1260" t="s">
        <v>51</v>
      </c>
      <c r="P1260" t="s">
        <v>44</v>
      </c>
      <c r="Q1260" t="s">
        <v>62</v>
      </c>
      <c r="R1260">
        <v>2109</v>
      </c>
      <c r="S1260">
        <v>10007</v>
      </c>
      <c r="T1260">
        <v>1</v>
      </c>
      <c r="U1260" t="s">
        <v>46</v>
      </c>
      <c r="V1260">
        <v>13</v>
      </c>
      <c r="W1260" t="s">
        <v>43</v>
      </c>
      <c r="X1260" t="s">
        <v>38</v>
      </c>
      <c r="Y1260">
        <v>1</v>
      </c>
      <c r="Z1260">
        <v>1</v>
      </c>
      <c r="AA1260">
        <v>2</v>
      </c>
      <c r="AB1260" t="s">
        <v>54</v>
      </c>
      <c r="AC1260">
        <v>1</v>
      </c>
      <c r="AD1260" t="str" cm="1">
        <f t="array" ref="AD1260">_xlfn.IFS(AC1260&lt;=5,"0-5",AC1260&lt;=10,"5-10",AC1260&lt;=40,"10-40")</f>
        <v>0-5</v>
      </c>
      <c r="AE1260">
        <v>0</v>
      </c>
      <c r="AF1260">
        <v>0</v>
      </c>
      <c r="AG1260">
        <v>0</v>
      </c>
      <c r="AH1260">
        <v>1259</v>
      </c>
    </row>
    <row r="1261" spans="1:34" x14ac:dyDescent="0.3">
      <c r="A1261">
        <v>30</v>
      </c>
      <c r="B1261" t="str" cm="1">
        <f t="array" ref="B1261">_xlfn.IFS(A1261&lt;=25,"18-25",A1261&lt;=35,"26-35",A1261&lt;=45,"36-45",A1261&lt;=55,"46-55",A1261&gt;55,"55+")</f>
        <v>26-35</v>
      </c>
      <c r="C1261">
        <v>0</v>
      </c>
      <c r="D1261" t="s">
        <v>32</v>
      </c>
      <c r="E1261">
        <v>305</v>
      </c>
      <c r="F1261" t="s">
        <v>48</v>
      </c>
      <c r="G1261">
        <v>16</v>
      </c>
      <c r="H1261" t="s">
        <v>61</v>
      </c>
      <c r="I1261" t="s">
        <v>35</v>
      </c>
      <c r="J1261" t="s">
        <v>38</v>
      </c>
      <c r="K1261" t="s">
        <v>50</v>
      </c>
      <c r="L1261">
        <v>58</v>
      </c>
      <c r="M1261" t="s">
        <v>41</v>
      </c>
      <c r="N1261" t="s">
        <v>39</v>
      </c>
      <c r="O1261" t="s">
        <v>65</v>
      </c>
      <c r="P1261" t="s">
        <v>38</v>
      </c>
      <c r="Q1261" t="s">
        <v>52</v>
      </c>
      <c r="R1261">
        <v>5294</v>
      </c>
      <c r="S1261">
        <v>9128</v>
      </c>
      <c r="T1261">
        <v>3</v>
      </c>
      <c r="U1261" t="s">
        <v>46</v>
      </c>
      <c r="V1261">
        <v>16</v>
      </c>
      <c r="W1261" t="s">
        <v>43</v>
      </c>
      <c r="X1261" t="s">
        <v>38</v>
      </c>
      <c r="Y1261">
        <v>1</v>
      </c>
      <c r="Z1261">
        <v>10</v>
      </c>
      <c r="AA1261">
        <v>3</v>
      </c>
      <c r="AB1261" t="s">
        <v>54</v>
      </c>
      <c r="AC1261">
        <v>7</v>
      </c>
      <c r="AD1261" t="str" cm="1">
        <f t="array" ref="AD1261">_xlfn.IFS(AC1261&lt;=5,"0-5",AC1261&lt;=10,"5-10",AC1261&lt;=40,"10-40")</f>
        <v>5-10</v>
      </c>
      <c r="AE1261">
        <v>0</v>
      </c>
      <c r="AF1261">
        <v>1</v>
      </c>
      <c r="AG1261">
        <v>7</v>
      </c>
      <c r="AH1261">
        <v>1260</v>
      </c>
    </row>
    <row r="1262" spans="1:34" x14ac:dyDescent="0.3">
      <c r="A1262">
        <v>32</v>
      </c>
      <c r="B1262" t="str" cm="1">
        <f t="array" ref="B1262">_xlfn.IFS(A1262&lt;=25,"18-25",A1262&lt;=35,"26-35",A1262&lt;=45,"36-45",A1262&lt;=55,"46-55",A1262&gt;55,"55+")</f>
        <v>26-35</v>
      </c>
      <c r="C1262">
        <v>0</v>
      </c>
      <c r="D1262" t="s">
        <v>66</v>
      </c>
      <c r="E1262">
        <v>953</v>
      </c>
      <c r="F1262" t="s">
        <v>48</v>
      </c>
      <c r="G1262">
        <v>5</v>
      </c>
      <c r="H1262" t="s">
        <v>58</v>
      </c>
      <c r="I1262" t="s">
        <v>74</v>
      </c>
      <c r="J1262" t="s">
        <v>36</v>
      </c>
      <c r="K1262" t="s">
        <v>50</v>
      </c>
      <c r="L1262">
        <v>65</v>
      </c>
      <c r="M1262" t="s">
        <v>38</v>
      </c>
      <c r="N1262" t="s">
        <v>56</v>
      </c>
      <c r="O1262" t="s">
        <v>51</v>
      </c>
      <c r="P1262" t="s">
        <v>36</v>
      </c>
      <c r="Q1262" t="s">
        <v>42</v>
      </c>
      <c r="R1262">
        <v>2718</v>
      </c>
      <c r="S1262">
        <v>17674</v>
      </c>
      <c r="T1262">
        <v>2</v>
      </c>
      <c r="U1262" t="s">
        <v>46</v>
      </c>
      <c r="V1262">
        <v>14</v>
      </c>
      <c r="W1262" t="s">
        <v>43</v>
      </c>
      <c r="X1262" t="s">
        <v>36</v>
      </c>
      <c r="Y1262">
        <v>0</v>
      </c>
      <c r="Z1262">
        <v>12</v>
      </c>
      <c r="AA1262">
        <v>3</v>
      </c>
      <c r="AB1262" t="s">
        <v>54</v>
      </c>
      <c r="AC1262">
        <v>7</v>
      </c>
      <c r="AD1262" t="str" cm="1">
        <f t="array" ref="AD1262">_xlfn.IFS(AC1262&lt;=5,"0-5",AC1262&lt;=10,"5-10",AC1262&lt;=40,"10-40")</f>
        <v>5-10</v>
      </c>
      <c r="AE1262">
        <v>7</v>
      </c>
      <c r="AF1262">
        <v>0</v>
      </c>
      <c r="AG1262">
        <v>7</v>
      </c>
      <c r="AH1262">
        <v>1261</v>
      </c>
    </row>
    <row r="1263" spans="1:34" x14ac:dyDescent="0.3">
      <c r="A1263">
        <v>38</v>
      </c>
      <c r="B1263" t="str" cm="1">
        <f t="array" ref="B1263">_xlfn.IFS(A1263&lt;=25,"18-25",A1263&lt;=35,"26-35",A1263&lt;=45,"36-45",A1263&lt;=55,"46-55",A1263&gt;55,"55+")</f>
        <v>36-45</v>
      </c>
      <c r="C1263">
        <v>0</v>
      </c>
      <c r="D1263" t="s">
        <v>32</v>
      </c>
      <c r="E1263">
        <v>833</v>
      </c>
      <c r="F1263" t="s">
        <v>48</v>
      </c>
      <c r="G1263">
        <v>18</v>
      </c>
      <c r="H1263" t="s">
        <v>61</v>
      </c>
      <c r="I1263" t="s">
        <v>59</v>
      </c>
      <c r="J1263" t="s">
        <v>36</v>
      </c>
      <c r="K1263" t="s">
        <v>50</v>
      </c>
      <c r="L1263">
        <v>60</v>
      </c>
      <c r="M1263" t="s">
        <v>44</v>
      </c>
      <c r="N1263" t="s">
        <v>39</v>
      </c>
      <c r="O1263" t="s">
        <v>65</v>
      </c>
      <c r="P1263" t="s">
        <v>41</v>
      </c>
      <c r="Q1263" t="s">
        <v>52</v>
      </c>
      <c r="R1263">
        <v>5811</v>
      </c>
      <c r="S1263">
        <v>24539</v>
      </c>
      <c r="T1263">
        <v>3</v>
      </c>
      <c r="U1263" t="s">
        <v>31</v>
      </c>
      <c r="V1263">
        <v>16</v>
      </c>
      <c r="W1263" t="s">
        <v>43</v>
      </c>
      <c r="X1263" t="s">
        <v>38</v>
      </c>
      <c r="Y1263">
        <v>1</v>
      </c>
      <c r="Z1263">
        <v>15</v>
      </c>
      <c r="AA1263">
        <v>2</v>
      </c>
      <c r="AB1263" t="s">
        <v>54</v>
      </c>
      <c r="AC1263">
        <v>1</v>
      </c>
      <c r="AD1263" t="str" cm="1">
        <f t="array" ref="AD1263">_xlfn.IFS(AC1263&lt;=5,"0-5",AC1263&lt;=10,"5-10",AC1263&lt;=40,"10-40")</f>
        <v>0-5</v>
      </c>
      <c r="AE1263">
        <v>0</v>
      </c>
      <c r="AF1263">
        <v>1</v>
      </c>
      <c r="AG1263">
        <v>0</v>
      </c>
      <c r="AH1263">
        <v>1262</v>
      </c>
    </row>
    <row r="1264" spans="1:34" x14ac:dyDescent="0.3">
      <c r="A1264">
        <v>43</v>
      </c>
      <c r="B1264" t="str" cm="1">
        <f t="array" ref="B1264">_xlfn.IFS(A1264&lt;=25,"18-25",A1264&lt;=35,"26-35",A1264&lt;=45,"36-45",A1264&lt;=55,"46-55",A1264&gt;55,"55+")</f>
        <v>36-45</v>
      </c>
      <c r="C1264">
        <v>1</v>
      </c>
      <c r="D1264" t="s">
        <v>47</v>
      </c>
      <c r="E1264">
        <v>807</v>
      </c>
      <c r="F1264" t="s">
        <v>48</v>
      </c>
      <c r="G1264">
        <v>17</v>
      </c>
      <c r="H1264" t="s">
        <v>61</v>
      </c>
      <c r="I1264" t="s">
        <v>74</v>
      </c>
      <c r="J1264" t="s">
        <v>38</v>
      </c>
      <c r="K1264" t="s">
        <v>50</v>
      </c>
      <c r="L1264">
        <v>38</v>
      </c>
      <c r="M1264" t="s">
        <v>36</v>
      </c>
      <c r="N1264" t="s">
        <v>56</v>
      </c>
      <c r="O1264" t="s">
        <v>51</v>
      </c>
      <c r="P1264" t="s">
        <v>38</v>
      </c>
      <c r="Q1264" t="s">
        <v>52</v>
      </c>
      <c r="R1264">
        <v>2437</v>
      </c>
      <c r="S1264">
        <v>15587</v>
      </c>
      <c r="T1264">
        <v>9</v>
      </c>
      <c r="U1264" t="s">
        <v>31</v>
      </c>
      <c r="V1264">
        <v>16</v>
      </c>
      <c r="W1264" t="s">
        <v>43</v>
      </c>
      <c r="X1264" t="s">
        <v>41</v>
      </c>
      <c r="Y1264">
        <v>1</v>
      </c>
      <c r="Z1264">
        <v>6</v>
      </c>
      <c r="AA1264">
        <v>4</v>
      </c>
      <c r="AB1264" t="s">
        <v>54</v>
      </c>
      <c r="AC1264">
        <v>1</v>
      </c>
      <c r="AD1264" t="str" cm="1">
        <f t="array" ref="AD1264">_xlfn.IFS(AC1264&lt;=5,"0-5",AC1264&lt;=10,"5-10",AC1264&lt;=40,"10-40")</f>
        <v>0-5</v>
      </c>
      <c r="AE1264">
        <v>0</v>
      </c>
      <c r="AF1264">
        <v>0</v>
      </c>
      <c r="AG1264">
        <v>0</v>
      </c>
      <c r="AH1264">
        <v>1263</v>
      </c>
    </row>
    <row r="1265" spans="1:34" x14ac:dyDescent="0.3">
      <c r="A1265">
        <v>42</v>
      </c>
      <c r="B1265" t="str" cm="1">
        <f t="array" ref="B1265">_xlfn.IFS(A1265&lt;=25,"18-25",A1265&lt;=35,"26-35",A1265&lt;=45,"36-45",A1265&lt;=55,"46-55",A1265&gt;55,"55+")</f>
        <v>36-45</v>
      </c>
      <c r="C1265">
        <v>0</v>
      </c>
      <c r="D1265" t="s">
        <v>32</v>
      </c>
      <c r="E1265">
        <v>855</v>
      </c>
      <c r="F1265" t="s">
        <v>48</v>
      </c>
      <c r="G1265">
        <v>12</v>
      </c>
      <c r="H1265" t="s">
        <v>61</v>
      </c>
      <c r="I1265" t="s">
        <v>59</v>
      </c>
      <c r="J1265" t="s">
        <v>36</v>
      </c>
      <c r="K1265" t="s">
        <v>50</v>
      </c>
      <c r="L1265">
        <v>57</v>
      </c>
      <c r="M1265" t="s">
        <v>38</v>
      </c>
      <c r="N1265" t="s">
        <v>56</v>
      </c>
      <c r="O1265" t="s">
        <v>57</v>
      </c>
      <c r="P1265" t="s">
        <v>36</v>
      </c>
      <c r="Q1265" t="s">
        <v>62</v>
      </c>
      <c r="R1265">
        <v>2766</v>
      </c>
      <c r="S1265">
        <v>8952</v>
      </c>
      <c r="T1265">
        <v>8</v>
      </c>
      <c r="U1265" t="s">
        <v>46</v>
      </c>
      <c r="V1265">
        <v>22</v>
      </c>
      <c r="W1265" t="s">
        <v>53</v>
      </c>
      <c r="X1265" t="s">
        <v>36</v>
      </c>
      <c r="Y1265">
        <v>3</v>
      </c>
      <c r="Z1265">
        <v>7</v>
      </c>
      <c r="AA1265">
        <v>6</v>
      </c>
      <c r="AB1265" t="s">
        <v>60</v>
      </c>
      <c r="AC1265">
        <v>5</v>
      </c>
      <c r="AD1265" t="str" cm="1">
        <f t="array" ref="AD1265">_xlfn.IFS(AC1265&lt;=5,"0-5",AC1265&lt;=10,"5-10",AC1265&lt;=40,"10-40")</f>
        <v>0-5</v>
      </c>
      <c r="AE1265">
        <v>3</v>
      </c>
      <c r="AF1265">
        <v>0</v>
      </c>
      <c r="AG1265">
        <v>4</v>
      </c>
      <c r="AH1265">
        <v>1264</v>
      </c>
    </row>
    <row r="1266" spans="1:34" x14ac:dyDescent="0.3">
      <c r="A1266">
        <v>55</v>
      </c>
      <c r="B1266" t="str" cm="1">
        <f t="array" ref="B1266">_xlfn.IFS(A1266&lt;=25,"18-25",A1266&lt;=35,"26-35",A1266&lt;=45,"36-45",A1266&lt;=55,"46-55",A1266&gt;55,"55+")</f>
        <v>46-55</v>
      </c>
      <c r="C1266">
        <v>0</v>
      </c>
      <c r="D1266" t="s">
        <v>32</v>
      </c>
      <c r="E1266">
        <v>478</v>
      </c>
      <c r="F1266" t="s">
        <v>48</v>
      </c>
      <c r="G1266">
        <v>2</v>
      </c>
      <c r="H1266" t="s">
        <v>61</v>
      </c>
      <c r="I1266" t="s">
        <v>59</v>
      </c>
      <c r="J1266" t="s">
        <v>38</v>
      </c>
      <c r="K1266" t="s">
        <v>50</v>
      </c>
      <c r="L1266">
        <v>60</v>
      </c>
      <c r="M1266" t="s">
        <v>36</v>
      </c>
      <c r="N1266" t="s">
        <v>71</v>
      </c>
      <c r="O1266" t="s">
        <v>70</v>
      </c>
      <c r="P1266" t="s">
        <v>44</v>
      </c>
      <c r="Q1266" t="s">
        <v>52</v>
      </c>
      <c r="R1266">
        <v>19038</v>
      </c>
      <c r="S1266">
        <v>19805</v>
      </c>
      <c r="T1266">
        <v>8</v>
      </c>
      <c r="U1266" t="s">
        <v>46</v>
      </c>
      <c r="V1266">
        <v>12</v>
      </c>
      <c r="W1266" t="s">
        <v>43</v>
      </c>
      <c r="X1266" t="s">
        <v>36</v>
      </c>
      <c r="Y1266">
        <v>3</v>
      </c>
      <c r="Z1266">
        <v>34</v>
      </c>
      <c r="AA1266">
        <v>2</v>
      </c>
      <c r="AB1266" t="s">
        <v>54</v>
      </c>
      <c r="AC1266">
        <v>1</v>
      </c>
      <c r="AD1266" t="str" cm="1">
        <f t="array" ref="AD1266">_xlfn.IFS(AC1266&lt;=5,"0-5",AC1266&lt;=10,"5-10",AC1266&lt;=40,"10-40")</f>
        <v>0-5</v>
      </c>
      <c r="AE1266">
        <v>0</v>
      </c>
      <c r="AF1266">
        <v>0</v>
      </c>
      <c r="AG1266">
        <v>0</v>
      </c>
      <c r="AH1266">
        <v>1265</v>
      </c>
    </row>
    <row r="1267" spans="1:34" x14ac:dyDescent="0.3">
      <c r="A1267">
        <v>33</v>
      </c>
      <c r="B1267" t="str" cm="1">
        <f t="array" ref="B1267">_xlfn.IFS(A1267&lt;=25,"18-25",A1267&lt;=35,"26-35",A1267&lt;=45,"36-45",A1267&lt;=55,"46-55",A1267&gt;55,"55+")</f>
        <v>26-35</v>
      </c>
      <c r="C1267">
        <v>0</v>
      </c>
      <c r="D1267" t="s">
        <v>66</v>
      </c>
      <c r="E1267">
        <v>775</v>
      </c>
      <c r="F1267" t="s">
        <v>48</v>
      </c>
      <c r="G1267">
        <v>4</v>
      </c>
      <c r="H1267" t="s">
        <v>61</v>
      </c>
      <c r="I1267" t="s">
        <v>74</v>
      </c>
      <c r="J1267" t="s">
        <v>41</v>
      </c>
      <c r="K1267" t="s">
        <v>50</v>
      </c>
      <c r="L1267">
        <v>90</v>
      </c>
      <c r="M1267" t="s">
        <v>38</v>
      </c>
      <c r="N1267" t="s">
        <v>39</v>
      </c>
      <c r="O1267" t="s">
        <v>51</v>
      </c>
      <c r="P1267" t="s">
        <v>36</v>
      </c>
      <c r="Q1267" t="s">
        <v>62</v>
      </c>
      <c r="R1267">
        <v>3055</v>
      </c>
      <c r="S1267">
        <v>6194</v>
      </c>
      <c r="T1267">
        <v>5</v>
      </c>
      <c r="U1267" t="s">
        <v>46</v>
      </c>
      <c r="V1267">
        <v>15</v>
      </c>
      <c r="W1267" t="s">
        <v>43</v>
      </c>
      <c r="X1267" t="s">
        <v>41</v>
      </c>
      <c r="Y1267">
        <v>2</v>
      </c>
      <c r="Z1267">
        <v>11</v>
      </c>
      <c r="AA1267">
        <v>2</v>
      </c>
      <c r="AB1267" t="s">
        <v>60</v>
      </c>
      <c r="AC1267">
        <v>9</v>
      </c>
      <c r="AD1267" t="str" cm="1">
        <f t="array" ref="AD1267">_xlfn.IFS(AC1267&lt;=5,"0-5",AC1267&lt;=10,"5-10",AC1267&lt;=40,"10-40")</f>
        <v>5-10</v>
      </c>
      <c r="AE1267">
        <v>8</v>
      </c>
      <c r="AF1267">
        <v>1</v>
      </c>
      <c r="AG1267">
        <v>7</v>
      </c>
      <c r="AH1267">
        <v>1266</v>
      </c>
    </row>
    <row r="1268" spans="1:34" x14ac:dyDescent="0.3">
      <c r="A1268">
        <v>41</v>
      </c>
      <c r="B1268" t="str" cm="1">
        <f t="array" ref="B1268">_xlfn.IFS(A1268&lt;=25,"18-25",A1268&lt;=35,"26-35",A1268&lt;=45,"36-45",A1268&lt;=55,"46-55",A1268&gt;55,"55+")</f>
        <v>36-45</v>
      </c>
      <c r="C1268">
        <v>0</v>
      </c>
      <c r="D1268" t="s">
        <v>32</v>
      </c>
      <c r="E1268">
        <v>548</v>
      </c>
      <c r="F1268" t="s">
        <v>48</v>
      </c>
      <c r="G1268">
        <v>9</v>
      </c>
      <c r="H1268" t="s">
        <v>58</v>
      </c>
      <c r="I1268" t="s">
        <v>35</v>
      </c>
      <c r="J1268" t="s">
        <v>38</v>
      </c>
      <c r="K1268" t="s">
        <v>50</v>
      </c>
      <c r="L1268">
        <v>94</v>
      </c>
      <c r="M1268" t="s">
        <v>38</v>
      </c>
      <c r="N1268" t="s">
        <v>56</v>
      </c>
      <c r="O1268" t="s">
        <v>57</v>
      </c>
      <c r="P1268" t="s">
        <v>44</v>
      </c>
      <c r="Q1268" t="s">
        <v>62</v>
      </c>
      <c r="R1268">
        <v>2289</v>
      </c>
      <c r="S1268">
        <v>20520</v>
      </c>
      <c r="T1268">
        <v>1</v>
      </c>
      <c r="U1268" t="s">
        <v>46</v>
      </c>
      <c r="V1268">
        <v>20</v>
      </c>
      <c r="W1268" t="s">
        <v>53</v>
      </c>
      <c r="X1268" t="s">
        <v>36</v>
      </c>
      <c r="Y1268">
        <v>2</v>
      </c>
      <c r="Z1268">
        <v>5</v>
      </c>
      <c r="AA1268">
        <v>2</v>
      </c>
      <c r="AB1268" t="s">
        <v>54</v>
      </c>
      <c r="AC1268">
        <v>5</v>
      </c>
      <c r="AD1268" t="str" cm="1">
        <f t="array" ref="AD1268">_xlfn.IFS(AC1268&lt;=5,"0-5",AC1268&lt;=10,"5-10",AC1268&lt;=40,"10-40")</f>
        <v>0-5</v>
      </c>
      <c r="AE1268">
        <v>3</v>
      </c>
      <c r="AF1268">
        <v>0</v>
      </c>
      <c r="AG1268">
        <v>4</v>
      </c>
      <c r="AH1268">
        <v>1267</v>
      </c>
    </row>
    <row r="1269" spans="1:34" x14ac:dyDescent="0.3">
      <c r="A1269">
        <v>34</v>
      </c>
      <c r="B1269" t="str" cm="1">
        <f t="array" ref="B1269">_xlfn.IFS(A1269&lt;=25,"18-25",A1269&lt;=35,"26-35",A1269&lt;=45,"36-45",A1269&lt;=55,"46-55",A1269&gt;55,"55+")</f>
        <v>26-35</v>
      </c>
      <c r="C1269">
        <v>0</v>
      </c>
      <c r="D1269" t="s">
        <v>66</v>
      </c>
      <c r="E1269">
        <v>1375</v>
      </c>
      <c r="F1269" t="s">
        <v>33</v>
      </c>
      <c r="G1269">
        <v>10</v>
      </c>
      <c r="H1269" t="s">
        <v>61</v>
      </c>
      <c r="I1269" t="s">
        <v>35</v>
      </c>
      <c r="J1269" t="s">
        <v>41</v>
      </c>
      <c r="K1269" t="s">
        <v>50</v>
      </c>
      <c r="L1269">
        <v>87</v>
      </c>
      <c r="M1269" t="s">
        <v>38</v>
      </c>
      <c r="N1269" t="s">
        <v>39</v>
      </c>
      <c r="O1269" t="s">
        <v>40</v>
      </c>
      <c r="P1269" t="s">
        <v>38</v>
      </c>
      <c r="Q1269" t="s">
        <v>62</v>
      </c>
      <c r="R1269">
        <v>4001</v>
      </c>
      <c r="S1269">
        <v>12313</v>
      </c>
      <c r="T1269">
        <v>1</v>
      </c>
      <c r="U1269" t="s">
        <v>31</v>
      </c>
      <c r="V1269">
        <v>14</v>
      </c>
      <c r="W1269" t="s">
        <v>43</v>
      </c>
      <c r="X1269" t="s">
        <v>38</v>
      </c>
      <c r="Y1269">
        <v>1</v>
      </c>
      <c r="Z1269">
        <v>15</v>
      </c>
      <c r="AA1269">
        <v>3</v>
      </c>
      <c r="AB1269" t="s">
        <v>54</v>
      </c>
      <c r="AC1269">
        <v>15</v>
      </c>
      <c r="AD1269" t="str" cm="1">
        <f t="array" ref="AD1269">_xlfn.IFS(AC1269&lt;=5,"0-5",AC1269&lt;=10,"5-10",AC1269&lt;=40,"10-40")</f>
        <v>10-40</v>
      </c>
      <c r="AE1269">
        <v>14</v>
      </c>
      <c r="AF1269">
        <v>0</v>
      </c>
      <c r="AG1269">
        <v>7</v>
      </c>
      <c r="AH1269">
        <v>1268</v>
      </c>
    </row>
    <row r="1270" spans="1:34" x14ac:dyDescent="0.3">
      <c r="A1270">
        <v>53</v>
      </c>
      <c r="B1270" t="str" cm="1">
        <f t="array" ref="B1270">_xlfn.IFS(A1270&lt;=25,"18-25",A1270&lt;=35,"26-35",A1270&lt;=45,"36-45",A1270&lt;=55,"46-55",A1270&gt;55,"55+")</f>
        <v>46-55</v>
      </c>
      <c r="C1270">
        <v>0</v>
      </c>
      <c r="D1270" t="s">
        <v>66</v>
      </c>
      <c r="E1270">
        <v>661</v>
      </c>
      <c r="F1270" t="s">
        <v>48</v>
      </c>
      <c r="G1270">
        <v>1</v>
      </c>
      <c r="H1270" t="s">
        <v>58</v>
      </c>
      <c r="I1270" t="s">
        <v>59</v>
      </c>
      <c r="J1270" t="s">
        <v>44</v>
      </c>
      <c r="K1270" t="s">
        <v>37</v>
      </c>
      <c r="L1270">
        <v>60</v>
      </c>
      <c r="M1270" t="s">
        <v>36</v>
      </c>
      <c r="N1270" t="s">
        <v>67</v>
      </c>
      <c r="O1270" t="s">
        <v>64</v>
      </c>
      <c r="P1270" t="s">
        <v>38</v>
      </c>
      <c r="Q1270" t="s">
        <v>52</v>
      </c>
      <c r="R1270">
        <v>12965</v>
      </c>
      <c r="S1270">
        <v>22308</v>
      </c>
      <c r="T1270">
        <v>4</v>
      </c>
      <c r="U1270" t="s">
        <v>31</v>
      </c>
      <c r="V1270">
        <v>20</v>
      </c>
      <c r="W1270" t="s">
        <v>53</v>
      </c>
      <c r="X1270" t="s">
        <v>41</v>
      </c>
      <c r="Y1270">
        <v>3</v>
      </c>
      <c r="Z1270">
        <v>27</v>
      </c>
      <c r="AA1270">
        <v>2</v>
      </c>
      <c r="AB1270" t="s">
        <v>60</v>
      </c>
      <c r="AC1270">
        <v>3</v>
      </c>
      <c r="AD1270" t="str" cm="1">
        <f t="array" ref="AD1270">_xlfn.IFS(AC1270&lt;=5,"0-5",AC1270&lt;=10,"5-10",AC1270&lt;=40,"10-40")</f>
        <v>0-5</v>
      </c>
      <c r="AE1270">
        <v>2</v>
      </c>
      <c r="AF1270">
        <v>0</v>
      </c>
      <c r="AG1270">
        <v>2</v>
      </c>
      <c r="AH1270">
        <v>1269</v>
      </c>
    </row>
    <row r="1271" spans="1:34" x14ac:dyDescent="0.3">
      <c r="A1271">
        <v>43</v>
      </c>
      <c r="B1271" t="str" cm="1">
        <f t="array" ref="B1271">_xlfn.IFS(A1271&lt;=25,"18-25",A1271&lt;=35,"26-35",A1271&lt;=45,"36-45",A1271&lt;=55,"46-55",A1271&gt;55,"55+")</f>
        <v>36-45</v>
      </c>
      <c r="C1271">
        <v>0</v>
      </c>
      <c r="D1271" t="s">
        <v>32</v>
      </c>
      <c r="E1271">
        <v>244</v>
      </c>
      <c r="F1271" t="s">
        <v>76</v>
      </c>
      <c r="G1271">
        <v>2</v>
      </c>
      <c r="H1271" t="s">
        <v>61</v>
      </c>
      <c r="I1271" t="s">
        <v>35</v>
      </c>
      <c r="J1271" t="s">
        <v>36</v>
      </c>
      <c r="K1271" t="s">
        <v>50</v>
      </c>
      <c r="L1271">
        <v>97</v>
      </c>
      <c r="M1271" t="s">
        <v>38</v>
      </c>
      <c r="N1271" t="s">
        <v>56</v>
      </c>
      <c r="O1271" t="s">
        <v>76</v>
      </c>
      <c r="P1271" t="s">
        <v>41</v>
      </c>
      <c r="Q1271" t="s">
        <v>42</v>
      </c>
      <c r="R1271">
        <v>3539</v>
      </c>
      <c r="S1271">
        <v>5033</v>
      </c>
      <c r="T1271">
        <v>0</v>
      </c>
      <c r="U1271" t="s">
        <v>46</v>
      </c>
      <c r="V1271">
        <v>13</v>
      </c>
      <c r="W1271" t="s">
        <v>43</v>
      </c>
      <c r="X1271" t="s">
        <v>36</v>
      </c>
      <c r="Y1271">
        <v>0</v>
      </c>
      <c r="Z1271">
        <v>10</v>
      </c>
      <c r="AA1271">
        <v>5</v>
      </c>
      <c r="AB1271" t="s">
        <v>54</v>
      </c>
      <c r="AC1271">
        <v>9</v>
      </c>
      <c r="AD1271" t="str" cm="1">
        <f t="array" ref="AD1271">_xlfn.IFS(AC1271&lt;=5,"0-5",AC1271&lt;=10,"5-10",AC1271&lt;=40,"10-40")</f>
        <v>5-10</v>
      </c>
      <c r="AE1271">
        <v>7</v>
      </c>
      <c r="AF1271">
        <v>1</v>
      </c>
      <c r="AG1271">
        <v>8</v>
      </c>
      <c r="AH1271">
        <v>1270</v>
      </c>
    </row>
    <row r="1272" spans="1:34" x14ac:dyDescent="0.3">
      <c r="A1272">
        <v>34</v>
      </c>
      <c r="B1272" t="str" cm="1">
        <f t="array" ref="B1272">_xlfn.IFS(A1272&lt;=25,"18-25",A1272&lt;=35,"26-35",A1272&lt;=45,"36-45",A1272&lt;=55,"46-55",A1272&gt;55,"55+")</f>
        <v>26-35</v>
      </c>
      <c r="C1272">
        <v>0</v>
      </c>
      <c r="D1272" t="s">
        <v>32</v>
      </c>
      <c r="E1272">
        <v>511</v>
      </c>
      <c r="F1272" t="s">
        <v>33</v>
      </c>
      <c r="G1272">
        <v>3</v>
      </c>
      <c r="H1272" t="s">
        <v>34</v>
      </c>
      <c r="I1272" t="s">
        <v>35</v>
      </c>
      <c r="J1272" t="s">
        <v>41</v>
      </c>
      <c r="K1272" t="s">
        <v>37</v>
      </c>
      <c r="L1272">
        <v>32</v>
      </c>
      <c r="M1272" t="s">
        <v>44</v>
      </c>
      <c r="N1272" t="s">
        <v>39</v>
      </c>
      <c r="O1272" t="s">
        <v>40</v>
      </c>
      <c r="P1272" t="s">
        <v>41</v>
      </c>
      <c r="Q1272" t="s">
        <v>42</v>
      </c>
      <c r="R1272">
        <v>6029</v>
      </c>
      <c r="S1272">
        <v>25353</v>
      </c>
      <c r="T1272">
        <v>5</v>
      </c>
      <c r="U1272" t="s">
        <v>46</v>
      </c>
      <c r="V1272">
        <v>12</v>
      </c>
      <c r="W1272" t="s">
        <v>43</v>
      </c>
      <c r="X1272" t="s">
        <v>44</v>
      </c>
      <c r="Y1272">
        <v>0</v>
      </c>
      <c r="Z1272">
        <v>6</v>
      </c>
      <c r="AA1272">
        <v>3</v>
      </c>
      <c r="AB1272" t="s">
        <v>54</v>
      </c>
      <c r="AC1272">
        <v>2</v>
      </c>
      <c r="AD1272" t="str" cm="1">
        <f t="array" ref="AD1272">_xlfn.IFS(AC1272&lt;=5,"0-5",AC1272&lt;=10,"5-10",AC1272&lt;=40,"10-40")</f>
        <v>0-5</v>
      </c>
      <c r="AE1272">
        <v>2</v>
      </c>
      <c r="AF1272">
        <v>2</v>
      </c>
      <c r="AG1272">
        <v>2</v>
      </c>
      <c r="AH1272">
        <v>1271</v>
      </c>
    </row>
    <row r="1273" spans="1:34" x14ac:dyDescent="0.3">
      <c r="A1273">
        <v>21</v>
      </c>
      <c r="B1273" t="str" cm="1">
        <f t="array" ref="B1273">_xlfn.IFS(A1273&lt;=25,"18-25",A1273&lt;=35,"26-35",A1273&lt;=45,"36-45",A1273&lt;=55,"46-55",A1273&gt;55,"55+")</f>
        <v>18-25</v>
      </c>
      <c r="C1273">
        <v>1</v>
      </c>
      <c r="D1273" t="s">
        <v>32</v>
      </c>
      <c r="E1273">
        <v>337</v>
      </c>
      <c r="F1273" t="s">
        <v>33</v>
      </c>
      <c r="G1273">
        <v>7</v>
      </c>
      <c r="H1273" t="s">
        <v>49</v>
      </c>
      <c r="I1273" t="s">
        <v>72</v>
      </c>
      <c r="J1273" t="s">
        <v>36</v>
      </c>
      <c r="K1273" t="s">
        <v>50</v>
      </c>
      <c r="L1273">
        <v>31</v>
      </c>
      <c r="M1273" t="s">
        <v>38</v>
      </c>
      <c r="N1273" t="s">
        <v>56</v>
      </c>
      <c r="O1273" t="s">
        <v>69</v>
      </c>
      <c r="P1273" t="s">
        <v>36</v>
      </c>
      <c r="Q1273" t="s">
        <v>42</v>
      </c>
      <c r="R1273">
        <v>2679</v>
      </c>
      <c r="S1273">
        <v>4567</v>
      </c>
      <c r="T1273">
        <v>1</v>
      </c>
      <c r="U1273" t="s">
        <v>46</v>
      </c>
      <c r="V1273">
        <v>13</v>
      </c>
      <c r="W1273" t="s">
        <v>43</v>
      </c>
      <c r="X1273" t="s">
        <v>36</v>
      </c>
      <c r="Y1273">
        <v>0</v>
      </c>
      <c r="Z1273">
        <v>1</v>
      </c>
      <c r="AA1273">
        <v>3</v>
      </c>
      <c r="AB1273" t="s">
        <v>54</v>
      </c>
      <c r="AC1273">
        <v>1</v>
      </c>
      <c r="AD1273" t="str" cm="1">
        <f t="array" ref="AD1273">_xlfn.IFS(AC1273&lt;=5,"0-5",AC1273&lt;=10,"5-10",AC1273&lt;=40,"10-40")</f>
        <v>0-5</v>
      </c>
      <c r="AE1273">
        <v>0</v>
      </c>
      <c r="AF1273">
        <v>1</v>
      </c>
      <c r="AG1273">
        <v>0</v>
      </c>
      <c r="AH1273">
        <v>1272</v>
      </c>
    </row>
    <row r="1274" spans="1:34" x14ac:dyDescent="0.3">
      <c r="A1274">
        <v>38</v>
      </c>
      <c r="B1274" t="str" cm="1">
        <f t="array" ref="B1274">_xlfn.IFS(A1274&lt;=25,"18-25",A1274&lt;=35,"26-35",A1274&lt;=45,"36-45",A1274&lt;=55,"46-55",A1274&gt;55,"55+")</f>
        <v>36-45</v>
      </c>
      <c r="C1274">
        <v>0</v>
      </c>
      <c r="D1274" t="s">
        <v>32</v>
      </c>
      <c r="E1274">
        <v>1153</v>
      </c>
      <c r="F1274" t="s">
        <v>48</v>
      </c>
      <c r="G1274">
        <v>6</v>
      </c>
      <c r="H1274" t="s">
        <v>34</v>
      </c>
      <c r="I1274" t="s">
        <v>55</v>
      </c>
      <c r="J1274" t="s">
        <v>41</v>
      </c>
      <c r="K1274" t="s">
        <v>37</v>
      </c>
      <c r="L1274">
        <v>40</v>
      </c>
      <c r="M1274" t="s">
        <v>36</v>
      </c>
      <c r="N1274" t="s">
        <v>56</v>
      </c>
      <c r="O1274" t="s">
        <v>57</v>
      </c>
      <c r="P1274" t="s">
        <v>38</v>
      </c>
      <c r="Q1274" t="s">
        <v>52</v>
      </c>
      <c r="R1274">
        <v>3702</v>
      </c>
      <c r="S1274">
        <v>16376</v>
      </c>
      <c r="T1274">
        <v>1</v>
      </c>
      <c r="U1274" t="s">
        <v>46</v>
      </c>
      <c r="V1274">
        <v>11</v>
      </c>
      <c r="W1274" t="s">
        <v>43</v>
      </c>
      <c r="X1274" t="s">
        <v>36</v>
      </c>
      <c r="Y1274">
        <v>1</v>
      </c>
      <c r="Z1274">
        <v>5</v>
      </c>
      <c r="AA1274">
        <v>3</v>
      </c>
      <c r="AB1274" t="s">
        <v>54</v>
      </c>
      <c r="AC1274">
        <v>5</v>
      </c>
      <c r="AD1274" t="str" cm="1">
        <f t="array" ref="AD1274">_xlfn.IFS(AC1274&lt;=5,"0-5",AC1274&lt;=10,"5-10",AC1274&lt;=40,"10-40")</f>
        <v>0-5</v>
      </c>
      <c r="AE1274">
        <v>4</v>
      </c>
      <c r="AF1274">
        <v>0</v>
      </c>
      <c r="AG1274">
        <v>4</v>
      </c>
      <c r="AH1274">
        <v>1273</v>
      </c>
    </row>
    <row r="1275" spans="1:34" x14ac:dyDescent="0.3">
      <c r="A1275">
        <v>22</v>
      </c>
      <c r="B1275" t="str" cm="1">
        <f t="array" ref="B1275">_xlfn.IFS(A1275&lt;=25,"18-25",A1275&lt;=35,"26-35",A1275&lt;=45,"36-45",A1275&lt;=55,"46-55",A1275&gt;55,"55+")</f>
        <v>18-25</v>
      </c>
      <c r="C1275">
        <v>1</v>
      </c>
      <c r="D1275" t="s">
        <v>32</v>
      </c>
      <c r="E1275">
        <v>1294</v>
      </c>
      <c r="F1275" t="s">
        <v>48</v>
      </c>
      <c r="G1275">
        <v>8</v>
      </c>
      <c r="H1275" t="s">
        <v>49</v>
      </c>
      <c r="I1275" t="s">
        <v>59</v>
      </c>
      <c r="J1275" t="s">
        <v>38</v>
      </c>
      <c r="K1275" t="s">
        <v>37</v>
      </c>
      <c r="L1275">
        <v>79</v>
      </c>
      <c r="M1275" t="s">
        <v>38</v>
      </c>
      <c r="N1275" t="s">
        <v>56</v>
      </c>
      <c r="O1275" t="s">
        <v>57</v>
      </c>
      <c r="P1275" t="s">
        <v>44</v>
      </c>
      <c r="Q1275" t="s">
        <v>52</v>
      </c>
      <c r="R1275">
        <v>2398</v>
      </c>
      <c r="S1275">
        <v>15999</v>
      </c>
      <c r="T1275">
        <v>1</v>
      </c>
      <c r="U1275" t="s">
        <v>31</v>
      </c>
      <c r="V1275">
        <v>17</v>
      </c>
      <c r="W1275" t="s">
        <v>43</v>
      </c>
      <c r="X1275" t="s">
        <v>38</v>
      </c>
      <c r="Y1275">
        <v>0</v>
      </c>
      <c r="Z1275">
        <v>1</v>
      </c>
      <c r="AA1275">
        <v>6</v>
      </c>
      <c r="AB1275" t="s">
        <v>54</v>
      </c>
      <c r="AC1275">
        <v>1</v>
      </c>
      <c r="AD1275" t="str" cm="1">
        <f t="array" ref="AD1275">_xlfn.IFS(AC1275&lt;=5,"0-5",AC1275&lt;=10,"5-10",AC1275&lt;=40,"10-40")</f>
        <v>0-5</v>
      </c>
      <c r="AE1275">
        <v>0</v>
      </c>
      <c r="AF1275">
        <v>0</v>
      </c>
      <c r="AG1275">
        <v>0</v>
      </c>
      <c r="AH1275">
        <v>1274</v>
      </c>
    </row>
    <row r="1276" spans="1:34" x14ac:dyDescent="0.3">
      <c r="A1276">
        <v>31</v>
      </c>
      <c r="B1276" t="str" cm="1">
        <f t="array" ref="B1276">_xlfn.IFS(A1276&lt;=25,"18-25",A1276&lt;=35,"26-35",A1276&lt;=45,"36-45",A1276&lt;=55,"46-55",A1276&gt;55,"55+")</f>
        <v>26-35</v>
      </c>
      <c r="C1276">
        <v>0</v>
      </c>
      <c r="D1276" t="s">
        <v>32</v>
      </c>
      <c r="E1276">
        <v>196</v>
      </c>
      <c r="F1276" t="s">
        <v>33</v>
      </c>
      <c r="G1276">
        <v>29</v>
      </c>
      <c r="H1276" t="s">
        <v>58</v>
      </c>
      <c r="I1276" t="s">
        <v>72</v>
      </c>
      <c r="J1276" t="s">
        <v>44</v>
      </c>
      <c r="K1276" t="s">
        <v>37</v>
      </c>
      <c r="L1276">
        <v>91</v>
      </c>
      <c r="M1276" t="s">
        <v>36</v>
      </c>
      <c r="N1276" t="s">
        <v>39</v>
      </c>
      <c r="O1276" t="s">
        <v>40</v>
      </c>
      <c r="P1276" t="s">
        <v>41</v>
      </c>
      <c r="Q1276" t="s">
        <v>52</v>
      </c>
      <c r="R1276">
        <v>5468</v>
      </c>
      <c r="S1276">
        <v>13402</v>
      </c>
      <c r="T1276">
        <v>1</v>
      </c>
      <c r="U1276" t="s">
        <v>46</v>
      </c>
      <c r="V1276">
        <v>14</v>
      </c>
      <c r="W1276" t="s">
        <v>43</v>
      </c>
      <c r="X1276" t="s">
        <v>44</v>
      </c>
      <c r="Y1276">
        <v>2</v>
      </c>
      <c r="Z1276">
        <v>13</v>
      </c>
      <c r="AA1276">
        <v>3</v>
      </c>
      <c r="AB1276" t="s">
        <v>54</v>
      </c>
      <c r="AC1276">
        <v>12</v>
      </c>
      <c r="AD1276" t="str" cm="1">
        <f t="array" ref="AD1276">_xlfn.IFS(AC1276&lt;=5,"0-5",AC1276&lt;=10,"5-10",AC1276&lt;=40,"10-40")</f>
        <v>10-40</v>
      </c>
      <c r="AE1276">
        <v>7</v>
      </c>
      <c r="AF1276">
        <v>5</v>
      </c>
      <c r="AG1276">
        <v>7</v>
      </c>
      <c r="AH1276">
        <v>1275</v>
      </c>
    </row>
    <row r="1277" spans="1:34" x14ac:dyDescent="0.3">
      <c r="A1277">
        <v>51</v>
      </c>
      <c r="B1277" t="str" cm="1">
        <f t="array" ref="B1277">_xlfn.IFS(A1277&lt;=25,"18-25",A1277&lt;=35,"26-35",A1277&lt;=45,"36-45",A1277&lt;=55,"46-55",A1277&gt;55,"55+")</f>
        <v>46-55</v>
      </c>
      <c r="C1277">
        <v>0</v>
      </c>
      <c r="D1277" t="s">
        <v>32</v>
      </c>
      <c r="E1277">
        <v>942</v>
      </c>
      <c r="F1277" t="s">
        <v>48</v>
      </c>
      <c r="G1277">
        <v>3</v>
      </c>
      <c r="H1277" t="s">
        <v>61</v>
      </c>
      <c r="I1277" t="s">
        <v>74</v>
      </c>
      <c r="J1277" t="s">
        <v>44</v>
      </c>
      <c r="K1277" t="s">
        <v>37</v>
      </c>
      <c r="L1277">
        <v>53</v>
      </c>
      <c r="M1277" t="s">
        <v>38</v>
      </c>
      <c r="N1277" t="s">
        <v>63</v>
      </c>
      <c r="O1277" t="s">
        <v>68</v>
      </c>
      <c r="P1277" t="s">
        <v>38</v>
      </c>
      <c r="Q1277" t="s">
        <v>52</v>
      </c>
      <c r="R1277">
        <v>13116</v>
      </c>
      <c r="S1277">
        <v>22984</v>
      </c>
      <c r="T1277">
        <v>2</v>
      </c>
      <c r="U1277" t="s">
        <v>46</v>
      </c>
      <c r="V1277">
        <v>11</v>
      </c>
      <c r="W1277" t="s">
        <v>43</v>
      </c>
      <c r="X1277" t="s">
        <v>41</v>
      </c>
      <c r="Y1277">
        <v>0</v>
      </c>
      <c r="Z1277">
        <v>15</v>
      </c>
      <c r="AA1277">
        <v>2</v>
      </c>
      <c r="AB1277" t="s">
        <v>54</v>
      </c>
      <c r="AC1277">
        <v>2</v>
      </c>
      <c r="AD1277" t="str" cm="1">
        <f t="array" ref="AD1277">_xlfn.IFS(AC1277&lt;=5,"0-5",AC1277&lt;=10,"5-10",AC1277&lt;=40,"10-40")</f>
        <v>0-5</v>
      </c>
      <c r="AE1277">
        <v>2</v>
      </c>
      <c r="AF1277">
        <v>2</v>
      </c>
      <c r="AG1277">
        <v>2</v>
      </c>
      <c r="AH1277">
        <v>1276</v>
      </c>
    </row>
    <row r="1278" spans="1:34" x14ac:dyDescent="0.3">
      <c r="A1278">
        <v>37</v>
      </c>
      <c r="B1278" t="str" cm="1">
        <f t="array" ref="B1278">_xlfn.IFS(A1278&lt;=25,"18-25",A1278&lt;=35,"26-35",A1278&lt;=45,"36-45",A1278&lt;=55,"46-55",A1278&gt;55,"55+")</f>
        <v>36-45</v>
      </c>
      <c r="C1278">
        <v>0</v>
      </c>
      <c r="D1278" t="s">
        <v>32</v>
      </c>
      <c r="E1278">
        <v>589</v>
      </c>
      <c r="F1278" t="s">
        <v>33</v>
      </c>
      <c r="G1278">
        <v>9</v>
      </c>
      <c r="H1278" t="s">
        <v>34</v>
      </c>
      <c r="I1278" t="s">
        <v>72</v>
      </c>
      <c r="J1278" t="s">
        <v>36</v>
      </c>
      <c r="K1278" t="s">
        <v>50</v>
      </c>
      <c r="L1278">
        <v>46</v>
      </c>
      <c r="M1278" t="s">
        <v>36</v>
      </c>
      <c r="N1278" t="s">
        <v>39</v>
      </c>
      <c r="O1278" t="s">
        <v>40</v>
      </c>
      <c r="P1278" t="s">
        <v>36</v>
      </c>
      <c r="Q1278" t="s">
        <v>52</v>
      </c>
      <c r="R1278">
        <v>4189</v>
      </c>
      <c r="S1278">
        <v>8800</v>
      </c>
      <c r="T1278">
        <v>1</v>
      </c>
      <c r="U1278" t="s">
        <v>46</v>
      </c>
      <c r="V1278">
        <v>14</v>
      </c>
      <c r="W1278" t="s">
        <v>43</v>
      </c>
      <c r="X1278" t="s">
        <v>44</v>
      </c>
      <c r="Y1278">
        <v>2</v>
      </c>
      <c r="Z1278">
        <v>5</v>
      </c>
      <c r="AA1278">
        <v>2</v>
      </c>
      <c r="AB1278" t="s">
        <v>54</v>
      </c>
      <c r="AC1278">
        <v>5</v>
      </c>
      <c r="AD1278" t="str" cm="1">
        <f t="array" ref="AD1278">_xlfn.IFS(AC1278&lt;=5,"0-5",AC1278&lt;=10,"5-10",AC1278&lt;=40,"10-40")</f>
        <v>0-5</v>
      </c>
      <c r="AE1278">
        <v>2</v>
      </c>
      <c r="AF1278">
        <v>0</v>
      </c>
      <c r="AG1278">
        <v>3</v>
      </c>
      <c r="AH1278">
        <v>1277</v>
      </c>
    </row>
    <row r="1279" spans="1:34" x14ac:dyDescent="0.3">
      <c r="A1279">
        <v>46</v>
      </c>
      <c r="B1279" t="str" cm="1">
        <f t="array" ref="B1279">_xlfn.IFS(A1279&lt;=25,"18-25",A1279&lt;=35,"26-35",A1279&lt;=45,"36-45",A1279&lt;=55,"46-55",A1279&gt;55,"55+")</f>
        <v>46-55</v>
      </c>
      <c r="C1279">
        <v>0</v>
      </c>
      <c r="D1279" t="s">
        <v>32</v>
      </c>
      <c r="E1279">
        <v>734</v>
      </c>
      <c r="F1279" t="s">
        <v>48</v>
      </c>
      <c r="G1279">
        <v>2</v>
      </c>
      <c r="H1279" t="s">
        <v>58</v>
      </c>
      <c r="I1279" t="s">
        <v>59</v>
      </c>
      <c r="J1279" t="s">
        <v>38</v>
      </c>
      <c r="K1279" t="s">
        <v>50</v>
      </c>
      <c r="L1279">
        <v>46</v>
      </c>
      <c r="M1279" t="s">
        <v>38</v>
      </c>
      <c r="N1279" t="s">
        <v>71</v>
      </c>
      <c r="O1279" t="s">
        <v>70</v>
      </c>
      <c r="P1279" t="s">
        <v>41</v>
      </c>
      <c r="Q1279" t="s">
        <v>62</v>
      </c>
      <c r="R1279">
        <v>19328</v>
      </c>
      <c r="S1279">
        <v>14218</v>
      </c>
      <c r="T1279">
        <v>7</v>
      </c>
      <c r="U1279" t="s">
        <v>31</v>
      </c>
      <c r="V1279">
        <v>17</v>
      </c>
      <c r="W1279" t="s">
        <v>43</v>
      </c>
      <c r="X1279" t="s">
        <v>38</v>
      </c>
      <c r="Y1279">
        <v>1</v>
      </c>
      <c r="Z1279">
        <v>24</v>
      </c>
      <c r="AA1279">
        <v>3</v>
      </c>
      <c r="AB1279" t="s">
        <v>54</v>
      </c>
      <c r="AC1279">
        <v>2</v>
      </c>
      <c r="AD1279" t="str" cm="1">
        <f t="array" ref="AD1279">_xlfn.IFS(AC1279&lt;=5,"0-5",AC1279&lt;=10,"5-10",AC1279&lt;=40,"10-40")</f>
        <v>0-5</v>
      </c>
      <c r="AE1279">
        <v>1</v>
      </c>
      <c r="AF1279">
        <v>2</v>
      </c>
      <c r="AG1279">
        <v>2</v>
      </c>
      <c r="AH1279">
        <v>1278</v>
      </c>
    </row>
    <row r="1280" spans="1:34" x14ac:dyDescent="0.3">
      <c r="A1280">
        <v>36</v>
      </c>
      <c r="B1280" t="str" cm="1">
        <f t="array" ref="B1280">_xlfn.IFS(A1280&lt;=25,"18-25",A1280&lt;=35,"26-35",A1280&lt;=45,"36-45",A1280&lt;=55,"46-55",A1280&gt;55,"55+")</f>
        <v>36-45</v>
      </c>
      <c r="C1280">
        <v>0</v>
      </c>
      <c r="D1280" t="s">
        <v>32</v>
      </c>
      <c r="E1280">
        <v>1383</v>
      </c>
      <c r="F1280" t="s">
        <v>48</v>
      </c>
      <c r="G1280">
        <v>10</v>
      </c>
      <c r="H1280" t="s">
        <v>61</v>
      </c>
      <c r="I1280" t="s">
        <v>35</v>
      </c>
      <c r="J1280" t="s">
        <v>41</v>
      </c>
      <c r="K1280" t="s">
        <v>50</v>
      </c>
      <c r="L1280">
        <v>90</v>
      </c>
      <c r="M1280" t="s">
        <v>38</v>
      </c>
      <c r="N1280" t="s">
        <v>63</v>
      </c>
      <c r="O1280" t="s">
        <v>65</v>
      </c>
      <c r="P1280" t="s">
        <v>44</v>
      </c>
      <c r="Q1280" t="s">
        <v>52</v>
      </c>
      <c r="R1280">
        <v>8321</v>
      </c>
      <c r="S1280">
        <v>25949</v>
      </c>
      <c r="T1280">
        <v>7</v>
      </c>
      <c r="U1280" t="s">
        <v>31</v>
      </c>
      <c r="V1280">
        <v>13</v>
      </c>
      <c r="W1280" t="s">
        <v>43</v>
      </c>
      <c r="X1280" t="s">
        <v>41</v>
      </c>
      <c r="Y1280">
        <v>1</v>
      </c>
      <c r="Z1280">
        <v>15</v>
      </c>
      <c r="AA1280">
        <v>1</v>
      </c>
      <c r="AB1280" t="s">
        <v>54</v>
      </c>
      <c r="AC1280">
        <v>12</v>
      </c>
      <c r="AD1280" t="str" cm="1">
        <f t="array" ref="AD1280">_xlfn.IFS(AC1280&lt;=5,"0-5",AC1280&lt;=10,"5-10",AC1280&lt;=40,"10-40")</f>
        <v>10-40</v>
      </c>
      <c r="AE1280">
        <v>8</v>
      </c>
      <c r="AF1280">
        <v>5</v>
      </c>
      <c r="AG1280">
        <v>7</v>
      </c>
      <c r="AH1280">
        <v>1279</v>
      </c>
    </row>
    <row r="1281" spans="1:34" x14ac:dyDescent="0.3">
      <c r="A1281">
        <v>44</v>
      </c>
      <c r="B1281" t="str" cm="1">
        <f t="array" ref="B1281">_xlfn.IFS(A1281&lt;=25,"18-25",A1281&lt;=35,"26-35",A1281&lt;=45,"36-45",A1281&lt;=55,"46-55",A1281&gt;55,"55+")</f>
        <v>36-45</v>
      </c>
      <c r="C1281">
        <v>1</v>
      </c>
      <c r="D1281" t="s">
        <v>47</v>
      </c>
      <c r="E1281">
        <v>429</v>
      </c>
      <c r="F1281" t="s">
        <v>48</v>
      </c>
      <c r="G1281">
        <v>1</v>
      </c>
      <c r="H1281" t="s">
        <v>34</v>
      </c>
      <c r="I1281" t="s">
        <v>59</v>
      </c>
      <c r="J1281" t="s">
        <v>38</v>
      </c>
      <c r="K1281" t="s">
        <v>50</v>
      </c>
      <c r="L1281">
        <v>99</v>
      </c>
      <c r="M1281" t="s">
        <v>38</v>
      </c>
      <c r="N1281" t="s">
        <v>56</v>
      </c>
      <c r="O1281" t="s">
        <v>51</v>
      </c>
      <c r="P1281" t="s">
        <v>36</v>
      </c>
      <c r="Q1281" t="s">
        <v>62</v>
      </c>
      <c r="R1281">
        <v>2342</v>
      </c>
      <c r="S1281">
        <v>11092</v>
      </c>
      <c r="T1281">
        <v>1</v>
      </c>
      <c r="U1281" t="s">
        <v>31</v>
      </c>
      <c r="V1281">
        <v>12</v>
      </c>
      <c r="W1281" t="s">
        <v>43</v>
      </c>
      <c r="X1281" t="s">
        <v>38</v>
      </c>
      <c r="Y1281">
        <v>3</v>
      </c>
      <c r="Z1281">
        <v>6</v>
      </c>
      <c r="AA1281">
        <v>2</v>
      </c>
      <c r="AB1281" t="s">
        <v>60</v>
      </c>
      <c r="AC1281">
        <v>5</v>
      </c>
      <c r="AD1281" t="str" cm="1">
        <f t="array" ref="AD1281">_xlfn.IFS(AC1281&lt;=5,"0-5",AC1281&lt;=10,"5-10",AC1281&lt;=40,"10-40")</f>
        <v>0-5</v>
      </c>
      <c r="AE1281">
        <v>3</v>
      </c>
      <c r="AF1281">
        <v>2</v>
      </c>
      <c r="AG1281">
        <v>3</v>
      </c>
      <c r="AH1281">
        <v>1280</v>
      </c>
    </row>
    <row r="1282" spans="1:34" x14ac:dyDescent="0.3">
      <c r="A1282">
        <v>37</v>
      </c>
      <c r="B1282" t="str" cm="1">
        <f t="array" ref="B1282">_xlfn.IFS(A1282&lt;=25,"18-25",A1282&lt;=35,"26-35",A1282&lt;=45,"36-45",A1282&lt;=55,"46-55",A1282&gt;55,"55+")</f>
        <v>36-45</v>
      </c>
      <c r="C1282">
        <v>0</v>
      </c>
      <c r="D1282" t="s">
        <v>32</v>
      </c>
      <c r="E1282">
        <v>1239</v>
      </c>
      <c r="F1282" t="s">
        <v>76</v>
      </c>
      <c r="G1282">
        <v>8</v>
      </c>
      <c r="H1282" t="s">
        <v>34</v>
      </c>
      <c r="I1282" t="s">
        <v>55</v>
      </c>
      <c r="J1282" t="s">
        <v>38</v>
      </c>
      <c r="K1282" t="s">
        <v>50</v>
      </c>
      <c r="L1282">
        <v>89</v>
      </c>
      <c r="M1282" t="s">
        <v>38</v>
      </c>
      <c r="N1282" t="s">
        <v>39</v>
      </c>
      <c r="O1282" t="s">
        <v>76</v>
      </c>
      <c r="P1282" t="s">
        <v>36</v>
      </c>
      <c r="Q1282" t="s">
        <v>62</v>
      </c>
      <c r="R1282">
        <v>4071</v>
      </c>
      <c r="S1282">
        <v>12832</v>
      </c>
      <c r="T1282">
        <v>2</v>
      </c>
      <c r="U1282" t="s">
        <v>46</v>
      </c>
      <c r="V1282">
        <v>13</v>
      </c>
      <c r="W1282" t="s">
        <v>43</v>
      </c>
      <c r="X1282" t="s">
        <v>38</v>
      </c>
      <c r="Y1282">
        <v>0</v>
      </c>
      <c r="Z1282">
        <v>19</v>
      </c>
      <c r="AA1282">
        <v>4</v>
      </c>
      <c r="AB1282" t="s">
        <v>60</v>
      </c>
      <c r="AC1282">
        <v>10</v>
      </c>
      <c r="AD1282" t="str" cm="1">
        <f t="array" ref="AD1282">_xlfn.IFS(AC1282&lt;=5,"0-5",AC1282&lt;=10,"5-10",AC1282&lt;=40,"10-40")</f>
        <v>5-10</v>
      </c>
      <c r="AE1282">
        <v>0</v>
      </c>
      <c r="AF1282">
        <v>4</v>
      </c>
      <c r="AG1282">
        <v>7</v>
      </c>
      <c r="AH1282">
        <v>1281</v>
      </c>
    </row>
    <row r="1283" spans="1:34" x14ac:dyDescent="0.3">
      <c r="A1283">
        <v>35</v>
      </c>
      <c r="B1283" t="str" cm="1">
        <f t="array" ref="B1283">_xlfn.IFS(A1283&lt;=25,"18-25",A1283&lt;=35,"26-35",A1283&lt;=45,"36-45",A1283&lt;=55,"46-55",A1283&gt;55,"55+")</f>
        <v>26-35</v>
      </c>
      <c r="C1283">
        <v>1</v>
      </c>
      <c r="D1283" t="s">
        <v>32</v>
      </c>
      <c r="E1283">
        <v>303</v>
      </c>
      <c r="F1283" t="s">
        <v>33</v>
      </c>
      <c r="G1283">
        <v>27</v>
      </c>
      <c r="H1283" t="s">
        <v>61</v>
      </c>
      <c r="I1283" t="s">
        <v>35</v>
      </c>
      <c r="J1283" t="s">
        <v>38</v>
      </c>
      <c r="K1283" t="s">
        <v>50</v>
      </c>
      <c r="L1283">
        <v>84</v>
      </c>
      <c r="M1283" t="s">
        <v>38</v>
      </c>
      <c r="N1283" t="s">
        <v>39</v>
      </c>
      <c r="O1283" t="s">
        <v>40</v>
      </c>
      <c r="P1283" t="s">
        <v>41</v>
      </c>
      <c r="Q1283" t="s">
        <v>42</v>
      </c>
      <c r="R1283">
        <v>5813</v>
      </c>
      <c r="S1283">
        <v>13492</v>
      </c>
      <c r="T1283">
        <v>1</v>
      </c>
      <c r="U1283" t="s">
        <v>31</v>
      </c>
      <c r="V1283">
        <v>18</v>
      </c>
      <c r="W1283" t="s">
        <v>43</v>
      </c>
      <c r="X1283" t="s">
        <v>41</v>
      </c>
      <c r="Y1283">
        <v>0</v>
      </c>
      <c r="Z1283">
        <v>10</v>
      </c>
      <c r="AA1283">
        <v>2</v>
      </c>
      <c r="AB1283" t="s">
        <v>54</v>
      </c>
      <c r="AC1283">
        <v>10</v>
      </c>
      <c r="AD1283" t="str" cm="1">
        <f t="array" ref="AD1283">_xlfn.IFS(AC1283&lt;=5,"0-5",AC1283&lt;=10,"5-10",AC1283&lt;=40,"10-40")</f>
        <v>5-10</v>
      </c>
      <c r="AE1283">
        <v>7</v>
      </c>
      <c r="AF1283">
        <v>7</v>
      </c>
      <c r="AG1283">
        <v>7</v>
      </c>
      <c r="AH1283">
        <v>1282</v>
      </c>
    </row>
    <row r="1284" spans="1:34" x14ac:dyDescent="0.3">
      <c r="A1284">
        <v>33</v>
      </c>
      <c r="B1284" t="str" cm="1">
        <f t="array" ref="B1284">_xlfn.IFS(A1284&lt;=25,"18-25",A1284&lt;=35,"26-35",A1284&lt;=45,"36-45",A1284&lt;=55,"46-55",A1284&gt;55,"55+")</f>
        <v>26-35</v>
      </c>
      <c r="C1284">
        <v>0</v>
      </c>
      <c r="D1284" t="s">
        <v>32</v>
      </c>
      <c r="E1284">
        <v>867</v>
      </c>
      <c r="F1284" t="s">
        <v>48</v>
      </c>
      <c r="G1284">
        <v>8</v>
      </c>
      <c r="H1284" t="s">
        <v>58</v>
      </c>
      <c r="I1284" t="s">
        <v>35</v>
      </c>
      <c r="J1284" t="s">
        <v>41</v>
      </c>
      <c r="K1284" t="s">
        <v>50</v>
      </c>
      <c r="L1284">
        <v>90</v>
      </c>
      <c r="M1284" t="s">
        <v>41</v>
      </c>
      <c r="N1284" t="s">
        <v>56</v>
      </c>
      <c r="O1284" t="s">
        <v>51</v>
      </c>
      <c r="P1284" t="s">
        <v>44</v>
      </c>
      <c r="Q1284" t="s">
        <v>52</v>
      </c>
      <c r="R1284">
        <v>3143</v>
      </c>
      <c r="S1284">
        <v>6076</v>
      </c>
      <c r="T1284">
        <v>6</v>
      </c>
      <c r="U1284" t="s">
        <v>46</v>
      </c>
      <c r="V1284">
        <v>19</v>
      </c>
      <c r="W1284" t="s">
        <v>43</v>
      </c>
      <c r="X1284" t="s">
        <v>36</v>
      </c>
      <c r="Y1284">
        <v>1</v>
      </c>
      <c r="Z1284">
        <v>14</v>
      </c>
      <c r="AA1284">
        <v>1</v>
      </c>
      <c r="AB1284" t="s">
        <v>54</v>
      </c>
      <c r="AC1284">
        <v>10</v>
      </c>
      <c r="AD1284" t="str" cm="1">
        <f t="array" ref="AD1284">_xlfn.IFS(AC1284&lt;=5,"0-5",AC1284&lt;=10,"5-10",AC1284&lt;=40,"10-40")</f>
        <v>5-10</v>
      </c>
      <c r="AE1284">
        <v>8</v>
      </c>
      <c r="AF1284">
        <v>7</v>
      </c>
      <c r="AG1284">
        <v>6</v>
      </c>
      <c r="AH1284">
        <v>1283</v>
      </c>
    </row>
    <row r="1285" spans="1:34" x14ac:dyDescent="0.3">
      <c r="A1285">
        <v>28</v>
      </c>
      <c r="B1285" t="str" cm="1">
        <f t="array" ref="B1285">_xlfn.IFS(A1285&lt;=25,"18-25",A1285&lt;=35,"26-35",A1285&lt;=45,"36-45",A1285&lt;=55,"46-55",A1285&gt;55,"55+")</f>
        <v>26-35</v>
      </c>
      <c r="C1285">
        <v>0</v>
      </c>
      <c r="D1285" t="s">
        <v>32</v>
      </c>
      <c r="E1285">
        <v>1181</v>
      </c>
      <c r="F1285" t="s">
        <v>48</v>
      </c>
      <c r="G1285">
        <v>1</v>
      </c>
      <c r="H1285" t="s">
        <v>61</v>
      </c>
      <c r="I1285" t="s">
        <v>35</v>
      </c>
      <c r="J1285" t="s">
        <v>38</v>
      </c>
      <c r="K1285" t="s">
        <v>50</v>
      </c>
      <c r="L1285">
        <v>82</v>
      </c>
      <c r="M1285" t="s">
        <v>38</v>
      </c>
      <c r="N1285" t="s">
        <v>56</v>
      </c>
      <c r="O1285" t="s">
        <v>51</v>
      </c>
      <c r="P1285" t="s">
        <v>41</v>
      </c>
      <c r="Q1285" t="s">
        <v>52</v>
      </c>
      <c r="R1285">
        <v>2044</v>
      </c>
      <c r="S1285">
        <v>5531</v>
      </c>
      <c r="T1285">
        <v>1</v>
      </c>
      <c r="U1285" t="s">
        <v>46</v>
      </c>
      <c r="V1285">
        <v>11</v>
      </c>
      <c r="W1285" t="s">
        <v>43</v>
      </c>
      <c r="X1285" t="s">
        <v>38</v>
      </c>
      <c r="Y1285">
        <v>1</v>
      </c>
      <c r="Z1285">
        <v>5</v>
      </c>
      <c r="AA1285">
        <v>6</v>
      </c>
      <c r="AB1285" t="s">
        <v>73</v>
      </c>
      <c r="AC1285">
        <v>5</v>
      </c>
      <c r="AD1285" t="str" cm="1">
        <f t="array" ref="AD1285">_xlfn.IFS(AC1285&lt;=5,"0-5",AC1285&lt;=10,"5-10",AC1285&lt;=40,"10-40")</f>
        <v>0-5</v>
      </c>
      <c r="AE1285">
        <v>3</v>
      </c>
      <c r="AF1285">
        <v>0</v>
      </c>
      <c r="AG1285">
        <v>3</v>
      </c>
      <c r="AH1285">
        <v>1284</v>
      </c>
    </row>
    <row r="1286" spans="1:34" x14ac:dyDescent="0.3">
      <c r="A1286">
        <v>39</v>
      </c>
      <c r="B1286" t="str" cm="1">
        <f t="array" ref="B1286">_xlfn.IFS(A1286&lt;=25,"18-25",A1286&lt;=35,"26-35",A1286&lt;=45,"36-45",A1286&lt;=55,"46-55",A1286&gt;55,"55+")</f>
        <v>36-45</v>
      </c>
      <c r="C1286">
        <v>0</v>
      </c>
      <c r="D1286" t="s">
        <v>32</v>
      </c>
      <c r="E1286">
        <v>1253</v>
      </c>
      <c r="F1286" t="s">
        <v>48</v>
      </c>
      <c r="G1286">
        <v>10</v>
      </c>
      <c r="H1286" t="s">
        <v>49</v>
      </c>
      <c r="I1286" t="s">
        <v>59</v>
      </c>
      <c r="J1286" t="s">
        <v>38</v>
      </c>
      <c r="K1286" t="s">
        <v>50</v>
      </c>
      <c r="L1286">
        <v>65</v>
      </c>
      <c r="M1286" t="s">
        <v>38</v>
      </c>
      <c r="N1286" t="s">
        <v>63</v>
      </c>
      <c r="O1286" t="s">
        <v>70</v>
      </c>
      <c r="P1286" t="s">
        <v>38</v>
      </c>
      <c r="Q1286" t="s">
        <v>42</v>
      </c>
      <c r="R1286">
        <v>13464</v>
      </c>
      <c r="S1286">
        <v>7914</v>
      </c>
      <c r="T1286">
        <v>7</v>
      </c>
      <c r="U1286" t="s">
        <v>46</v>
      </c>
      <c r="V1286">
        <v>21</v>
      </c>
      <c r="W1286" t="s">
        <v>53</v>
      </c>
      <c r="X1286" t="s">
        <v>38</v>
      </c>
      <c r="Y1286">
        <v>0</v>
      </c>
      <c r="Z1286">
        <v>9</v>
      </c>
      <c r="AA1286">
        <v>3</v>
      </c>
      <c r="AB1286" t="s">
        <v>54</v>
      </c>
      <c r="AC1286">
        <v>4</v>
      </c>
      <c r="AD1286" t="str" cm="1">
        <f t="array" ref="AD1286">_xlfn.IFS(AC1286&lt;=5,"0-5",AC1286&lt;=10,"5-10",AC1286&lt;=40,"10-40")</f>
        <v>0-5</v>
      </c>
      <c r="AE1286">
        <v>3</v>
      </c>
      <c r="AF1286">
        <v>2</v>
      </c>
      <c r="AG1286">
        <v>2</v>
      </c>
      <c r="AH1286">
        <v>1285</v>
      </c>
    </row>
    <row r="1287" spans="1:34" x14ac:dyDescent="0.3">
      <c r="A1287">
        <v>46</v>
      </c>
      <c r="B1287" t="str" cm="1">
        <f t="array" ref="B1287">_xlfn.IFS(A1287&lt;=25,"18-25",A1287&lt;=35,"26-35",A1287&lt;=45,"36-45",A1287&lt;=55,"46-55",A1287&gt;55,"55+")</f>
        <v>46-55</v>
      </c>
      <c r="C1287">
        <v>0</v>
      </c>
      <c r="D1287" t="s">
        <v>66</v>
      </c>
      <c r="E1287">
        <v>849</v>
      </c>
      <c r="F1287" t="s">
        <v>33</v>
      </c>
      <c r="G1287">
        <v>26</v>
      </c>
      <c r="H1287" t="s">
        <v>34</v>
      </c>
      <c r="I1287" t="s">
        <v>35</v>
      </c>
      <c r="J1287" t="s">
        <v>36</v>
      </c>
      <c r="K1287" t="s">
        <v>50</v>
      </c>
      <c r="L1287">
        <v>98</v>
      </c>
      <c r="M1287" t="s">
        <v>36</v>
      </c>
      <c r="N1287" t="s">
        <v>39</v>
      </c>
      <c r="O1287" t="s">
        <v>40</v>
      </c>
      <c r="P1287" t="s">
        <v>36</v>
      </c>
      <c r="Q1287" t="s">
        <v>42</v>
      </c>
      <c r="R1287">
        <v>7991</v>
      </c>
      <c r="S1287">
        <v>25166</v>
      </c>
      <c r="T1287">
        <v>8</v>
      </c>
      <c r="U1287" t="s">
        <v>46</v>
      </c>
      <c r="V1287">
        <v>15</v>
      </c>
      <c r="W1287" t="s">
        <v>43</v>
      </c>
      <c r="X1287" t="s">
        <v>38</v>
      </c>
      <c r="Y1287">
        <v>0</v>
      </c>
      <c r="Z1287">
        <v>6</v>
      </c>
      <c r="AA1287">
        <v>3</v>
      </c>
      <c r="AB1287" t="s">
        <v>54</v>
      </c>
      <c r="AC1287">
        <v>2</v>
      </c>
      <c r="AD1287" t="str" cm="1">
        <f t="array" ref="AD1287">_xlfn.IFS(AC1287&lt;=5,"0-5",AC1287&lt;=10,"5-10",AC1287&lt;=40,"10-40")</f>
        <v>0-5</v>
      </c>
      <c r="AE1287">
        <v>2</v>
      </c>
      <c r="AF1287">
        <v>2</v>
      </c>
      <c r="AG1287">
        <v>2</v>
      </c>
      <c r="AH1287">
        <v>1286</v>
      </c>
    </row>
    <row r="1288" spans="1:34" x14ac:dyDescent="0.3">
      <c r="A1288">
        <v>40</v>
      </c>
      <c r="B1288" t="str" cm="1">
        <f t="array" ref="B1288">_xlfn.IFS(A1288&lt;=25,"18-25",A1288&lt;=35,"26-35",A1288&lt;=45,"36-45",A1288&lt;=55,"46-55",A1288&gt;55,"55+")</f>
        <v>36-45</v>
      </c>
      <c r="C1288">
        <v>0</v>
      </c>
      <c r="D1288" t="s">
        <v>32</v>
      </c>
      <c r="E1288">
        <v>616</v>
      </c>
      <c r="F1288" t="s">
        <v>48</v>
      </c>
      <c r="G1288">
        <v>2</v>
      </c>
      <c r="H1288" t="s">
        <v>34</v>
      </c>
      <c r="I1288" t="s">
        <v>35</v>
      </c>
      <c r="J1288" t="s">
        <v>38</v>
      </c>
      <c r="K1288" t="s">
        <v>37</v>
      </c>
      <c r="L1288">
        <v>99</v>
      </c>
      <c r="M1288" t="s">
        <v>38</v>
      </c>
      <c r="N1288" t="s">
        <v>56</v>
      </c>
      <c r="O1288" t="s">
        <v>57</v>
      </c>
      <c r="P1288" t="s">
        <v>44</v>
      </c>
      <c r="Q1288" t="s">
        <v>52</v>
      </c>
      <c r="R1288">
        <v>3377</v>
      </c>
      <c r="S1288">
        <v>25605</v>
      </c>
      <c r="T1288">
        <v>4</v>
      </c>
      <c r="U1288" t="s">
        <v>46</v>
      </c>
      <c r="V1288">
        <v>17</v>
      </c>
      <c r="W1288" t="s">
        <v>43</v>
      </c>
      <c r="X1288" t="s">
        <v>41</v>
      </c>
      <c r="Y1288">
        <v>1</v>
      </c>
      <c r="Z1288">
        <v>7</v>
      </c>
      <c r="AA1288">
        <v>5</v>
      </c>
      <c r="AB1288" t="s">
        <v>60</v>
      </c>
      <c r="AC1288">
        <v>4</v>
      </c>
      <c r="AD1288" t="str" cm="1">
        <f t="array" ref="AD1288">_xlfn.IFS(AC1288&lt;=5,"0-5",AC1288&lt;=10,"5-10",AC1288&lt;=40,"10-40")</f>
        <v>0-5</v>
      </c>
      <c r="AE1288">
        <v>3</v>
      </c>
      <c r="AF1288">
        <v>0</v>
      </c>
      <c r="AG1288">
        <v>2</v>
      </c>
      <c r="AH1288">
        <v>1287</v>
      </c>
    </row>
    <row r="1289" spans="1:34" x14ac:dyDescent="0.3">
      <c r="A1289">
        <v>42</v>
      </c>
      <c r="B1289" t="str" cm="1">
        <f t="array" ref="B1289">_xlfn.IFS(A1289&lt;=25,"18-25",A1289&lt;=35,"26-35",A1289&lt;=45,"36-45",A1289&lt;=55,"46-55",A1289&gt;55,"55+")</f>
        <v>36-45</v>
      </c>
      <c r="C1289">
        <v>0</v>
      </c>
      <c r="D1289" t="s">
        <v>32</v>
      </c>
      <c r="E1289">
        <v>1128</v>
      </c>
      <c r="F1289" t="s">
        <v>48</v>
      </c>
      <c r="G1289">
        <v>13</v>
      </c>
      <c r="H1289" t="s">
        <v>61</v>
      </c>
      <c r="I1289" t="s">
        <v>59</v>
      </c>
      <c r="J1289" t="s">
        <v>36</v>
      </c>
      <c r="K1289" t="s">
        <v>50</v>
      </c>
      <c r="L1289">
        <v>95</v>
      </c>
      <c r="M1289" t="s">
        <v>41</v>
      </c>
      <c r="N1289" t="s">
        <v>39</v>
      </c>
      <c r="O1289" t="s">
        <v>65</v>
      </c>
      <c r="P1289" t="s">
        <v>44</v>
      </c>
      <c r="Q1289" t="s">
        <v>52</v>
      </c>
      <c r="R1289">
        <v>5538</v>
      </c>
      <c r="S1289">
        <v>5696</v>
      </c>
      <c r="T1289">
        <v>5</v>
      </c>
      <c r="U1289" t="s">
        <v>46</v>
      </c>
      <c r="V1289">
        <v>18</v>
      </c>
      <c r="W1289" t="s">
        <v>43</v>
      </c>
      <c r="X1289" t="s">
        <v>38</v>
      </c>
      <c r="Y1289">
        <v>2</v>
      </c>
      <c r="Z1289">
        <v>10</v>
      </c>
      <c r="AA1289">
        <v>2</v>
      </c>
      <c r="AB1289" t="s">
        <v>60</v>
      </c>
      <c r="AC1289">
        <v>0</v>
      </c>
      <c r="AD1289" t="str" cm="1">
        <f t="array" ref="AD1289">_xlfn.IFS(AC1289&lt;=5,"0-5",AC1289&lt;=10,"5-10",AC1289&lt;=40,"10-40")</f>
        <v>0-5</v>
      </c>
      <c r="AE1289">
        <v>0</v>
      </c>
      <c r="AF1289">
        <v>0</v>
      </c>
      <c r="AG1289">
        <v>0</v>
      </c>
      <c r="AH1289">
        <v>1288</v>
      </c>
    </row>
    <row r="1290" spans="1:34" x14ac:dyDescent="0.3">
      <c r="A1290">
        <v>35</v>
      </c>
      <c r="B1290" t="str" cm="1">
        <f t="array" ref="B1290">_xlfn.IFS(A1290&lt;=25,"18-25",A1290&lt;=35,"26-35",A1290&lt;=45,"36-45",A1290&lt;=55,"46-55",A1290&gt;55,"55+")</f>
        <v>26-35</v>
      </c>
      <c r="C1290">
        <v>0</v>
      </c>
      <c r="D1290" t="s">
        <v>66</v>
      </c>
      <c r="E1290">
        <v>1180</v>
      </c>
      <c r="F1290" t="s">
        <v>48</v>
      </c>
      <c r="G1290">
        <v>2</v>
      </c>
      <c r="H1290" t="s">
        <v>34</v>
      </c>
      <c r="I1290" t="s">
        <v>59</v>
      </c>
      <c r="J1290" t="s">
        <v>36</v>
      </c>
      <c r="K1290" t="s">
        <v>50</v>
      </c>
      <c r="L1290">
        <v>90</v>
      </c>
      <c r="M1290" t="s">
        <v>38</v>
      </c>
      <c r="N1290" t="s">
        <v>39</v>
      </c>
      <c r="O1290" t="s">
        <v>64</v>
      </c>
      <c r="P1290" t="s">
        <v>41</v>
      </c>
      <c r="Q1290" t="s">
        <v>62</v>
      </c>
      <c r="R1290">
        <v>5762</v>
      </c>
      <c r="S1290">
        <v>24442</v>
      </c>
      <c r="T1290">
        <v>2</v>
      </c>
      <c r="U1290" t="s">
        <v>46</v>
      </c>
      <c r="V1290">
        <v>14</v>
      </c>
      <c r="W1290" t="s">
        <v>43</v>
      </c>
      <c r="X1290" t="s">
        <v>38</v>
      </c>
      <c r="Y1290">
        <v>1</v>
      </c>
      <c r="Z1290">
        <v>15</v>
      </c>
      <c r="AA1290">
        <v>6</v>
      </c>
      <c r="AB1290" t="s">
        <v>54</v>
      </c>
      <c r="AC1290">
        <v>7</v>
      </c>
      <c r="AD1290" t="str" cm="1">
        <f t="array" ref="AD1290">_xlfn.IFS(AC1290&lt;=5,"0-5",AC1290&lt;=10,"5-10",AC1290&lt;=40,"10-40")</f>
        <v>5-10</v>
      </c>
      <c r="AE1290">
        <v>7</v>
      </c>
      <c r="AF1290">
        <v>1</v>
      </c>
      <c r="AG1290">
        <v>7</v>
      </c>
      <c r="AH1290">
        <v>1289</v>
      </c>
    </row>
    <row r="1291" spans="1:34" x14ac:dyDescent="0.3">
      <c r="A1291">
        <v>38</v>
      </c>
      <c r="B1291" t="str" cm="1">
        <f t="array" ref="B1291">_xlfn.IFS(A1291&lt;=25,"18-25",A1291&lt;=35,"26-35",A1291&lt;=45,"36-45",A1291&lt;=55,"46-55",A1291&gt;55,"55+")</f>
        <v>36-45</v>
      </c>
      <c r="C1291">
        <v>0</v>
      </c>
      <c r="D1291" t="s">
        <v>66</v>
      </c>
      <c r="E1291">
        <v>1336</v>
      </c>
      <c r="F1291" t="s">
        <v>76</v>
      </c>
      <c r="G1291">
        <v>2</v>
      </c>
      <c r="H1291" t="s">
        <v>61</v>
      </c>
      <c r="I1291" t="s">
        <v>76</v>
      </c>
      <c r="J1291" t="s">
        <v>44</v>
      </c>
      <c r="K1291" t="s">
        <v>50</v>
      </c>
      <c r="L1291">
        <v>100</v>
      </c>
      <c r="M1291" t="s">
        <v>38</v>
      </c>
      <c r="N1291" t="s">
        <v>56</v>
      </c>
      <c r="O1291" t="s">
        <v>76</v>
      </c>
      <c r="P1291" t="s">
        <v>36</v>
      </c>
      <c r="Q1291" t="s">
        <v>62</v>
      </c>
      <c r="R1291">
        <v>2592</v>
      </c>
      <c r="S1291">
        <v>7129</v>
      </c>
      <c r="T1291">
        <v>5</v>
      </c>
      <c r="U1291" t="s">
        <v>46</v>
      </c>
      <c r="V1291">
        <v>13</v>
      </c>
      <c r="W1291" t="s">
        <v>43</v>
      </c>
      <c r="X1291" t="s">
        <v>41</v>
      </c>
      <c r="Y1291">
        <v>3</v>
      </c>
      <c r="Z1291">
        <v>13</v>
      </c>
      <c r="AA1291">
        <v>3</v>
      </c>
      <c r="AB1291" t="s">
        <v>54</v>
      </c>
      <c r="AC1291">
        <v>11</v>
      </c>
      <c r="AD1291" t="str" cm="1">
        <f t="array" ref="AD1291">_xlfn.IFS(AC1291&lt;=5,"0-5",AC1291&lt;=10,"5-10",AC1291&lt;=40,"10-40")</f>
        <v>10-40</v>
      </c>
      <c r="AE1291">
        <v>10</v>
      </c>
      <c r="AF1291">
        <v>3</v>
      </c>
      <c r="AG1291">
        <v>8</v>
      </c>
      <c r="AH1291">
        <v>1290</v>
      </c>
    </row>
    <row r="1292" spans="1:34" x14ac:dyDescent="0.3">
      <c r="A1292">
        <v>34</v>
      </c>
      <c r="B1292" t="str" cm="1">
        <f t="array" ref="B1292">_xlfn.IFS(A1292&lt;=25,"18-25",A1292&lt;=35,"26-35",A1292&lt;=45,"36-45",A1292&lt;=55,"46-55",A1292&gt;55,"55+")</f>
        <v>26-35</v>
      </c>
      <c r="C1292">
        <v>1</v>
      </c>
      <c r="D1292" t="s">
        <v>47</v>
      </c>
      <c r="E1292">
        <v>234</v>
      </c>
      <c r="F1292" t="s">
        <v>48</v>
      </c>
      <c r="G1292">
        <v>9</v>
      </c>
      <c r="H1292" t="s">
        <v>58</v>
      </c>
      <c r="I1292" t="s">
        <v>35</v>
      </c>
      <c r="J1292" t="s">
        <v>41</v>
      </c>
      <c r="K1292" t="s">
        <v>50</v>
      </c>
      <c r="L1292">
        <v>93</v>
      </c>
      <c r="M1292" t="s">
        <v>38</v>
      </c>
      <c r="N1292" t="s">
        <v>39</v>
      </c>
      <c r="O1292" t="s">
        <v>57</v>
      </c>
      <c r="P1292" t="s">
        <v>44</v>
      </c>
      <c r="Q1292" t="s">
        <v>52</v>
      </c>
      <c r="R1292">
        <v>5346</v>
      </c>
      <c r="S1292">
        <v>6208</v>
      </c>
      <c r="T1292">
        <v>4</v>
      </c>
      <c r="U1292" t="s">
        <v>46</v>
      </c>
      <c r="V1292">
        <v>17</v>
      </c>
      <c r="W1292" t="s">
        <v>43</v>
      </c>
      <c r="X1292" t="s">
        <v>38</v>
      </c>
      <c r="Y1292">
        <v>1</v>
      </c>
      <c r="Z1292">
        <v>11</v>
      </c>
      <c r="AA1292">
        <v>3</v>
      </c>
      <c r="AB1292" t="s">
        <v>60</v>
      </c>
      <c r="AC1292">
        <v>7</v>
      </c>
      <c r="AD1292" t="str" cm="1">
        <f t="array" ref="AD1292">_xlfn.IFS(AC1292&lt;=5,"0-5",AC1292&lt;=10,"5-10",AC1292&lt;=40,"10-40")</f>
        <v>5-10</v>
      </c>
      <c r="AE1292">
        <v>1</v>
      </c>
      <c r="AF1292">
        <v>0</v>
      </c>
      <c r="AG1292">
        <v>7</v>
      </c>
      <c r="AH1292">
        <v>1291</v>
      </c>
    </row>
    <row r="1293" spans="1:34" x14ac:dyDescent="0.3">
      <c r="A1293">
        <v>37</v>
      </c>
      <c r="B1293" t="str" cm="1">
        <f t="array" ref="B1293">_xlfn.IFS(A1293&lt;=25,"18-25",A1293&lt;=35,"26-35",A1293&lt;=45,"36-45",A1293&lt;=55,"46-55",A1293&gt;55,"55+")</f>
        <v>36-45</v>
      </c>
      <c r="C1293">
        <v>1</v>
      </c>
      <c r="D1293" t="s">
        <v>32</v>
      </c>
      <c r="E1293">
        <v>370</v>
      </c>
      <c r="F1293" t="s">
        <v>48</v>
      </c>
      <c r="G1293">
        <v>10</v>
      </c>
      <c r="H1293" t="s">
        <v>58</v>
      </c>
      <c r="I1293" t="s">
        <v>59</v>
      </c>
      <c r="J1293" t="s">
        <v>41</v>
      </c>
      <c r="K1293" t="s">
        <v>50</v>
      </c>
      <c r="L1293">
        <v>58</v>
      </c>
      <c r="M1293" t="s">
        <v>38</v>
      </c>
      <c r="N1293" t="s">
        <v>39</v>
      </c>
      <c r="O1293" t="s">
        <v>64</v>
      </c>
      <c r="P1293" t="s">
        <v>44</v>
      </c>
      <c r="Q1293" t="s">
        <v>42</v>
      </c>
      <c r="R1293">
        <v>4213</v>
      </c>
      <c r="S1293">
        <v>4992</v>
      </c>
      <c r="T1293">
        <v>1</v>
      </c>
      <c r="U1293" t="s">
        <v>46</v>
      </c>
      <c r="V1293">
        <v>15</v>
      </c>
      <c r="W1293" t="s">
        <v>43</v>
      </c>
      <c r="X1293" t="s">
        <v>36</v>
      </c>
      <c r="Y1293">
        <v>0</v>
      </c>
      <c r="Z1293">
        <v>10</v>
      </c>
      <c r="AA1293">
        <v>4</v>
      </c>
      <c r="AB1293" t="s">
        <v>45</v>
      </c>
      <c r="AC1293">
        <v>10</v>
      </c>
      <c r="AD1293" t="str" cm="1">
        <f t="array" ref="AD1293">_xlfn.IFS(AC1293&lt;=5,"0-5",AC1293&lt;=10,"5-10",AC1293&lt;=40,"10-40")</f>
        <v>5-10</v>
      </c>
      <c r="AE1293">
        <v>3</v>
      </c>
      <c r="AF1293">
        <v>0</v>
      </c>
      <c r="AG1293">
        <v>8</v>
      </c>
      <c r="AH1293">
        <v>1292</v>
      </c>
    </row>
    <row r="1294" spans="1:34" x14ac:dyDescent="0.3">
      <c r="A1294">
        <v>39</v>
      </c>
      <c r="B1294" t="str" cm="1">
        <f t="array" ref="B1294">_xlfn.IFS(A1294&lt;=25,"18-25",A1294&lt;=35,"26-35",A1294&lt;=45,"36-45",A1294&lt;=55,"46-55",A1294&gt;55,"55+")</f>
        <v>36-45</v>
      </c>
      <c r="C1294">
        <v>0</v>
      </c>
      <c r="D1294" t="s">
        <v>47</v>
      </c>
      <c r="E1294">
        <v>766</v>
      </c>
      <c r="F1294" t="s">
        <v>33</v>
      </c>
      <c r="G1294">
        <v>20</v>
      </c>
      <c r="H1294" t="s">
        <v>61</v>
      </c>
      <c r="I1294" t="s">
        <v>35</v>
      </c>
      <c r="J1294" t="s">
        <v>38</v>
      </c>
      <c r="K1294" t="s">
        <v>50</v>
      </c>
      <c r="L1294">
        <v>83</v>
      </c>
      <c r="M1294" t="s">
        <v>38</v>
      </c>
      <c r="N1294" t="s">
        <v>39</v>
      </c>
      <c r="O1294" t="s">
        <v>40</v>
      </c>
      <c r="P1294" t="s">
        <v>41</v>
      </c>
      <c r="Q1294" t="s">
        <v>62</v>
      </c>
      <c r="R1294">
        <v>4127</v>
      </c>
      <c r="S1294">
        <v>19188</v>
      </c>
      <c r="T1294">
        <v>2</v>
      </c>
      <c r="U1294" t="s">
        <v>46</v>
      </c>
      <c r="V1294">
        <v>18</v>
      </c>
      <c r="W1294" t="s">
        <v>43</v>
      </c>
      <c r="X1294" t="s">
        <v>41</v>
      </c>
      <c r="Y1294">
        <v>1</v>
      </c>
      <c r="Z1294">
        <v>7</v>
      </c>
      <c r="AA1294">
        <v>6</v>
      </c>
      <c r="AB1294" t="s">
        <v>54</v>
      </c>
      <c r="AC1294">
        <v>2</v>
      </c>
      <c r="AD1294" t="str" cm="1">
        <f t="array" ref="AD1294">_xlfn.IFS(AC1294&lt;=5,"0-5",AC1294&lt;=10,"5-10",AC1294&lt;=40,"10-40")</f>
        <v>0-5</v>
      </c>
      <c r="AE1294">
        <v>1</v>
      </c>
      <c r="AF1294">
        <v>2</v>
      </c>
      <c r="AG1294">
        <v>2</v>
      </c>
      <c r="AH1294">
        <v>1293</v>
      </c>
    </row>
    <row r="1295" spans="1:34" x14ac:dyDescent="0.3">
      <c r="A1295">
        <v>43</v>
      </c>
      <c r="B1295" t="str" cm="1">
        <f t="array" ref="B1295">_xlfn.IFS(A1295&lt;=25,"18-25",A1295&lt;=35,"26-35",A1295&lt;=45,"36-45",A1295&lt;=55,"46-55",A1295&gt;55,"55+")</f>
        <v>36-45</v>
      </c>
      <c r="C1295">
        <v>0</v>
      </c>
      <c r="D1295" t="s">
        <v>66</v>
      </c>
      <c r="E1295">
        <v>343</v>
      </c>
      <c r="F1295" t="s">
        <v>48</v>
      </c>
      <c r="G1295">
        <v>9</v>
      </c>
      <c r="H1295" t="s">
        <v>61</v>
      </c>
      <c r="I1295" t="s">
        <v>35</v>
      </c>
      <c r="J1295" t="s">
        <v>44</v>
      </c>
      <c r="K1295" t="s">
        <v>50</v>
      </c>
      <c r="L1295">
        <v>52</v>
      </c>
      <c r="M1295" t="s">
        <v>38</v>
      </c>
      <c r="N1295" t="s">
        <v>56</v>
      </c>
      <c r="O1295" t="s">
        <v>51</v>
      </c>
      <c r="P1295" t="s">
        <v>38</v>
      </c>
      <c r="Q1295" t="s">
        <v>42</v>
      </c>
      <c r="R1295">
        <v>2438</v>
      </c>
      <c r="S1295">
        <v>24978</v>
      </c>
      <c r="T1295">
        <v>4</v>
      </c>
      <c r="U1295" t="s">
        <v>46</v>
      </c>
      <c r="V1295">
        <v>13</v>
      </c>
      <c r="W1295" t="s">
        <v>43</v>
      </c>
      <c r="X1295" t="s">
        <v>38</v>
      </c>
      <c r="Y1295">
        <v>0</v>
      </c>
      <c r="Z1295">
        <v>7</v>
      </c>
      <c r="AA1295">
        <v>2</v>
      </c>
      <c r="AB1295" t="s">
        <v>60</v>
      </c>
      <c r="AC1295">
        <v>3</v>
      </c>
      <c r="AD1295" t="str" cm="1">
        <f t="array" ref="AD1295">_xlfn.IFS(AC1295&lt;=5,"0-5",AC1295&lt;=10,"5-10",AC1295&lt;=40,"10-40")</f>
        <v>0-5</v>
      </c>
      <c r="AE1295">
        <v>2</v>
      </c>
      <c r="AF1295">
        <v>1</v>
      </c>
      <c r="AG1295">
        <v>2</v>
      </c>
      <c r="AH1295">
        <v>1294</v>
      </c>
    </row>
    <row r="1296" spans="1:34" x14ac:dyDescent="0.3">
      <c r="A1296">
        <v>41</v>
      </c>
      <c r="B1296" t="str" cm="1">
        <f t="array" ref="B1296">_xlfn.IFS(A1296&lt;=25,"18-25",A1296&lt;=35,"26-35",A1296&lt;=45,"36-45",A1296&lt;=55,"46-55",A1296&gt;55,"55+")</f>
        <v>36-45</v>
      </c>
      <c r="C1296">
        <v>0</v>
      </c>
      <c r="D1296" t="s">
        <v>32</v>
      </c>
      <c r="E1296">
        <v>447</v>
      </c>
      <c r="F1296" t="s">
        <v>48</v>
      </c>
      <c r="G1296">
        <v>5</v>
      </c>
      <c r="H1296" t="s">
        <v>61</v>
      </c>
      <c r="I1296" t="s">
        <v>35</v>
      </c>
      <c r="J1296" t="s">
        <v>36</v>
      </c>
      <c r="K1296" t="s">
        <v>50</v>
      </c>
      <c r="L1296">
        <v>85</v>
      </c>
      <c r="M1296" t="s">
        <v>41</v>
      </c>
      <c r="N1296" t="s">
        <v>39</v>
      </c>
      <c r="O1296" t="s">
        <v>65</v>
      </c>
      <c r="P1296" t="s">
        <v>36</v>
      </c>
      <c r="Q1296" t="s">
        <v>42</v>
      </c>
      <c r="R1296">
        <v>6870</v>
      </c>
      <c r="S1296">
        <v>15530</v>
      </c>
      <c r="T1296">
        <v>3</v>
      </c>
      <c r="U1296" t="s">
        <v>46</v>
      </c>
      <c r="V1296">
        <v>12</v>
      </c>
      <c r="W1296" t="s">
        <v>43</v>
      </c>
      <c r="X1296" t="s">
        <v>44</v>
      </c>
      <c r="Y1296">
        <v>0</v>
      </c>
      <c r="Z1296">
        <v>11</v>
      </c>
      <c r="AA1296">
        <v>3</v>
      </c>
      <c r="AB1296" t="s">
        <v>45</v>
      </c>
      <c r="AC1296">
        <v>3</v>
      </c>
      <c r="AD1296" t="str" cm="1">
        <f t="array" ref="AD1296">_xlfn.IFS(AC1296&lt;=5,"0-5",AC1296&lt;=10,"5-10",AC1296&lt;=40,"10-40")</f>
        <v>0-5</v>
      </c>
      <c r="AE1296">
        <v>2</v>
      </c>
      <c r="AF1296">
        <v>1</v>
      </c>
      <c r="AG1296">
        <v>2</v>
      </c>
      <c r="AH1296">
        <v>1295</v>
      </c>
    </row>
    <row r="1297" spans="1:34" x14ac:dyDescent="0.3">
      <c r="A1297">
        <v>41</v>
      </c>
      <c r="B1297" t="str" cm="1">
        <f t="array" ref="B1297">_xlfn.IFS(A1297&lt;=25,"18-25",A1297&lt;=35,"26-35",A1297&lt;=45,"36-45",A1297&lt;=55,"46-55",A1297&gt;55,"55+")</f>
        <v>36-45</v>
      </c>
      <c r="C1297">
        <v>0</v>
      </c>
      <c r="D1297" t="s">
        <v>32</v>
      </c>
      <c r="E1297">
        <v>796</v>
      </c>
      <c r="F1297" t="s">
        <v>33</v>
      </c>
      <c r="G1297">
        <v>4</v>
      </c>
      <c r="H1297" t="s">
        <v>49</v>
      </c>
      <c r="I1297" t="s">
        <v>72</v>
      </c>
      <c r="J1297" t="s">
        <v>38</v>
      </c>
      <c r="K1297" t="s">
        <v>37</v>
      </c>
      <c r="L1297">
        <v>81</v>
      </c>
      <c r="M1297" t="s">
        <v>38</v>
      </c>
      <c r="N1297" t="s">
        <v>63</v>
      </c>
      <c r="O1297" t="s">
        <v>40</v>
      </c>
      <c r="P1297" t="s">
        <v>38</v>
      </c>
      <c r="Q1297" t="s">
        <v>62</v>
      </c>
      <c r="R1297">
        <v>10447</v>
      </c>
      <c r="S1297">
        <v>26458</v>
      </c>
      <c r="T1297">
        <v>0</v>
      </c>
      <c r="U1297" t="s">
        <v>31</v>
      </c>
      <c r="V1297">
        <v>13</v>
      </c>
      <c r="W1297" t="s">
        <v>43</v>
      </c>
      <c r="X1297" t="s">
        <v>41</v>
      </c>
      <c r="Y1297">
        <v>1</v>
      </c>
      <c r="Z1297">
        <v>23</v>
      </c>
      <c r="AA1297">
        <v>3</v>
      </c>
      <c r="AB1297" t="s">
        <v>73</v>
      </c>
      <c r="AC1297">
        <v>22</v>
      </c>
      <c r="AD1297" t="str" cm="1">
        <f t="array" ref="AD1297">_xlfn.IFS(AC1297&lt;=5,"0-5",AC1297&lt;=10,"5-10",AC1297&lt;=40,"10-40")</f>
        <v>10-40</v>
      </c>
      <c r="AE1297">
        <v>14</v>
      </c>
      <c r="AF1297">
        <v>13</v>
      </c>
      <c r="AG1297">
        <v>5</v>
      </c>
      <c r="AH1297">
        <v>1296</v>
      </c>
    </row>
    <row r="1298" spans="1:34" x14ac:dyDescent="0.3">
      <c r="A1298">
        <v>30</v>
      </c>
      <c r="B1298" t="str" cm="1">
        <f t="array" ref="B1298">_xlfn.IFS(A1298&lt;=25,"18-25",A1298&lt;=35,"26-35",A1298&lt;=45,"36-45",A1298&lt;=55,"46-55",A1298&gt;55,"55+")</f>
        <v>26-35</v>
      </c>
      <c r="C1298">
        <v>0</v>
      </c>
      <c r="D1298" t="s">
        <v>32</v>
      </c>
      <c r="E1298">
        <v>1092</v>
      </c>
      <c r="F1298" t="s">
        <v>48</v>
      </c>
      <c r="G1298">
        <v>10</v>
      </c>
      <c r="H1298" t="s">
        <v>61</v>
      </c>
      <c r="I1298" t="s">
        <v>59</v>
      </c>
      <c r="J1298" t="s">
        <v>44</v>
      </c>
      <c r="K1298" t="s">
        <v>37</v>
      </c>
      <c r="L1298">
        <v>64</v>
      </c>
      <c r="M1298" t="s">
        <v>38</v>
      </c>
      <c r="N1298" t="s">
        <v>63</v>
      </c>
      <c r="O1298" t="s">
        <v>64</v>
      </c>
      <c r="P1298" t="s">
        <v>38</v>
      </c>
      <c r="Q1298" t="s">
        <v>42</v>
      </c>
      <c r="R1298">
        <v>9667</v>
      </c>
      <c r="S1298">
        <v>2739</v>
      </c>
      <c r="T1298">
        <v>9</v>
      </c>
      <c r="U1298" t="s">
        <v>46</v>
      </c>
      <c r="V1298">
        <v>14</v>
      </c>
      <c r="W1298" t="s">
        <v>43</v>
      </c>
      <c r="X1298" t="s">
        <v>36</v>
      </c>
      <c r="Y1298">
        <v>0</v>
      </c>
      <c r="Z1298">
        <v>9</v>
      </c>
      <c r="AA1298">
        <v>3</v>
      </c>
      <c r="AB1298" t="s">
        <v>54</v>
      </c>
      <c r="AC1298">
        <v>7</v>
      </c>
      <c r="AD1298" t="str" cm="1">
        <f t="array" ref="AD1298">_xlfn.IFS(AC1298&lt;=5,"0-5",AC1298&lt;=10,"5-10",AC1298&lt;=40,"10-40")</f>
        <v>5-10</v>
      </c>
      <c r="AE1298">
        <v>7</v>
      </c>
      <c r="AF1298">
        <v>0</v>
      </c>
      <c r="AG1298">
        <v>2</v>
      </c>
      <c r="AH1298">
        <v>1297</v>
      </c>
    </row>
    <row r="1299" spans="1:34" x14ac:dyDescent="0.3">
      <c r="A1299">
        <v>26</v>
      </c>
      <c r="B1299" t="str" cm="1">
        <f t="array" ref="B1299">_xlfn.IFS(A1299&lt;=25,"18-25",A1299&lt;=35,"26-35",A1299&lt;=45,"36-45",A1299&lt;=55,"46-55",A1299&gt;55,"55+")</f>
        <v>26-35</v>
      </c>
      <c r="C1299">
        <v>1</v>
      </c>
      <c r="D1299" t="s">
        <v>32</v>
      </c>
      <c r="E1299">
        <v>920</v>
      </c>
      <c r="F1299" t="s">
        <v>76</v>
      </c>
      <c r="G1299">
        <v>20</v>
      </c>
      <c r="H1299" t="s">
        <v>34</v>
      </c>
      <c r="I1299" t="s">
        <v>59</v>
      </c>
      <c r="J1299" t="s">
        <v>41</v>
      </c>
      <c r="K1299" t="s">
        <v>37</v>
      </c>
      <c r="L1299">
        <v>69</v>
      </c>
      <c r="M1299" t="s">
        <v>38</v>
      </c>
      <c r="N1299" t="s">
        <v>56</v>
      </c>
      <c r="O1299" t="s">
        <v>76</v>
      </c>
      <c r="P1299" t="s">
        <v>36</v>
      </c>
      <c r="Q1299" t="s">
        <v>52</v>
      </c>
      <c r="R1299">
        <v>2148</v>
      </c>
      <c r="S1299">
        <v>6889</v>
      </c>
      <c r="T1299">
        <v>0</v>
      </c>
      <c r="U1299" t="s">
        <v>31</v>
      </c>
      <c r="V1299">
        <v>11</v>
      </c>
      <c r="W1299" t="s">
        <v>43</v>
      </c>
      <c r="X1299" t="s">
        <v>38</v>
      </c>
      <c r="Y1299">
        <v>0</v>
      </c>
      <c r="Z1299">
        <v>6</v>
      </c>
      <c r="AA1299">
        <v>3</v>
      </c>
      <c r="AB1299" t="s">
        <v>54</v>
      </c>
      <c r="AC1299">
        <v>5</v>
      </c>
      <c r="AD1299" t="str" cm="1">
        <f t="array" ref="AD1299">_xlfn.IFS(AC1299&lt;=5,"0-5",AC1299&lt;=10,"5-10",AC1299&lt;=40,"10-40")</f>
        <v>0-5</v>
      </c>
      <c r="AE1299">
        <v>1</v>
      </c>
      <c r="AF1299">
        <v>1</v>
      </c>
      <c r="AG1299">
        <v>4</v>
      </c>
      <c r="AH1299">
        <v>1298</v>
      </c>
    </row>
    <row r="1300" spans="1:34" x14ac:dyDescent="0.3">
      <c r="A1300">
        <v>46</v>
      </c>
      <c r="B1300" t="str" cm="1">
        <f t="array" ref="B1300">_xlfn.IFS(A1300&lt;=25,"18-25",A1300&lt;=35,"26-35",A1300&lt;=45,"36-45",A1300&lt;=55,"46-55",A1300&gt;55,"55+")</f>
        <v>46-55</v>
      </c>
      <c r="C1300">
        <v>1</v>
      </c>
      <c r="D1300" t="s">
        <v>32</v>
      </c>
      <c r="E1300">
        <v>261</v>
      </c>
      <c r="F1300" t="s">
        <v>48</v>
      </c>
      <c r="G1300">
        <v>21</v>
      </c>
      <c r="H1300" t="s">
        <v>34</v>
      </c>
      <c r="I1300" t="s">
        <v>59</v>
      </c>
      <c r="J1300" t="s">
        <v>41</v>
      </c>
      <c r="K1300" t="s">
        <v>37</v>
      </c>
      <c r="L1300">
        <v>66</v>
      </c>
      <c r="M1300" t="s">
        <v>38</v>
      </c>
      <c r="N1300" t="s">
        <v>39</v>
      </c>
      <c r="O1300" t="s">
        <v>65</v>
      </c>
      <c r="P1300" t="s">
        <v>36</v>
      </c>
      <c r="Q1300" t="s">
        <v>52</v>
      </c>
      <c r="R1300">
        <v>8926</v>
      </c>
      <c r="S1300">
        <v>10842</v>
      </c>
      <c r="T1300">
        <v>4</v>
      </c>
      <c r="U1300" t="s">
        <v>46</v>
      </c>
      <c r="V1300">
        <v>22</v>
      </c>
      <c r="W1300" t="s">
        <v>53</v>
      </c>
      <c r="X1300" t="s">
        <v>41</v>
      </c>
      <c r="Y1300">
        <v>1</v>
      </c>
      <c r="Z1300">
        <v>13</v>
      </c>
      <c r="AA1300">
        <v>2</v>
      </c>
      <c r="AB1300" t="s">
        <v>73</v>
      </c>
      <c r="AC1300">
        <v>9</v>
      </c>
      <c r="AD1300" t="str" cm="1">
        <f t="array" ref="AD1300">_xlfn.IFS(AC1300&lt;=5,"0-5",AC1300&lt;=10,"5-10",AC1300&lt;=40,"10-40")</f>
        <v>5-10</v>
      </c>
      <c r="AE1300">
        <v>7</v>
      </c>
      <c r="AF1300">
        <v>3</v>
      </c>
      <c r="AG1300">
        <v>7</v>
      </c>
      <c r="AH1300">
        <v>1299</v>
      </c>
    </row>
    <row r="1301" spans="1:34" x14ac:dyDescent="0.3">
      <c r="A1301">
        <v>40</v>
      </c>
      <c r="B1301" t="str" cm="1">
        <f t="array" ref="B1301">_xlfn.IFS(A1301&lt;=25,"18-25",A1301&lt;=35,"26-35",A1301&lt;=45,"36-45",A1301&lt;=55,"46-55",A1301&gt;55,"55+")</f>
        <v>36-45</v>
      </c>
      <c r="C1301">
        <v>0</v>
      </c>
      <c r="D1301" t="s">
        <v>32</v>
      </c>
      <c r="E1301">
        <v>1194</v>
      </c>
      <c r="F1301" t="s">
        <v>48</v>
      </c>
      <c r="G1301">
        <v>1</v>
      </c>
      <c r="H1301" t="s">
        <v>61</v>
      </c>
      <c r="I1301" t="s">
        <v>35</v>
      </c>
      <c r="J1301" t="s">
        <v>38</v>
      </c>
      <c r="K1301" t="s">
        <v>37</v>
      </c>
      <c r="L1301">
        <v>52</v>
      </c>
      <c r="M1301" t="s">
        <v>38</v>
      </c>
      <c r="N1301" t="s">
        <v>39</v>
      </c>
      <c r="O1301" t="s">
        <v>65</v>
      </c>
      <c r="P1301" t="s">
        <v>41</v>
      </c>
      <c r="Q1301" t="s">
        <v>62</v>
      </c>
      <c r="R1301">
        <v>6513</v>
      </c>
      <c r="S1301">
        <v>9060</v>
      </c>
      <c r="T1301">
        <v>4</v>
      </c>
      <c r="U1301" t="s">
        <v>46</v>
      </c>
      <c r="V1301">
        <v>17</v>
      </c>
      <c r="W1301" t="s">
        <v>43</v>
      </c>
      <c r="X1301" t="s">
        <v>41</v>
      </c>
      <c r="Y1301">
        <v>1</v>
      </c>
      <c r="Z1301">
        <v>12</v>
      </c>
      <c r="AA1301">
        <v>3</v>
      </c>
      <c r="AB1301" t="s">
        <v>54</v>
      </c>
      <c r="AC1301">
        <v>5</v>
      </c>
      <c r="AD1301" t="str" cm="1">
        <f t="array" ref="AD1301">_xlfn.IFS(AC1301&lt;=5,"0-5",AC1301&lt;=10,"5-10",AC1301&lt;=40,"10-40")</f>
        <v>0-5</v>
      </c>
      <c r="AE1301">
        <v>3</v>
      </c>
      <c r="AF1301">
        <v>0</v>
      </c>
      <c r="AG1301">
        <v>3</v>
      </c>
      <c r="AH1301">
        <v>1300</v>
      </c>
    </row>
    <row r="1302" spans="1:34" x14ac:dyDescent="0.3">
      <c r="A1302">
        <v>34</v>
      </c>
      <c r="B1302" t="str" cm="1">
        <f t="array" ref="B1302">_xlfn.IFS(A1302&lt;=25,"18-25",A1302&lt;=35,"26-35",A1302&lt;=45,"36-45",A1302&lt;=55,"46-55",A1302&gt;55,"55+")</f>
        <v>26-35</v>
      </c>
      <c r="C1302">
        <v>0</v>
      </c>
      <c r="D1302" t="s">
        <v>32</v>
      </c>
      <c r="E1302">
        <v>810</v>
      </c>
      <c r="F1302" t="s">
        <v>33</v>
      </c>
      <c r="G1302">
        <v>8</v>
      </c>
      <c r="H1302" t="s">
        <v>34</v>
      </c>
      <c r="I1302" t="s">
        <v>74</v>
      </c>
      <c r="J1302" t="s">
        <v>36</v>
      </c>
      <c r="K1302" t="s">
        <v>50</v>
      </c>
      <c r="L1302">
        <v>92</v>
      </c>
      <c r="M1302" t="s">
        <v>41</v>
      </c>
      <c r="N1302" t="s">
        <v>39</v>
      </c>
      <c r="O1302" t="s">
        <v>40</v>
      </c>
      <c r="P1302" t="s">
        <v>38</v>
      </c>
      <c r="Q1302" t="s">
        <v>52</v>
      </c>
      <c r="R1302">
        <v>6799</v>
      </c>
      <c r="S1302">
        <v>22128</v>
      </c>
      <c r="T1302">
        <v>1</v>
      </c>
      <c r="U1302" t="s">
        <v>46</v>
      </c>
      <c r="V1302">
        <v>21</v>
      </c>
      <c r="W1302" t="s">
        <v>53</v>
      </c>
      <c r="X1302" t="s">
        <v>38</v>
      </c>
      <c r="Y1302">
        <v>2</v>
      </c>
      <c r="Z1302">
        <v>10</v>
      </c>
      <c r="AA1302">
        <v>5</v>
      </c>
      <c r="AB1302" t="s">
        <v>54</v>
      </c>
      <c r="AC1302">
        <v>10</v>
      </c>
      <c r="AD1302" t="str" cm="1">
        <f t="array" ref="AD1302">_xlfn.IFS(AC1302&lt;=5,"0-5",AC1302&lt;=10,"5-10",AC1302&lt;=40,"10-40")</f>
        <v>5-10</v>
      </c>
      <c r="AE1302">
        <v>8</v>
      </c>
      <c r="AF1302">
        <v>4</v>
      </c>
      <c r="AG1302">
        <v>8</v>
      </c>
      <c r="AH1302">
        <v>1301</v>
      </c>
    </row>
    <row r="1303" spans="1:34" x14ac:dyDescent="0.3">
      <c r="A1303">
        <v>58</v>
      </c>
      <c r="B1303" t="str" cm="1">
        <f t="array" ref="B1303">_xlfn.IFS(A1303&lt;=25,"18-25",A1303&lt;=35,"26-35",A1303&lt;=45,"36-45",A1303&lt;=55,"46-55",A1303&gt;55,"55+")</f>
        <v>55+</v>
      </c>
      <c r="C1303">
        <v>0</v>
      </c>
      <c r="D1303" t="s">
        <v>66</v>
      </c>
      <c r="E1303">
        <v>350</v>
      </c>
      <c r="F1303" t="s">
        <v>33</v>
      </c>
      <c r="G1303">
        <v>2</v>
      </c>
      <c r="H1303" t="s">
        <v>61</v>
      </c>
      <c r="I1303" t="s">
        <v>59</v>
      </c>
      <c r="J1303" t="s">
        <v>36</v>
      </c>
      <c r="K1303" t="s">
        <v>50</v>
      </c>
      <c r="L1303">
        <v>52</v>
      </c>
      <c r="M1303" t="s">
        <v>38</v>
      </c>
      <c r="N1303" t="s">
        <v>67</v>
      </c>
      <c r="O1303" t="s">
        <v>68</v>
      </c>
      <c r="P1303" t="s">
        <v>36</v>
      </c>
      <c r="Q1303" t="s">
        <v>62</v>
      </c>
      <c r="R1303">
        <v>16291</v>
      </c>
      <c r="S1303">
        <v>22577</v>
      </c>
      <c r="T1303">
        <v>4</v>
      </c>
      <c r="U1303" t="s">
        <v>46</v>
      </c>
      <c r="V1303">
        <v>22</v>
      </c>
      <c r="W1303" t="s">
        <v>53</v>
      </c>
      <c r="X1303" t="s">
        <v>41</v>
      </c>
      <c r="Y1303">
        <v>1</v>
      </c>
      <c r="Z1303">
        <v>37</v>
      </c>
      <c r="AA1303">
        <v>0</v>
      </c>
      <c r="AB1303" t="s">
        <v>60</v>
      </c>
      <c r="AC1303">
        <v>16</v>
      </c>
      <c r="AD1303" t="str" cm="1">
        <f t="array" ref="AD1303">_xlfn.IFS(AC1303&lt;=5,"0-5",AC1303&lt;=10,"5-10",AC1303&lt;=40,"10-40")</f>
        <v>10-40</v>
      </c>
      <c r="AE1303">
        <v>9</v>
      </c>
      <c r="AF1303">
        <v>14</v>
      </c>
      <c r="AG1303">
        <v>14</v>
      </c>
      <c r="AH1303">
        <v>1302</v>
      </c>
    </row>
    <row r="1304" spans="1:34" x14ac:dyDescent="0.3">
      <c r="A1304">
        <v>35</v>
      </c>
      <c r="B1304" t="str" cm="1">
        <f t="array" ref="B1304">_xlfn.IFS(A1304&lt;=25,"18-25",A1304&lt;=35,"26-35",A1304&lt;=45,"36-45",A1304&lt;=55,"46-55",A1304&gt;55,"55+")</f>
        <v>26-35</v>
      </c>
      <c r="C1304">
        <v>0</v>
      </c>
      <c r="D1304" t="s">
        <v>32</v>
      </c>
      <c r="E1304">
        <v>185</v>
      </c>
      <c r="F1304" t="s">
        <v>48</v>
      </c>
      <c r="G1304">
        <v>23</v>
      </c>
      <c r="H1304" t="s">
        <v>58</v>
      </c>
      <c r="I1304" t="s">
        <v>59</v>
      </c>
      <c r="J1304" t="s">
        <v>36</v>
      </c>
      <c r="K1304" t="s">
        <v>50</v>
      </c>
      <c r="L1304">
        <v>91</v>
      </c>
      <c r="M1304" t="s">
        <v>44</v>
      </c>
      <c r="N1304" t="s">
        <v>56</v>
      </c>
      <c r="O1304" t="s">
        <v>57</v>
      </c>
      <c r="P1304" t="s">
        <v>38</v>
      </c>
      <c r="Q1304" t="s">
        <v>52</v>
      </c>
      <c r="R1304">
        <v>2705</v>
      </c>
      <c r="S1304">
        <v>9696</v>
      </c>
      <c r="T1304">
        <v>0</v>
      </c>
      <c r="U1304" t="s">
        <v>46</v>
      </c>
      <c r="V1304">
        <v>16</v>
      </c>
      <c r="W1304" t="s">
        <v>43</v>
      </c>
      <c r="X1304" t="s">
        <v>36</v>
      </c>
      <c r="Y1304">
        <v>1</v>
      </c>
      <c r="Z1304">
        <v>6</v>
      </c>
      <c r="AA1304">
        <v>2</v>
      </c>
      <c r="AB1304" t="s">
        <v>73</v>
      </c>
      <c r="AC1304">
        <v>5</v>
      </c>
      <c r="AD1304" t="str" cm="1">
        <f t="array" ref="AD1304">_xlfn.IFS(AC1304&lt;=5,"0-5",AC1304&lt;=10,"5-10",AC1304&lt;=40,"10-40")</f>
        <v>0-5</v>
      </c>
      <c r="AE1304">
        <v>4</v>
      </c>
      <c r="AF1304">
        <v>0</v>
      </c>
      <c r="AG1304">
        <v>3</v>
      </c>
      <c r="AH1304">
        <v>1303</v>
      </c>
    </row>
    <row r="1305" spans="1:34" x14ac:dyDescent="0.3">
      <c r="A1305">
        <v>47</v>
      </c>
      <c r="B1305" t="str" cm="1">
        <f t="array" ref="B1305">_xlfn.IFS(A1305&lt;=25,"18-25",A1305&lt;=35,"26-35",A1305&lt;=45,"36-45",A1305&lt;=55,"46-55",A1305&gt;55,"55+")</f>
        <v>46-55</v>
      </c>
      <c r="C1305">
        <v>0</v>
      </c>
      <c r="D1305" t="s">
        <v>32</v>
      </c>
      <c r="E1305">
        <v>1001</v>
      </c>
      <c r="F1305" t="s">
        <v>48</v>
      </c>
      <c r="G1305">
        <v>4</v>
      </c>
      <c r="H1305" t="s">
        <v>61</v>
      </c>
      <c r="I1305" t="s">
        <v>35</v>
      </c>
      <c r="J1305" t="s">
        <v>38</v>
      </c>
      <c r="K1305" t="s">
        <v>37</v>
      </c>
      <c r="L1305">
        <v>92</v>
      </c>
      <c r="M1305" t="s">
        <v>36</v>
      </c>
      <c r="N1305" t="s">
        <v>63</v>
      </c>
      <c r="O1305" t="s">
        <v>64</v>
      </c>
      <c r="P1305" t="s">
        <v>36</v>
      </c>
      <c r="Q1305" t="s">
        <v>62</v>
      </c>
      <c r="R1305">
        <v>10333</v>
      </c>
      <c r="S1305">
        <v>19271</v>
      </c>
      <c r="T1305">
        <v>8</v>
      </c>
      <c r="U1305" t="s">
        <v>31</v>
      </c>
      <c r="V1305">
        <v>12</v>
      </c>
      <c r="W1305" t="s">
        <v>43</v>
      </c>
      <c r="X1305" t="s">
        <v>38</v>
      </c>
      <c r="Y1305">
        <v>1</v>
      </c>
      <c r="Z1305">
        <v>28</v>
      </c>
      <c r="AA1305">
        <v>4</v>
      </c>
      <c r="AB1305" t="s">
        <v>54</v>
      </c>
      <c r="AC1305">
        <v>22</v>
      </c>
      <c r="AD1305" t="str" cm="1">
        <f t="array" ref="AD1305">_xlfn.IFS(AC1305&lt;=5,"0-5",AC1305&lt;=10,"5-10",AC1305&lt;=40,"10-40")</f>
        <v>10-40</v>
      </c>
      <c r="AE1305">
        <v>11</v>
      </c>
      <c r="AF1305">
        <v>14</v>
      </c>
      <c r="AG1305">
        <v>10</v>
      </c>
      <c r="AH1305">
        <v>1304</v>
      </c>
    </row>
    <row r="1306" spans="1:34" x14ac:dyDescent="0.3">
      <c r="A1306">
        <v>40</v>
      </c>
      <c r="B1306" t="str" cm="1">
        <f t="array" ref="B1306">_xlfn.IFS(A1306&lt;=25,"18-25",A1306&lt;=35,"26-35",A1306&lt;=45,"36-45",A1306&lt;=55,"46-55",A1306&gt;55,"55+")</f>
        <v>36-45</v>
      </c>
      <c r="C1306">
        <v>0</v>
      </c>
      <c r="D1306" t="s">
        <v>32</v>
      </c>
      <c r="E1306">
        <v>750</v>
      </c>
      <c r="F1306" t="s">
        <v>48</v>
      </c>
      <c r="G1306">
        <v>12</v>
      </c>
      <c r="H1306" t="s">
        <v>61</v>
      </c>
      <c r="I1306" t="s">
        <v>35</v>
      </c>
      <c r="J1306" t="s">
        <v>36</v>
      </c>
      <c r="K1306" t="s">
        <v>37</v>
      </c>
      <c r="L1306">
        <v>47</v>
      </c>
      <c r="M1306" t="s">
        <v>38</v>
      </c>
      <c r="N1306" t="s">
        <v>39</v>
      </c>
      <c r="O1306" t="s">
        <v>65</v>
      </c>
      <c r="P1306" t="s">
        <v>44</v>
      </c>
      <c r="Q1306" t="s">
        <v>62</v>
      </c>
      <c r="R1306">
        <v>4448</v>
      </c>
      <c r="S1306">
        <v>10748</v>
      </c>
      <c r="T1306">
        <v>2</v>
      </c>
      <c r="U1306" t="s">
        <v>46</v>
      </c>
      <c r="V1306">
        <v>12</v>
      </c>
      <c r="W1306" t="s">
        <v>43</v>
      </c>
      <c r="X1306" t="s">
        <v>36</v>
      </c>
      <c r="Y1306">
        <v>1</v>
      </c>
      <c r="Z1306">
        <v>15</v>
      </c>
      <c r="AA1306">
        <v>3</v>
      </c>
      <c r="AB1306" t="s">
        <v>54</v>
      </c>
      <c r="AC1306">
        <v>7</v>
      </c>
      <c r="AD1306" t="str" cm="1">
        <f t="array" ref="AD1306">_xlfn.IFS(AC1306&lt;=5,"0-5",AC1306&lt;=10,"5-10",AC1306&lt;=40,"10-40")</f>
        <v>5-10</v>
      </c>
      <c r="AE1306">
        <v>4</v>
      </c>
      <c r="AF1306">
        <v>7</v>
      </c>
      <c r="AG1306">
        <v>7</v>
      </c>
      <c r="AH1306">
        <v>1305</v>
      </c>
    </row>
    <row r="1307" spans="1:34" x14ac:dyDescent="0.3">
      <c r="A1307">
        <v>54</v>
      </c>
      <c r="B1307" t="str" cm="1">
        <f t="array" ref="B1307">_xlfn.IFS(A1307&lt;=25,"18-25",A1307&lt;=35,"26-35",A1307&lt;=45,"36-45",A1307&lt;=55,"46-55",A1307&gt;55,"55+")</f>
        <v>46-55</v>
      </c>
      <c r="C1307">
        <v>0</v>
      </c>
      <c r="D1307" t="s">
        <v>32</v>
      </c>
      <c r="E1307">
        <v>431</v>
      </c>
      <c r="F1307" t="s">
        <v>48</v>
      </c>
      <c r="G1307">
        <v>7</v>
      </c>
      <c r="H1307" t="s">
        <v>58</v>
      </c>
      <c r="I1307" t="s">
        <v>59</v>
      </c>
      <c r="J1307" t="s">
        <v>41</v>
      </c>
      <c r="K1307" t="s">
        <v>37</v>
      </c>
      <c r="L1307">
        <v>68</v>
      </c>
      <c r="M1307" t="s">
        <v>38</v>
      </c>
      <c r="N1307" t="s">
        <v>39</v>
      </c>
      <c r="O1307" t="s">
        <v>51</v>
      </c>
      <c r="P1307" t="s">
        <v>41</v>
      </c>
      <c r="Q1307" t="s">
        <v>52</v>
      </c>
      <c r="R1307">
        <v>6854</v>
      </c>
      <c r="S1307">
        <v>15696</v>
      </c>
      <c r="T1307">
        <v>4</v>
      </c>
      <c r="U1307" t="s">
        <v>46</v>
      </c>
      <c r="V1307">
        <v>15</v>
      </c>
      <c r="W1307" t="s">
        <v>43</v>
      </c>
      <c r="X1307" t="s">
        <v>36</v>
      </c>
      <c r="Y1307">
        <v>1</v>
      </c>
      <c r="Z1307">
        <v>14</v>
      </c>
      <c r="AA1307">
        <v>2</v>
      </c>
      <c r="AB1307" t="s">
        <v>60</v>
      </c>
      <c r="AC1307">
        <v>7</v>
      </c>
      <c r="AD1307" t="str" cm="1">
        <f t="array" ref="AD1307">_xlfn.IFS(AC1307&lt;=5,"0-5",AC1307&lt;=10,"5-10",AC1307&lt;=40,"10-40")</f>
        <v>5-10</v>
      </c>
      <c r="AE1307">
        <v>1</v>
      </c>
      <c r="AF1307">
        <v>1</v>
      </c>
      <c r="AG1307">
        <v>7</v>
      </c>
      <c r="AH1307">
        <v>1306</v>
      </c>
    </row>
    <row r="1308" spans="1:34" x14ac:dyDescent="0.3">
      <c r="A1308">
        <v>31</v>
      </c>
      <c r="B1308" t="str" cm="1">
        <f t="array" ref="B1308">_xlfn.IFS(A1308&lt;=25,"18-25",A1308&lt;=35,"26-35",A1308&lt;=45,"36-45",A1308&lt;=55,"46-55",A1308&gt;55,"55+")</f>
        <v>26-35</v>
      </c>
      <c r="C1308">
        <v>0</v>
      </c>
      <c r="D1308" t="s">
        <v>47</v>
      </c>
      <c r="E1308">
        <v>1125</v>
      </c>
      <c r="F1308" t="s">
        <v>33</v>
      </c>
      <c r="G1308">
        <v>7</v>
      </c>
      <c r="H1308" t="s">
        <v>58</v>
      </c>
      <c r="I1308" t="s">
        <v>72</v>
      </c>
      <c r="J1308" t="s">
        <v>44</v>
      </c>
      <c r="K1308" t="s">
        <v>37</v>
      </c>
      <c r="L1308">
        <v>68</v>
      </c>
      <c r="M1308" t="s">
        <v>38</v>
      </c>
      <c r="N1308" t="s">
        <v>63</v>
      </c>
      <c r="O1308" t="s">
        <v>40</v>
      </c>
      <c r="P1308" t="s">
        <v>44</v>
      </c>
      <c r="Q1308" t="s">
        <v>52</v>
      </c>
      <c r="R1308">
        <v>9637</v>
      </c>
      <c r="S1308">
        <v>8277</v>
      </c>
      <c r="T1308">
        <v>2</v>
      </c>
      <c r="U1308" t="s">
        <v>46</v>
      </c>
      <c r="V1308">
        <v>14</v>
      </c>
      <c r="W1308" t="s">
        <v>43</v>
      </c>
      <c r="X1308" t="s">
        <v>41</v>
      </c>
      <c r="Y1308">
        <v>2</v>
      </c>
      <c r="Z1308">
        <v>9</v>
      </c>
      <c r="AA1308">
        <v>3</v>
      </c>
      <c r="AB1308" t="s">
        <v>54</v>
      </c>
      <c r="AC1308">
        <v>3</v>
      </c>
      <c r="AD1308" t="str" cm="1">
        <f t="array" ref="AD1308">_xlfn.IFS(AC1308&lt;=5,"0-5",AC1308&lt;=10,"5-10",AC1308&lt;=40,"10-40")</f>
        <v>0-5</v>
      </c>
      <c r="AE1308">
        <v>2</v>
      </c>
      <c r="AF1308">
        <v>2</v>
      </c>
      <c r="AG1308">
        <v>2</v>
      </c>
      <c r="AH1308">
        <v>1307</v>
      </c>
    </row>
    <row r="1309" spans="1:34" x14ac:dyDescent="0.3">
      <c r="A1309">
        <v>28</v>
      </c>
      <c r="B1309" t="str" cm="1">
        <f t="array" ref="B1309">_xlfn.IFS(A1309&lt;=25,"18-25",A1309&lt;=35,"26-35",A1309&lt;=45,"36-45",A1309&lt;=55,"46-55",A1309&gt;55,"55+")</f>
        <v>26-35</v>
      </c>
      <c r="C1309">
        <v>0</v>
      </c>
      <c r="D1309" t="s">
        <v>32</v>
      </c>
      <c r="E1309">
        <v>1217</v>
      </c>
      <c r="F1309" t="s">
        <v>48</v>
      </c>
      <c r="G1309">
        <v>1</v>
      </c>
      <c r="H1309" t="s">
        <v>61</v>
      </c>
      <c r="I1309" t="s">
        <v>59</v>
      </c>
      <c r="J1309" t="s">
        <v>38</v>
      </c>
      <c r="K1309" t="s">
        <v>37</v>
      </c>
      <c r="L1309">
        <v>67</v>
      </c>
      <c r="M1309" t="s">
        <v>38</v>
      </c>
      <c r="N1309" t="s">
        <v>56</v>
      </c>
      <c r="O1309" t="s">
        <v>51</v>
      </c>
      <c r="P1309" t="s">
        <v>44</v>
      </c>
      <c r="Q1309" t="s">
        <v>52</v>
      </c>
      <c r="R1309">
        <v>3591</v>
      </c>
      <c r="S1309">
        <v>12719</v>
      </c>
      <c r="T1309">
        <v>1</v>
      </c>
      <c r="U1309" t="s">
        <v>46</v>
      </c>
      <c r="V1309">
        <v>25</v>
      </c>
      <c r="W1309" t="s">
        <v>53</v>
      </c>
      <c r="X1309" t="s">
        <v>38</v>
      </c>
      <c r="Y1309">
        <v>1</v>
      </c>
      <c r="Z1309">
        <v>3</v>
      </c>
      <c r="AA1309">
        <v>3</v>
      </c>
      <c r="AB1309" t="s">
        <v>54</v>
      </c>
      <c r="AC1309">
        <v>3</v>
      </c>
      <c r="AD1309" t="str" cm="1">
        <f t="array" ref="AD1309">_xlfn.IFS(AC1309&lt;=5,"0-5",AC1309&lt;=10,"5-10",AC1309&lt;=40,"10-40")</f>
        <v>0-5</v>
      </c>
      <c r="AE1309">
        <v>2</v>
      </c>
      <c r="AF1309">
        <v>1</v>
      </c>
      <c r="AG1309">
        <v>2</v>
      </c>
      <c r="AH1309">
        <v>1308</v>
      </c>
    </row>
    <row r="1310" spans="1:34" x14ac:dyDescent="0.3">
      <c r="A1310">
        <v>38</v>
      </c>
      <c r="B1310" t="str" cm="1">
        <f t="array" ref="B1310">_xlfn.IFS(A1310&lt;=25,"18-25",A1310&lt;=35,"26-35",A1310&lt;=45,"36-45",A1310&lt;=55,"46-55",A1310&gt;55,"55+")</f>
        <v>36-45</v>
      </c>
      <c r="C1310">
        <v>0</v>
      </c>
      <c r="D1310" t="s">
        <v>32</v>
      </c>
      <c r="E1310">
        <v>723</v>
      </c>
      <c r="F1310" t="s">
        <v>33</v>
      </c>
      <c r="G1310">
        <v>2</v>
      </c>
      <c r="H1310" t="s">
        <v>58</v>
      </c>
      <c r="I1310" t="s">
        <v>72</v>
      </c>
      <c r="J1310" t="s">
        <v>36</v>
      </c>
      <c r="K1310" t="s">
        <v>37</v>
      </c>
      <c r="L1310">
        <v>77</v>
      </c>
      <c r="M1310" t="s">
        <v>44</v>
      </c>
      <c r="N1310" t="s">
        <v>39</v>
      </c>
      <c r="O1310" t="s">
        <v>69</v>
      </c>
      <c r="P1310" t="s">
        <v>41</v>
      </c>
      <c r="Q1310" t="s">
        <v>52</v>
      </c>
      <c r="R1310">
        <v>5405</v>
      </c>
      <c r="S1310">
        <v>4244</v>
      </c>
      <c r="T1310">
        <v>2</v>
      </c>
      <c r="U1310" t="s">
        <v>31</v>
      </c>
      <c r="V1310">
        <v>20</v>
      </c>
      <c r="W1310" t="s">
        <v>53</v>
      </c>
      <c r="X1310" t="s">
        <v>44</v>
      </c>
      <c r="Y1310">
        <v>2</v>
      </c>
      <c r="Z1310">
        <v>20</v>
      </c>
      <c r="AA1310">
        <v>4</v>
      </c>
      <c r="AB1310" t="s">
        <v>60</v>
      </c>
      <c r="AC1310">
        <v>4</v>
      </c>
      <c r="AD1310" t="str" cm="1">
        <f t="array" ref="AD1310">_xlfn.IFS(AC1310&lt;=5,"0-5",AC1310&lt;=10,"5-10",AC1310&lt;=40,"10-40")</f>
        <v>0-5</v>
      </c>
      <c r="AE1310">
        <v>2</v>
      </c>
      <c r="AF1310">
        <v>0</v>
      </c>
      <c r="AG1310">
        <v>3</v>
      </c>
      <c r="AH1310">
        <v>1309</v>
      </c>
    </row>
    <row r="1311" spans="1:34" x14ac:dyDescent="0.3">
      <c r="A1311">
        <v>26</v>
      </c>
      <c r="B1311" t="str" cm="1">
        <f t="array" ref="B1311">_xlfn.IFS(A1311&lt;=25,"18-25",A1311&lt;=35,"26-35",A1311&lt;=45,"36-45",A1311&lt;=55,"46-55",A1311&gt;55,"55+")</f>
        <v>26-35</v>
      </c>
      <c r="C1311">
        <v>0</v>
      </c>
      <c r="D1311" t="s">
        <v>32</v>
      </c>
      <c r="E1311">
        <v>572</v>
      </c>
      <c r="F1311" t="s">
        <v>33</v>
      </c>
      <c r="G1311">
        <v>10</v>
      </c>
      <c r="H1311" t="s">
        <v>61</v>
      </c>
      <c r="I1311" t="s">
        <v>59</v>
      </c>
      <c r="J1311" t="s">
        <v>38</v>
      </c>
      <c r="K1311" t="s">
        <v>50</v>
      </c>
      <c r="L1311">
        <v>46</v>
      </c>
      <c r="M1311" t="s">
        <v>38</v>
      </c>
      <c r="N1311" t="s">
        <v>39</v>
      </c>
      <c r="O1311" t="s">
        <v>40</v>
      </c>
      <c r="P1311" t="s">
        <v>41</v>
      </c>
      <c r="Q1311" t="s">
        <v>42</v>
      </c>
      <c r="R1311">
        <v>4684</v>
      </c>
      <c r="S1311">
        <v>9125</v>
      </c>
      <c r="T1311">
        <v>1</v>
      </c>
      <c r="U1311" t="s">
        <v>46</v>
      </c>
      <c r="V1311">
        <v>13</v>
      </c>
      <c r="W1311" t="s">
        <v>43</v>
      </c>
      <c r="X1311" t="s">
        <v>44</v>
      </c>
      <c r="Y1311">
        <v>0</v>
      </c>
      <c r="Z1311">
        <v>5</v>
      </c>
      <c r="AA1311">
        <v>4</v>
      </c>
      <c r="AB1311" t="s">
        <v>54</v>
      </c>
      <c r="AC1311">
        <v>5</v>
      </c>
      <c r="AD1311" t="str" cm="1">
        <f t="array" ref="AD1311">_xlfn.IFS(AC1311&lt;=5,"0-5",AC1311&lt;=10,"5-10",AC1311&lt;=40,"10-40")</f>
        <v>0-5</v>
      </c>
      <c r="AE1311">
        <v>3</v>
      </c>
      <c r="AF1311">
        <v>1</v>
      </c>
      <c r="AG1311">
        <v>2</v>
      </c>
      <c r="AH1311">
        <v>1310</v>
      </c>
    </row>
    <row r="1312" spans="1:34" x14ac:dyDescent="0.3">
      <c r="A1312">
        <v>58</v>
      </c>
      <c r="B1312" t="str" cm="1">
        <f t="array" ref="B1312">_xlfn.IFS(A1312&lt;=25,"18-25",A1312&lt;=35,"26-35",A1312&lt;=45,"36-45",A1312&lt;=55,"46-55",A1312&gt;55,"55+")</f>
        <v>55+</v>
      </c>
      <c r="C1312">
        <v>0</v>
      </c>
      <c r="D1312" t="s">
        <v>47</v>
      </c>
      <c r="E1312">
        <v>1216</v>
      </c>
      <c r="F1312" t="s">
        <v>48</v>
      </c>
      <c r="G1312">
        <v>15</v>
      </c>
      <c r="H1312" t="s">
        <v>58</v>
      </c>
      <c r="I1312" t="s">
        <v>35</v>
      </c>
      <c r="J1312" t="s">
        <v>44</v>
      </c>
      <c r="K1312" t="s">
        <v>50</v>
      </c>
      <c r="L1312">
        <v>87</v>
      </c>
      <c r="M1312" t="s">
        <v>38</v>
      </c>
      <c r="N1312" t="s">
        <v>67</v>
      </c>
      <c r="O1312" t="s">
        <v>70</v>
      </c>
      <c r="P1312" t="s">
        <v>38</v>
      </c>
      <c r="Q1312" t="s">
        <v>52</v>
      </c>
      <c r="R1312">
        <v>15787</v>
      </c>
      <c r="S1312">
        <v>21624</v>
      </c>
      <c r="T1312">
        <v>2</v>
      </c>
      <c r="U1312" t="s">
        <v>31</v>
      </c>
      <c r="V1312">
        <v>14</v>
      </c>
      <c r="W1312" t="s">
        <v>43</v>
      </c>
      <c r="X1312" t="s">
        <v>36</v>
      </c>
      <c r="Y1312">
        <v>0</v>
      </c>
      <c r="Z1312">
        <v>23</v>
      </c>
      <c r="AA1312">
        <v>3</v>
      </c>
      <c r="AB1312" t="s">
        <v>54</v>
      </c>
      <c r="AC1312">
        <v>2</v>
      </c>
      <c r="AD1312" t="str" cm="1">
        <f t="array" ref="AD1312">_xlfn.IFS(AC1312&lt;=5,"0-5",AC1312&lt;=10,"5-10",AC1312&lt;=40,"10-40")</f>
        <v>0-5</v>
      </c>
      <c r="AE1312">
        <v>2</v>
      </c>
      <c r="AF1312">
        <v>2</v>
      </c>
      <c r="AG1312">
        <v>2</v>
      </c>
      <c r="AH1312">
        <v>1311</v>
      </c>
    </row>
    <row r="1313" spans="1:34" x14ac:dyDescent="0.3">
      <c r="A1313">
        <v>18</v>
      </c>
      <c r="B1313" t="str" cm="1">
        <f t="array" ref="B1313">_xlfn.IFS(A1313&lt;=25,"18-25",A1313&lt;=35,"26-35",A1313&lt;=45,"36-45",A1313&lt;=55,"46-55",A1313&gt;55,"55+")</f>
        <v>18-25</v>
      </c>
      <c r="C1313">
        <v>0</v>
      </c>
      <c r="D1313" t="s">
        <v>66</v>
      </c>
      <c r="E1313">
        <v>1431</v>
      </c>
      <c r="F1313" t="s">
        <v>48</v>
      </c>
      <c r="G1313">
        <v>14</v>
      </c>
      <c r="H1313" t="s">
        <v>61</v>
      </c>
      <c r="I1313" t="s">
        <v>59</v>
      </c>
      <c r="J1313" t="s">
        <v>36</v>
      </c>
      <c r="K1313" t="s">
        <v>37</v>
      </c>
      <c r="L1313">
        <v>33</v>
      </c>
      <c r="M1313" t="s">
        <v>38</v>
      </c>
      <c r="N1313" t="s">
        <v>56</v>
      </c>
      <c r="O1313" t="s">
        <v>51</v>
      </c>
      <c r="P1313" t="s">
        <v>38</v>
      </c>
      <c r="Q1313" t="s">
        <v>42</v>
      </c>
      <c r="R1313">
        <v>1514</v>
      </c>
      <c r="S1313">
        <v>8018</v>
      </c>
      <c r="T1313">
        <v>1</v>
      </c>
      <c r="U1313" t="s">
        <v>46</v>
      </c>
      <c r="V1313">
        <v>16</v>
      </c>
      <c r="W1313" t="s">
        <v>43</v>
      </c>
      <c r="X1313" t="s">
        <v>38</v>
      </c>
      <c r="Y1313">
        <v>0</v>
      </c>
      <c r="Z1313">
        <v>0</v>
      </c>
      <c r="AA1313">
        <v>4</v>
      </c>
      <c r="AB1313" t="s">
        <v>45</v>
      </c>
      <c r="AC1313">
        <v>0</v>
      </c>
      <c r="AD1313" t="str" cm="1">
        <f t="array" ref="AD1313">_xlfn.IFS(AC1313&lt;=5,"0-5",AC1313&lt;=10,"5-10",AC1313&lt;=40,"10-40")</f>
        <v>0-5</v>
      </c>
      <c r="AE1313">
        <v>0</v>
      </c>
      <c r="AF1313">
        <v>0</v>
      </c>
      <c r="AG1313">
        <v>0</v>
      </c>
      <c r="AH1313">
        <v>1312</v>
      </c>
    </row>
    <row r="1314" spans="1:34" x14ac:dyDescent="0.3">
      <c r="A1314">
        <v>31</v>
      </c>
      <c r="B1314" t="str" cm="1">
        <f t="array" ref="B1314">_xlfn.IFS(A1314&lt;=25,"18-25",A1314&lt;=35,"26-35",A1314&lt;=45,"36-45",A1314&lt;=55,"46-55",A1314&gt;55,"55+")</f>
        <v>26-35</v>
      </c>
      <c r="C1314">
        <v>1</v>
      </c>
      <c r="D1314" t="s">
        <v>32</v>
      </c>
      <c r="E1314">
        <v>359</v>
      </c>
      <c r="F1314" t="s">
        <v>76</v>
      </c>
      <c r="G1314">
        <v>18</v>
      </c>
      <c r="H1314" t="s">
        <v>75</v>
      </c>
      <c r="I1314" t="s">
        <v>76</v>
      </c>
      <c r="J1314" t="s">
        <v>41</v>
      </c>
      <c r="K1314" t="s">
        <v>50</v>
      </c>
      <c r="L1314">
        <v>89</v>
      </c>
      <c r="M1314" t="s">
        <v>41</v>
      </c>
      <c r="N1314" t="s">
        <v>56</v>
      </c>
      <c r="O1314" t="s">
        <v>76</v>
      </c>
      <c r="P1314" t="s">
        <v>44</v>
      </c>
      <c r="Q1314" t="s">
        <v>52</v>
      </c>
      <c r="R1314">
        <v>2956</v>
      </c>
      <c r="S1314">
        <v>21495</v>
      </c>
      <c r="T1314">
        <v>0</v>
      </c>
      <c r="U1314" t="s">
        <v>46</v>
      </c>
      <c r="V1314">
        <v>17</v>
      </c>
      <c r="W1314" t="s">
        <v>43</v>
      </c>
      <c r="X1314" t="s">
        <v>38</v>
      </c>
      <c r="Y1314">
        <v>0</v>
      </c>
      <c r="Z1314">
        <v>2</v>
      </c>
      <c r="AA1314">
        <v>4</v>
      </c>
      <c r="AB1314" t="s">
        <v>54</v>
      </c>
      <c r="AC1314">
        <v>1</v>
      </c>
      <c r="AD1314" t="str" cm="1">
        <f t="array" ref="AD1314">_xlfn.IFS(AC1314&lt;=5,"0-5",AC1314&lt;=10,"5-10",AC1314&lt;=40,"10-40")</f>
        <v>0-5</v>
      </c>
      <c r="AE1314">
        <v>0</v>
      </c>
      <c r="AF1314">
        <v>0</v>
      </c>
      <c r="AG1314">
        <v>0</v>
      </c>
      <c r="AH1314">
        <v>1313</v>
      </c>
    </row>
    <row r="1315" spans="1:34" x14ac:dyDescent="0.3">
      <c r="A1315">
        <v>29</v>
      </c>
      <c r="B1315" t="str" cm="1">
        <f t="array" ref="B1315">_xlfn.IFS(A1315&lt;=25,"18-25",A1315&lt;=35,"26-35",A1315&lt;=45,"36-45",A1315&lt;=55,"46-55",A1315&gt;55,"55+")</f>
        <v>26-35</v>
      </c>
      <c r="C1315">
        <v>1</v>
      </c>
      <c r="D1315" t="s">
        <v>32</v>
      </c>
      <c r="E1315">
        <v>350</v>
      </c>
      <c r="F1315" t="s">
        <v>76</v>
      </c>
      <c r="G1315">
        <v>13</v>
      </c>
      <c r="H1315" t="s">
        <v>61</v>
      </c>
      <c r="I1315" t="s">
        <v>76</v>
      </c>
      <c r="J1315" t="s">
        <v>44</v>
      </c>
      <c r="K1315" t="s">
        <v>50</v>
      </c>
      <c r="L1315">
        <v>56</v>
      </c>
      <c r="M1315" t="s">
        <v>36</v>
      </c>
      <c r="N1315" t="s">
        <v>56</v>
      </c>
      <c r="O1315" t="s">
        <v>76</v>
      </c>
      <c r="P1315" t="s">
        <v>44</v>
      </c>
      <c r="Q1315" t="s">
        <v>62</v>
      </c>
      <c r="R1315">
        <v>2335</v>
      </c>
      <c r="S1315">
        <v>3157</v>
      </c>
      <c r="T1315">
        <v>4</v>
      </c>
      <c r="U1315" t="s">
        <v>31</v>
      </c>
      <c r="V1315">
        <v>15</v>
      </c>
      <c r="W1315" t="s">
        <v>43</v>
      </c>
      <c r="X1315" t="s">
        <v>41</v>
      </c>
      <c r="Y1315">
        <v>3</v>
      </c>
      <c r="Z1315">
        <v>4</v>
      </c>
      <c r="AA1315">
        <v>3</v>
      </c>
      <c r="AB1315" t="s">
        <v>54</v>
      </c>
      <c r="AC1315">
        <v>2</v>
      </c>
      <c r="AD1315" t="str" cm="1">
        <f t="array" ref="AD1315">_xlfn.IFS(AC1315&lt;=5,"0-5",AC1315&lt;=10,"5-10",AC1315&lt;=40,"10-40")</f>
        <v>0-5</v>
      </c>
      <c r="AE1315">
        <v>2</v>
      </c>
      <c r="AF1315">
        <v>2</v>
      </c>
      <c r="AG1315">
        <v>0</v>
      </c>
      <c r="AH1315">
        <v>1314</v>
      </c>
    </row>
    <row r="1316" spans="1:34" x14ac:dyDescent="0.3">
      <c r="A1316">
        <v>45</v>
      </c>
      <c r="B1316" t="str" cm="1">
        <f t="array" ref="B1316">_xlfn.IFS(A1316&lt;=25,"18-25",A1316&lt;=35,"26-35",A1316&lt;=45,"36-45",A1316&lt;=55,"46-55",A1316&gt;55,"55+")</f>
        <v>36-45</v>
      </c>
      <c r="C1316">
        <v>0</v>
      </c>
      <c r="D1316" t="s">
        <v>66</v>
      </c>
      <c r="E1316">
        <v>589</v>
      </c>
      <c r="F1316" t="s">
        <v>33</v>
      </c>
      <c r="G1316">
        <v>2</v>
      </c>
      <c r="H1316" t="s">
        <v>58</v>
      </c>
      <c r="I1316" t="s">
        <v>35</v>
      </c>
      <c r="J1316" t="s">
        <v>38</v>
      </c>
      <c r="K1316" t="s">
        <v>37</v>
      </c>
      <c r="L1316">
        <v>67</v>
      </c>
      <c r="M1316" t="s">
        <v>38</v>
      </c>
      <c r="N1316" t="s">
        <v>39</v>
      </c>
      <c r="O1316" t="s">
        <v>40</v>
      </c>
      <c r="P1316" t="s">
        <v>38</v>
      </c>
      <c r="Q1316" t="s">
        <v>52</v>
      </c>
      <c r="R1316">
        <v>5154</v>
      </c>
      <c r="S1316">
        <v>19665</v>
      </c>
      <c r="T1316">
        <v>4</v>
      </c>
      <c r="U1316" t="s">
        <v>46</v>
      </c>
      <c r="V1316">
        <v>22</v>
      </c>
      <c r="W1316" t="s">
        <v>53</v>
      </c>
      <c r="X1316" t="s">
        <v>36</v>
      </c>
      <c r="Y1316">
        <v>2</v>
      </c>
      <c r="Z1316">
        <v>10</v>
      </c>
      <c r="AA1316">
        <v>3</v>
      </c>
      <c r="AB1316" t="s">
        <v>73</v>
      </c>
      <c r="AC1316">
        <v>8</v>
      </c>
      <c r="AD1316" t="str" cm="1">
        <f t="array" ref="AD1316">_xlfn.IFS(AC1316&lt;=5,"0-5",AC1316&lt;=10,"5-10",AC1316&lt;=40,"10-40")</f>
        <v>5-10</v>
      </c>
      <c r="AE1316">
        <v>7</v>
      </c>
      <c r="AF1316">
        <v>5</v>
      </c>
      <c r="AG1316">
        <v>7</v>
      </c>
      <c r="AH1316">
        <v>1315</v>
      </c>
    </row>
    <row r="1317" spans="1:34" x14ac:dyDescent="0.3">
      <c r="A1317">
        <v>36</v>
      </c>
      <c r="B1317" t="str" cm="1">
        <f t="array" ref="B1317">_xlfn.IFS(A1317&lt;=25,"18-25",A1317&lt;=35,"26-35",A1317&lt;=45,"36-45",A1317&lt;=55,"46-55",A1317&gt;55,"55+")</f>
        <v>36-45</v>
      </c>
      <c r="C1317">
        <v>0</v>
      </c>
      <c r="D1317" t="s">
        <v>32</v>
      </c>
      <c r="E1317">
        <v>430</v>
      </c>
      <c r="F1317" t="s">
        <v>48</v>
      </c>
      <c r="G1317">
        <v>2</v>
      </c>
      <c r="H1317" t="s">
        <v>58</v>
      </c>
      <c r="I1317" t="s">
        <v>55</v>
      </c>
      <c r="J1317" t="s">
        <v>41</v>
      </c>
      <c r="K1317" t="s">
        <v>37</v>
      </c>
      <c r="L1317">
        <v>73</v>
      </c>
      <c r="M1317" t="s">
        <v>38</v>
      </c>
      <c r="N1317" t="s">
        <v>39</v>
      </c>
      <c r="O1317" t="s">
        <v>51</v>
      </c>
      <c r="P1317" t="s">
        <v>36</v>
      </c>
      <c r="Q1317" t="s">
        <v>52</v>
      </c>
      <c r="R1317">
        <v>6962</v>
      </c>
      <c r="S1317">
        <v>19573</v>
      </c>
      <c r="T1317">
        <v>4</v>
      </c>
      <c r="U1317" t="s">
        <v>31</v>
      </c>
      <c r="V1317">
        <v>22</v>
      </c>
      <c r="W1317" t="s">
        <v>53</v>
      </c>
      <c r="X1317" t="s">
        <v>41</v>
      </c>
      <c r="Y1317">
        <v>1</v>
      </c>
      <c r="Z1317">
        <v>15</v>
      </c>
      <c r="AA1317">
        <v>2</v>
      </c>
      <c r="AB1317" t="s">
        <v>54</v>
      </c>
      <c r="AC1317">
        <v>1</v>
      </c>
      <c r="AD1317" t="str" cm="1">
        <f t="array" ref="AD1317">_xlfn.IFS(AC1317&lt;=5,"0-5",AC1317&lt;=10,"5-10",AC1317&lt;=40,"10-40")</f>
        <v>0-5</v>
      </c>
      <c r="AE1317">
        <v>0</v>
      </c>
      <c r="AF1317">
        <v>0</v>
      </c>
      <c r="AG1317">
        <v>0</v>
      </c>
      <c r="AH1317">
        <v>1316</v>
      </c>
    </row>
    <row r="1318" spans="1:34" x14ac:dyDescent="0.3">
      <c r="A1318">
        <v>43</v>
      </c>
      <c r="B1318" t="str" cm="1">
        <f t="array" ref="B1318">_xlfn.IFS(A1318&lt;=25,"18-25",A1318&lt;=35,"26-35",A1318&lt;=45,"36-45",A1318&lt;=55,"46-55",A1318&gt;55,"55+")</f>
        <v>36-45</v>
      </c>
      <c r="C1318">
        <v>0</v>
      </c>
      <c r="D1318" t="s">
        <v>47</v>
      </c>
      <c r="E1318">
        <v>1422</v>
      </c>
      <c r="F1318" t="s">
        <v>33</v>
      </c>
      <c r="G1318">
        <v>2</v>
      </c>
      <c r="H1318" t="s">
        <v>58</v>
      </c>
      <c r="I1318" t="s">
        <v>35</v>
      </c>
      <c r="J1318" t="s">
        <v>44</v>
      </c>
      <c r="K1318" t="s">
        <v>50</v>
      </c>
      <c r="L1318">
        <v>92</v>
      </c>
      <c r="M1318" t="s">
        <v>38</v>
      </c>
      <c r="N1318" t="s">
        <v>39</v>
      </c>
      <c r="O1318" t="s">
        <v>40</v>
      </c>
      <c r="P1318" t="s">
        <v>41</v>
      </c>
      <c r="Q1318" t="s">
        <v>52</v>
      </c>
      <c r="R1318">
        <v>5675</v>
      </c>
      <c r="S1318">
        <v>19246</v>
      </c>
      <c r="T1318">
        <v>1</v>
      </c>
      <c r="U1318" t="s">
        <v>46</v>
      </c>
      <c r="V1318">
        <v>20</v>
      </c>
      <c r="W1318" t="s">
        <v>53</v>
      </c>
      <c r="X1318" t="s">
        <v>38</v>
      </c>
      <c r="Y1318">
        <v>1</v>
      </c>
      <c r="Z1318">
        <v>7</v>
      </c>
      <c r="AA1318">
        <v>5</v>
      </c>
      <c r="AB1318" t="s">
        <v>54</v>
      </c>
      <c r="AC1318">
        <v>7</v>
      </c>
      <c r="AD1318" t="str" cm="1">
        <f t="array" ref="AD1318">_xlfn.IFS(AC1318&lt;=5,"0-5",AC1318&lt;=10,"5-10",AC1318&lt;=40,"10-40")</f>
        <v>5-10</v>
      </c>
      <c r="AE1318">
        <v>7</v>
      </c>
      <c r="AF1318">
        <v>7</v>
      </c>
      <c r="AG1318">
        <v>7</v>
      </c>
      <c r="AH1318">
        <v>1317</v>
      </c>
    </row>
    <row r="1319" spans="1:34" x14ac:dyDescent="0.3">
      <c r="A1319">
        <v>27</v>
      </c>
      <c r="B1319" t="str" cm="1">
        <f t="array" ref="B1319">_xlfn.IFS(A1319&lt;=25,"18-25",A1319&lt;=35,"26-35",A1319&lt;=45,"36-45",A1319&lt;=55,"46-55",A1319&gt;55,"55+")</f>
        <v>26-35</v>
      </c>
      <c r="C1319">
        <v>0</v>
      </c>
      <c r="D1319" t="s">
        <v>47</v>
      </c>
      <c r="E1319">
        <v>1297</v>
      </c>
      <c r="F1319" t="s">
        <v>48</v>
      </c>
      <c r="G1319">
        <v>5</v>
      </c>
      <c r="H1319" t="s">
        <v>34</v>
      </c>
      <c r="I1319" t="s">
        <v>35</v>
      </c>
      <c r="J1319" t="s">
        <v>41</v>
      </c>
      <c r="K1319" t="s">
        <v>37</v>
      </c>
      <c r="L1319">
        <v>53</v>
      </c>
      <c r="M1319" t="s">
        <v>38</v>
      </c>
      <c r="N1319" t="s">
        <v>56</v>
      </c>
      <c r="O1319" t="s">
        <v>57</v>
      </c>
      <c r="P1319" t="s">
        <v>41</v>
      </c>
      <c r="Q1319" t="s">
        <v>42</v>
      </c>
      <c r="R1319">
        <v>2379</v>
      </c>
      <c r="S1319">
        <v>19826</v>
      </c>
      <c r="T1319">
        <v>0</v>
      </c>
      <c r="U1319" t="s">
        <v>31</v>
      </c>
      <c r="V1319">
        <v>14</v>
      </c>
      <c r="W1319" t="s">
        <v>43</v>
      </c>
      <c r="X1319" t="s">
        <v>38</v>
      </c>
      <c r="Y1319">
        <v>0</v>
      </c>
      <c r="Z1319">
        <v>6</v>
      </c>
      <c r="AA1319">
        <v>3</v>
      </c>
      <c r="AB1319" t="s">
        <v>60</v>
      </c>
      <c r="AC1319">
        <v>5</v>
      </c>
      <c r="AD1319" t="str" cm="1">
        <f t="array" ref="AD1319">_xlfn.IFS(AC1319&lt;=5,"0-5",AC1319&lt;=10,"5-10",AC1319&lt;=40,"10-40")</f>
        <v>0-5</v>
      </c>
      <c r="AE1319">
        <v>4</v>
      </c>
      <c r="AF1319">
        <v>0</v>
      </c>
      <c r="AG1319">
        <v>2</v>
      </c>
      <c r="AH1319">
        <v>1318</v>
      </c>
    </row>
    <row r="1320" spans="1:34" x14ac:dyDescent="0.3">
      <c r="A1320">
        <v>29</v>
      </c>
      <c r="B1320" t="str" cm="1">
        <f t="array" ref="B1320">_xlfn.IFS(A1320&lt;=25,"18-25",A1320&lt;=35,"26-35",A1320&lt;=45,"36-45",A1320&lt;=55,"46-55",A1320&gt;55,"55+")</f>
        <v>26-35</v>
      </c>
      <c r="C1320">
        <v>0</v>
      </c>
      <c r="D1320" t="s">
        <v>47</v>
      </c>
      <c r="E1320">
        <v>574</v>
      </c>
      <c r="F1320" t="s">
        <v>48</v>
      </c>
      <c r="G1320">
        <v>20</v>
      </c>
      <c r="H1320" t="s">
        <v>49</v>
      </c>
      <c r="I1320" t="s">
        <v>59</v>
      </c>
      <c r="J1320" t="s">
        <v>41</v>
      </c>
      <c r="K1320" t="s">
        <v>50</v>
      </c>
      <c r="L1320">
        <v>40</v>
      </c>
      <c r="M1320" t="s">
        <v>38</v>
      </c>
      <c r="N1320" t="s">
        <v>56</v>
      </c>
      <c r="O1320" t="s">
        <v>57</v>
      </c>
      <c r="P1320" t="s">
        <v>41</v>
      </c>
      <c r="Q1320" t="s">
        <v>52</v>
      </c>
      <c r="R1320">
        <v>3812</v>
      </c>
      <c r="S1320">
        <v>7003</v>
      </c>
      <c r="T1320">
        <v>1</v>
      </c>
      <c r="U1320" t="s">
        <v>46</v>
      </c>
      <c r="V1320">
        <v>13</v>
      </c>
      <c r="W1320" t="s">
        <v>43</v>
      </c>
      <c r="X1320" t="s">
        <v>36</v>
      </c>
      <c r="Y1320">
        <v>0</v>
      </c>
      <c r="Z1320">
        <v>11</v>
      </c>
      <c r="AA1320">
        <v>3</v>
      </c>
      <c r="AB1320" t="s">
        <v>73</v>
      </c>
      <c r="AC1320">
        <v>11</v>
      </c>
      <c r="AD1320" t="str" cm="1">
        <f t="array" ref="AD1320">_xlfn.IFS(AC1320&lt;=5,"0-5",AC1320&lt;=10,"5-10",AC1320&lt;=40,"10-40")</f>
        <v>10-40</v>
      </c>
      <c r="AE1320">
        <v>8</v>
      </c>
      <c r="AF1320">
        <v>3</v>
      </c>
      <c r="AG1320">
        <v>10</v>
      </c>
      <c r="AH1320">
        <v>1319</v>
      </c>
    </row>
    <row r="1321" spans="1:34" x14ac:dyDescent="0.3">
      <c r="A1321">
        <v>32</v>
      </c>
      <c r="B1321" t="str" cm="1">
        <f t="array" ref="B1321">_xlfn.IFS(A1321&lt;=25,"18-25",A1321&lt;=35,"26-35",A1321&lt;=45,"36-45",A1321&lt;=55,"46-55",A1321&gt;55,"55+")</f>
        <v>26-35</v>
      </c>
      <c r="C1321">
        <v>0</v>
      </c>
      <c r="D1321" t="s">
        <v>47</v>
      </c>
      <c r="E1321">
        <v>1318</v>
      </c>
      <c r="F1321" t="s">
        <v>33</v>
      </c>
      <c r="G1321">
        <v>10</v>
      </c>
      <c r="H1321" t="s">
        <v>58</v>
      </c>
      <c r="I1321" t="s">
        <v>72</v>
      </c>
      <c r="J1321" t="s">
        <v>41</v>
      </c>
      <c r="K1321" t="s">
        <v>50</v>
      </c>
      <c r="L1321">
        <v>79</v>
      </c>
      <c r="M1321" t="s">
        <v>38</v>
      </c>
      <c r="N1321" t="s">
        <v>39</v>
      </c>
      <c r="O1321" t="s">
        <v>40</v>
      </c>
      <c r="P1321" t="s">
        <v>41</v>
      </c>
      <c r="Q1321" t="s">
        <v>42</v>
      </c>
      <c r="R1321">
        <v>4648</v>
      </c>
      <c r="S1321">
        <v>26075</v>
      </c>
      <c r="T1321">
        <v>8</v>
      </c>
      <c r="U1321" t="s">
        <v>46</v>
      </c>
      <c r="V1321">
        <v>13</v>
      </c>
      <c r="W1321" t="s">
        <v>43</v>
      </c>
      <c r="X1321" t="s">
        <v>38</v>
      </c>
      <c r="Y1321">
        <v>0</v>
      </c>
      <c r="Z1321">
        <v>4</v>
      </c>
      <c r="AA1321">
        <v>2</v>
      </c>
      <c r="AB1321" t="s">
        <v>73</v>
      </c>
      <c r="AC1321">
        <v>0</v>
      </c>
      <c r="AD1321" t="str" cm="1">
        <f t="array" ref="AD1321">_xlfn.IFS(AC1321&lt;=5,"0-5",AC1321&lt;=10,"5-10",AC1321&lt;=40,"10-40")</f>
        <v>0-5</v>
      </c>
      <c r="AE1321">
        <v>0</v>
      </c>
      <c r="AF1321">
        <v>0</v>
      </c>
      <c r="AG1321">
        <v>0</v>
      </c>
      <c r="AH1321">
        <v>1320</v>
      </c>
    </row>
    <row r="1322" spans="1:34" x14ac:dyDescent="0.3">
      <c r="A1322">
        <v>42</v>
      </c>
      <c r="B1322" t="str" cm="1">
        <f t="array" ref="B1322">_xlfn.IFS(A1322&lt;=25,"18-25",A1322&lt;=35,"26-35",A1322&lt;=45,"36-45",A1322&lt;=55,"46-55",A1322&gt;55,"55+")</f>
        <v>36-45</v>
      </c>
      <c r="C1322">
        <v>0</v>
      </c>
      <c r="D1322" t="s">
        <v>66</v>
      </c>
      <c r="E1322">
        <v>355</v>
      </c>
      <c r="F1322" t="s">
        <v>48</v>
      </c>
      <c r="G1322">
        <v>10</v>
      </c>
      <c r="H1322" t="s">
        <v>58</v>
      </c>
      <c r="I1322" t="s">
        <v>74</v>
      </c>
      <c r="J1322" t="s">
        <v>38</v>
      </c>
      <c r="K1322" t="s">
        <v>50</v>
      </c>
      <c r="L1322">
        <v>38</v>
      </c>
      <c r="M1322" t="s">
        <v>38</v>
      </c>
      <c r="N1322" t="s">
        <v>56</v>
      </c>
      <c r="O1322" t="s">
        <v>51</v>
      </c>
      <c r="P1322" t="s">
        <v>38</v>
      </c>
      <c r="Q1322" t="s">
        <v>52</v>
      </c>
      <c r="R1322">
        <v>2936</v>
      </c>
      <c r="S1322">
        <v>6161</v>
      </c>
      <c r="T1322">
        <v>3</v>
      </c>
      <c r="U1322" t="s">
        <v>46</v>
      </c>
      <c r="V1322">
        <v>22</v>
      </c>
      <c r="W1322" t="s">
        <v>53</v>
      </c>
      <c r="X1322" t="s">
        <v>36</v>
      </c>
      <c r="Y1322">
        <v>2</v>
      </c>
      <c r="Z1322">
        <v>10</v>
      </c>
      <c r="AA1322">
        <v>1</v>
      </c>
      <c r="AB1322" t="s">
        <v>60</v>
      </c>
      <c r="AC1322">
        <v>6</v>
      </c>
      <c r="AD1322" t="str" cm="1">
        <f t="array" ref="AD1322">_xlfn.IFS(AC1322&lt;=5,"0-5",AC1322&lt;=10,"5-10",AC1322&lt;=40,"10-40")</f>
        <v>5-10</v>
      </c>
      <c r="AE1322">
        <v>3</v>
      </c>
      <c r="AF1322">
        <v>3</v>
      </c>
      <c r="AG1322">
        <v>3</v>
      </c>
      <c r="AH1322">
        <v>1321</v>
      </c>
    </row>
    <row r="1323" spans="1:34" x14ac:dyDescent="0.3">
      <c r="A1323">
        <v>47</v>
      </c>
      <c r="B1323" t="str" cm="1">
        <f t="array" ref="B1323">_xlfn.IFS(A1323&lt;=25,"18-25",A1323&lt;=35,"26-35",A1323&lt;=45,"36-45",A1323&lt;=55,"46-55",A1323&gt;55,"55+")</f>
        <v>46-55</v>
      </c>
      <c r="C1323">
        <v>0</v>
      </c>
      <c r="D1323" t="s">
        <v>32</v>
      </c>
      <c r="E1323">
        <v>207</v>
      </c>
      <c r="F1323" t="s">
        <v>48</v>
      </c>
      <c r="G1323">
        <v>9</v>
      </c>
      <c r="H1323" t="s">
        <v>58</v>
      </c>
      <c r="I1323" t="s">
        <v>35</v>
      </c>
      <c r="J1323" t="s">
        <v>36</v>
      </c>
      <c r="K1323" t="s">
        <v>37</v>
      </c>
      <c r="L1323">
        <v>64</v>
      </c>
      <c r="M1323" t="s">
        <v>38</v>
      </c>
      <c r="N1323" t="s">
        <v>56</v>
      </c>
      <c r="O1323" t="s">
        <v>57</v>
      </c>
      <c r="P1323" t="s">
        <v>38</v>
      </c>
      <c r="Q1323" t="s">
        <v>42</v>
      </c>
      <c r="R1323">
        <v>2105</v>
      </c>
      <c r="S1323">
        <v>5411</v>
      </c>
      <c r="T1323">
        <v>4</v>
      </c>
      <c r="U1323" t="s">
        <v>46</v>
      </c>
      <c r="V1323">
        <v>12</v>
      </c>
      <c r="W1323" t="s">
        <v>43</v>
      </c>
      <c r="X1323" t="s">
        <v>38</v>
      </c>
      <c r="Y1323">
        <v>0</v>
      </c>
      <c r="Z1323">
        <v>7</v>
      </c>
      <c r="AA1323">
        <v>2</v>
      </c>
      <c r="AB1323" t="s">
        <v>54</v>
      </c>
      <c r="AC1323">
        <v>2</v>
      </c>
      <c r="AD1323" t="str" cm="1">
        <f t="array" ref="AD1323">_xlfn.IFS(AC1323&lt;=5,"0-5",AC1323&lt;=10,"5-10",AC1323&lt;=40,"10-40")</f>
        <v>0-5</v>
      </c>
      <c r="AE1323">
        <v>2</v>
      </c>
      <c r="AF1323">
        <v>2</v>
      </c>
      <c r="AG1323">
        <v>0</v>
      </c>
      <c r="AH1323">
        <v>1322</v>
      </c>
    </row>
    <row r="1324" spans="1:34" x14ac:dyDescent="0.3">
      <c r="A1324">
        <v>46</v>
      </c>
      <c r="B1324" t="str" cm="1">
        <f t="array" ref="B1324">_xlfn.IFS(A1324&lt;=25,"18-25",A1324&lt;=35,"26-35",A1324&lt;=45,"36-45",A1324&lt;=55,"46-55",A1324&gt;55,"55+")</f>
        <v>46-55</v>
      </c>
      <c r="C1324">
        <v>0</v>
      </c>
      <c r="D1324" t="s">
        <v>32</v>
      </c>
      <c r="E1324">
        <v>706</v>
      </c>
      <c r="F1324" t="s">
        <v>48</v>
      </c>
      <c r="G1324">
        <v>2</v>
      </c>
      <c r="H1324" t="s">
        <v>34</v>
      </c>
      <c r="I1324" t="s">
        <v>35</v>
      </c>
      <c r="J1324" t="s">
        <v>41</v>
      </c>
      <c r="K1324" t="s">
        <v>50</v>
      </c>
      <c r="L1324">
        <v>82</v>
      </c>
      <c r="M1324" t="s">
        <v>38</v>
      </c>
      <c r="N1324" t="s">
        <v>63</v>
      </c>
      <c r="O1324" t="s">
        <v>64</v>
      </c>
      <c r="P1324" t="s">
        <v>41</v>
      </c>
      <c r="Q1324" t="s">
        <v>62</v>
      </c>
      <c r="R1324">
        <v>8578</v>
      </c>
      <c r="S1324">
        <v>19989</v>
      </c>
      <c r="T1324">
        <v>3</v>
      </c>
      <c r="U1324" t="s">
        <v>46</v>
      </c>
      <c r="V1324">
        <v>14</v>
      </c>
      <c r="W1324" t="s">
        <v>43</v>
      </c>
      <c r="X1324" t="s">
        <v>38</v>
      </c>
      <c r="Y1324">
        <v>1</v>
      </c>
      <c r="Z1324">
        <v>12</v>
      </c>
      <c r="AA1324">
        <v>4</v>
      </c>
      <c r="AB1324" t="s">
        <v>60</v>
      </c>
      <c r="AC1324">
        <v>9</v>
      </c>
      <c r="AD1324" t="str" cm="1">
        <f t="array" ref="AD1324">_xlfn.IFS(AC1324&lt;=5,"0-5",AC1324&lt;=10,"5-10",AC1324&lt;=40,"10-40")</f>
        <v>5-10</v>
      </c>
      <c r="AE1324">
        <v>8</v>
      </c>
      <c r="AF1324">
        <v>4</v>
      </c>
      <c r="AG1324">
        <v>7</v>
      </c>
      <c r="AH1324">
        <v>1323</v>
      </c>
    </row>
    <row r="1325" spans="1:34" x14ac:dyDescent="0.3">
      <c r="A1325">
        <v>28</v>
      </c>
      <c r="B1325" t="str" cm="1">
        <f t="array" ref="B1325">_xlfn.IFS(A1325&lt;=25,"18-25",A1325&lt;=35,"26-35",A1325&lt;=45,"36-45",A1325&lt;=55,"46-55",A1325&gt;55,"55+")</f>
        <v>26-35</v>
      </c>
      <c r="C1325">
        <v>0</v>
      </c>
      <c r="D1325" t="s">
        <v>66</v>
      </c>
      <c r="E1325">
        <v>280</v>
      </c>
      <c r="F1325" t="s">
        <v>76</v>
      </c>
      <c r="G1325">
        <v>1</v>
      </c>
      <c r="H1325" t="s">
        <v>34</v>
      </c>
      <c r="I1325" t="s">
        <v>35</v>
      </c>
      <c r="J1325" t="s">
        <v>38</v>
      </c>
      <c r="K1325" t="s">
        <v>50</v>
      </c>
      <c r="L1325">
        <v>43</v>
      </c>
      <c r="M1325" t="s">
        <v>38</v>
      </c>
      <c r="N1325" t="s">
        <v>56</v>
      </c>
      <c r="O1325" t="s">
        <v>76</v>
      </c>
      <c r="P1325" t="s">
        <v>41</v>
      </c>
      <c r="Q1325" t="s">
        <v>62</v>
      </c>
      <c r="R1325">
        <v>2706</v>
      </c>
      <c r="S1325">
        <v>10494</v>
      </c>
      <c r="T1325">
        <v>1</v>
      </c>
      <c r="U1325" t="s">
        <v>46</v>
      </c>
      <c r="V1325">
        <v>15</v>
      </c>
      <c r="W1325" t="s">
        <v>43</v>
      </c>
      <c r="X1325" t="s">
        <v>36</v>
      </c>
      <c r="Y1325">
        <v>1</v>
      </c>
      <c r="Z1325">
        <v>3</v>
      </c>
      <c r="AA1325">
        <v>2</v>
      </c>
      <c r="AB1325" t="s">
        <v>54</v>
      </c>
      <c r="AC1325">
        <v>3</v>
      </c>
      <c r="AD1325" t="str" cm="1">
        <f t="array" ref="AD1325">_xlfn.IFS(AC1325&lt;=5,"0-5",AC1325&lt;=10,"5-10",AC1325&lt;=40,"10-40")</f>
        <v>0-5</v>
      </c>
      <c r="AE1325">
        <v>2</v>
      </c>
      <c r="AF1325">
        <v>2</v>
      </c>
      <c r="AG1325">
        <v>2</v>
      </c>
      <c r="AH1325">
        <v>1324</v>
      </c>
    </row>
    <row r="1326" spans="1:34" x14ac:dyDescent="0.3">
      <c r="A1326">
        <v>29</v>
      </c>
      <c r="B1326" t="str" cm="1">
        <f t="array" ref="B1326">_xlfn.IFS(A1326&lt;=25,"18-25",A1326&lt;=35,"26-35",A1326&lt;=45,"36-45",A1326&lt;=55,"46-55",A1326&gt;55,"55+")</f>
        <v>26-35</v>
      </c>
      <c r="C1326">
        <v>0</v>
      </c>
      <c r="D1326" t="s">
        <v>32</v>
      </c>
      <c r="E1326">
        <v>726</v>
      </c>
      <c r="F1326" t="s">
        <v>48</v>
      </c>
      <c r="G1326">
        <v>29</v>
      </c>
      <c r="H1326" t="s">
        <v>49</v>
      </c>
      <c r="I1326" t="s">
        <v>35</v>
      </c>
      <c r="J1326" t="s">
        <v>41</v>
      </c>
      <c r="K1326" t="s">
        <v>50</v>
      </c>
      <c r="L1326">
        <v>93</v>
      </c>
      <c r="M1326" t="s">
        <v>44</v>
      </c>
      <c r="N1326" t="s">
        <v>39</v>
      </c>
      <c r="O1326" t="s">
        <v>65</v>
      </c>
      <c r="P1326" t="s">
        <v>38</v>
      </c>
      <c r="Q1326" t="s">
        <v>62</v>
      </c>
      <c r="R1326">
        <v>6384</v>
      </c>
      <c r="S1326">
        <v>21143</v>
      </c>
      <c r="T1326">
        <v>8</v>
      </c>
      <c r="U1326" t="s">
        <v>46</v>
      </c>
      <c r="V1326">
        <v>17</v>
      </c>
      <c r="W1326" t="s">
        <v>43</v>
      </c>
      <c r="X1326" t="s">
        <v>41</v>
      </c>
      <c r="Y1326">
        <v>2</v>
      </c>
      <c r="Z1326">
        <v>11</v>
      </c>
      <c r="AA1326">
        <v>3</v>
      </c>
      <c r="AB1326" t="s">
        <v>54</v>
      </c>
      <c r="AC1326">
        <v>7</v>
      </c>
      <c r="AD1326" t="str" cm="1">
        <f t="array" ref="AD1326">_xlfn.IFS(AC1326&lt;=5,"0-5",AC1326&lt;=10,"5-10",AC1326&lt;=40,"10-40")</f>
        <v>5-10</v>
      </c>
      <c r="AE1326">
        <v>0</v>
      </c>
      <c r="AF1326">
        <v>1</v>
      </c>
      <c r="AG1326">
        <v>6</v>
      </c>
      <c r="AH1326">
        <v>1325</v>
      </c>
    </row>
    <row r="1327" spans="1:34" x14ac:dyDescent="0.3">
      <c r="A1327">
        <v>42</v>
      </c>
      <c r="B1327" t="str" cm="1">
        <f t="array" ref="B1327">_xlfn.IFS(A1327&lt;=25,"18-25",A1327&lt;=35,"26-35",A1327&lt;=45,"36-45",A1327&lt;=55,"46-55",A1327&gt;55,"55+")</f>
        <v>36-45</v>
      </c>
      <c r="C1327">
        <v>0</v>
      </c>
      <c r="D1327" t="s">
        <v>32</v>
      </c>
      <c r="E1327">
        <v>1142</v>
      </c>
      <c r="F1327" t="s">
        <v>48</v>
      </c>
      <c r="G1327">
        <v>8</v>
      </c>
      <c r="H1327" t="s">
        <v>61</v>
      </c>
      <c r="I1327" t="s">
        <v>35</v>
      </c>
      <c r="J1327" t="s">
        <v>41</v>
      </c>
      <c r="K1327" t="s">
        <v>50</v>
      </c>
      <c r="L1327">
        <v>81</v>
      </c>
      <c r="M1327" t="s">
        <v>38</v>
      </c>
      <c r="N1327" t="s">
        <v>56</v>
      </c>
      <c r="O1327" t="s">
        <v>57</v>
      </c>
      <c r="P1327" t="s">
        <v>38</v>
      </c>
      <c r="Q1327" t="s">
        <v>42</v>
      </c>
      <c r="R1327">
        <v>3968</v>
      </c>
      <c r="S1327">
        <v>13624</v>
      </c>
      <c r="T1327">
        <v>4</v>
      </c>
      <c r="U1327" t="s">
        <v>46</v>
      </c>
      <c r="V1327">
        <v>13</v>
      </c>
      <c r="W1327" t="s">
        <v>43</v>
      </c>
      <c r="X1327" t="s">
        <v>41</v>
      </c>
      <c r="Y1327">
        <v>0</v>
      </c>
      <c r="Z1327">
        <v>8</v>
      </c>
      <c r="AA1327">
        <v>3</v>
      </c>
      <c r="AB1327" t="s">
        <v>54</v>
      </c>
      <c r="AC1327">
        <v>0</v>
      </c>
      <c r="AD1327" t="str" cm="1">
        <f t="array" ref="AD1327">_xlfn.IFS(AC1327&lt;=5,"0-5",AC1327&lt;=10,"5-10",AC1327&lt;=40,"10-40")</f>
        <v>0-5</v>
      </c>
      <c r="AE1327">
        <v>0</v>
      </c>
      <c r="AF1327">
        <v>0</v>
      </c>
      <c r="AG1327">
        <v>0</v>
      </c>
      <c r="AH1327">
        <v>1326</v>
      </c>
    </row>
    <row r="1328" spans="1:34" x14ac:dyDescent="0.3">
      <c r="A1328">
        <v>32</v>
      </c>
      <c r="B1328" t="str" cm="1">
        <f t="array" ref="B1328">_xlfn.IFS(A1328&lt;=25,"18-25",A1328&lt;=35,"26-35",A1328&lt;=45,"36-45",A1328&lt;=55,"46-55",A1328&gt;55,"55+")</f>
        <v>26-35</v>
      </c>
      <c r="C1328">
        <v>1</v>
      </c>
      <c r="D1328" t="s">
        <v>32</v>
      </c>
      <c r="E1328">
        <v>414</v>
      </c>
      <c r="F1328" t="s">
        <v>33</v>
      </c>
      <c r="G1328">
        <v>2</v>
      </c>
      <c r="H1328" t="s">
        <v>58</v>
      </c>
      <c r="I1328" t="s">
        <v>72</v>
      </c>
      <c r="J1328" t="s">
        <v>38</v>
      </c>
      <c r="K1328" t="s">
        <v>50</v>
      </c>
      <c r="L1328">
        <v>82</v>
      </c>
      <c r="M1328" t="s">
        <v>36</v>
      </c>
      <c r="N1328" t="s">
        <v>39</v>
      </c>
      <c r="O1328" t="s">
        <v>40</v>
      </c>
      <c r="P1328" t="s">
        <v>36</v>
      </c>
      <c r="Q1328" t="s">
        <v>42</v>
      </c>
      <c r="R1328">
        <v>9907</v>
      </c>
      <c r="S1328">
        <v>26186</v>
      </c>
      <c r="T1328">
        <v>7</v>
      </c>
      <c r="U1328" t="s">
        <v>31</v>
      </c>
      <c r="V1328">
        <v>12</v>
      </c>
      <c r="W1328" t="s">
        <v>43</v>
      </c>
      <c r="X1328" t="s">
        <v>38</v>
      </c>
      <c r="Y1328">
        <v>0</v>
      </c>
      <c r="Z1328">
        <v>7</v>
      </c>
      <c r="AA1328">
        <v>3</v>
      </c>
      <c r="AB1328" t="s">
        <v>60</v>
      </c>
      <c r="AC1328">
        <v>2</v>
      </c>
      <c r="AD1328" t="str" cm="1">
        <f t="array" ref="AD1328">_xlfn.IFS(AC1328&lt;=5,"0-5",AC1328&lt;=10,"5-10",AC1328&lt;=40,"10-40")</f>
        <v>0-5</v>
      </c>
      <c r="AE1328">
        <v>2</v>
      </c>
      <c r="AF1328">
        <v>2</v>
      </c>
      <c r="AG1328">
        <v>2</v>
      </c>
      <c r="AH1328">
        <v>1327</v>
      </c>
    </row>
    <row r="1329" spans="1:34" x14ac:dyDescent="0.3">
      <c r="A1329">
        <v>46</v>
      </c>
      <c r="B1329" t="str" cm="1">
        <f t="array" ref="B1329">_xlfn.IFS(A1329&lt;=25,"18-25",A1329&lt;=35,"26-35",A1329&lt;=45,"36-45",A1329&lt;=55,"46-55",A1329&gt;55,"55+")</f>
        <v>46-55</v>
      </c>
      <c r="C1329">
        <v>0</v>
      </c>
      <c r="D1329" t="s">
        <v>32</v>
      </c>
      <c r="E1329">
        <v>1319</v>
      </c>
      <c r="F1329" t="s">
        <v>33</v>
      </c>
      <c r="G1329">
        <v>3</v>
      </c>
      <c r="H1329" t="s">
        <v>61</v>
      </c>
      <c r="I1329" t="s">
        <v>74</v>
      </c>
      <c r="J1329" t="s">
        <v>44</v>
      </c>
      <c r="K1329" t="s">
        <v>37</v>
      </c>
      <c r="L1329">
        <v>45</v>
      </c>
      <c r="M1329" t="s">
        <v>41</v>
      </c>
      <c r="N1329" t="s">
        <v>67</v>
      </c>
      <c r="O1329" t="s">
        <v>40</v>
      </c>
      <c r="P1329" t="s">
        <v>44</v>
      </c>
      <c r="Q1329" t="s">
        <v>62</v>
      </c>
      <c r="R1329">
        <v>13225</v>
      </c>
      <c r="S1329">
        <v>7739</v>
      </c>
      <c r="T1329">
        <v>2</v>
      </c>
      <c r="U1329" t="s">
        <v>46</v>
      </c>
      <c r="V1329">
        <v>12</v>
      </c>
      <c r="W1329" t="s">
        <v>43</v>
      </c>
      <c r="X1329" t="s">
        <v>41</v>
      </c>
      <c r="Y1329">
        <v>1</v>
      </c>
      <c r="Z1329">
        <v>25</v>
      </c>
      <c r="AA1329">
        <v>5</v>
      </c>
      <c r="AB1329" t="s">
        <v>54</v>
      </c>
      <c r="AC1329">
        <v>19</v>
      </c>
      <c r="AD1329" t="str" cm="1">
        <f t="array" ref="AD1329">_xlfn.IFS(AC1329&lt;=5,"0-5",AC1329&lt;=10,"5-10",AC1329&lt;=40,"10-40")</f>
        <v>10-40</v>
      </c>
      <c r="AE1329">
        <v>17</v>
      </c>
      <c r="AF1329">
        <v>2</v>
      </c>
      <c r="AG1329">
        <v>8</v>
      </c>
      <c r="AH1329">
        <v>1328</v>
      </c>
    </row>
    <row r="1330" spans="1:34" x14ac:dyDescent="0.3">
      <c r="A1330">
        <v>27</v>
      </c>
      <c r="B1330" t="str" cm="1">
        <f t="array" ref="B1330">_xlfn.IFS(A1330&lt;=25,"18-25",A1330&lt;=35,"26-35",A1330&lt;=45,"36-45",A1330&lt;=55,"46-55",A1330&gt;55,"55+")</f>
        <v>26-35</v>
      </c>
      <c r="C1330">
        <v>0</v>
      </c>
      <c r="D1330" t="s">
        <v>32</v>
      </c>
      <c r="E1330">
        <v>728</v>
      </c>
      <c r="F1330" t="s">
        <v>33</v>
      </c>
      <c r="G1330">
        <v>23</v>
      </c>
      <c r="H1330" t="s">
        <v>49</v>
      </c>
      <c r="I1330" t="s">
        <v>59</v>
      </c>
      <c r="J1330" t="s">
        <v>36</v>
      </c>
      <c r="K1330" t="s">
        <v>37</v>
      </c>
      <c r="L1330">
        <v>36</v>
      </c>
      <c r="M1330" t="s">
        <v>36</v>
      </c>
      <c r="N1330" t="s">
        <v>39</v>
      </c>
      <c r="O1330" t="s">
        <v>69</v>
      </c>
      <c r="P1330" t="s">
        <v>38</v>
      </c>
      <c r="Q1330" t="s">
        <v>52</v>
      </c>
      <c r="R1330">
        <v>3540</v>
      </c>
      <c r="S1330">
        <v>7018</v>
      </c>
      <c r="T1330">
        <v>1</v>
      </c>
      <c r="U1330" t="s">
        <v>46</v>
      </c>
      <c r="V1330">
        <v>21</v>
      </c>
      <c r="W1330" t="s">
        <v>53</v>
      </c>
      <c r="X1330" t="s">
        <v>41</v>
      </c>
      <c r="Y1330">
        <v>1</v>
      </c>
      <c r="Z1330">
        <v>9</v>
      </c>
      <c r="AA1330">
        <v>5</v>
      </c>
      <c r="AB1330" t="s">
        <v>54</v>
      </c>
      <c r="AC1330">
        <v>9</v>
      </c>
      <c r="AD1330" t="str" cm="1">
        <f t="array" ref="AD1330">_xlfn.IFS(AC1330&lt;=5,"0-5",AC1330&lt;=10,"5-10",AC1330&lt;=40,"10-40")</f>
        <v>5-10</v>
      </c>
      <c r="AE1330">
        <v>8</v>
      </c>
      <c r="AF1330">
        <v>5</v>
      </c>
      <c r="AG1330">
        <v>8</v>
      </c>
      <c r="AH1330">
        <v>1329</v>
      </c>
    </row>
    <row r="1331" spans="1:34" x14ac:dyDescent="0.3">
      <c r="A1331">
        <v>29</v>
      </c>
      <c r="B1331" t="str" cm="1">
        <f t="array" ref="B1331">_xlfn.IFS(A1331&lt;=25,"18-25",A1331&lt;=35,"26-35",A1331&lt;=45,"36-45",A1331&lt;=55,"46-55",A1331&gt;55,"55+")</f>
        <v>26-35</v>
      </c>
      <c r="C1331">
        <v>0</v>
      </c>
      <c r="D1331" t="s">
        <v>32</v>
      </c>
      <c r="E1331">
        <v>352</v>
      </c>
      <c r="F1331" t="s">
        <v>76</v>
      </c>
      <c r="G1331">
        <v>6</v>
      </c>
      <c r="H1331" t="s">
        <v>49</v>
      </c>
      <c r="I1331" t="s">
        <v>59</v>
      </c>
      <c r="J1331" t="s">
        <v>41</v>
      </c>
      <c r="K1331" t="s">
        <v>50</v>
      </c>
      <c r="L1331">
        <v>87</v>
      </c>
      <c r="M1331" t="s">
        <v>36</v>
      </c>
      <c r="N1331" t="s">
        <v>56</v>
      </c>
      <c r="O1331" t="s">
        <v>76</v>
      </c>
      <c r="P1331" t="s">
        <v>36</v>
      </c>
      <c r="Q1331" t="s">
        <v>52</v>
      </c>
      <c r="R1331">
        <v>2804</v>
      </c>
      <c r="S1331">
        <v>15434</v>
      </c>
      <c r="T1331">
        <v>1</v>
      </c>
      <c r="U1331" t="s">
        <v>46</v>
      </c>
      <c r="V1331">
        <v>11</v>
      </c>
      <c r="W1331" t="s">
        <v>43</v>
      </c>
      <c r="X1331" t="s">
        <v>41</v>
      </c>
      <c r="Y1331">
        <v>0</v>
      </c>
      <c r="Z1331">
        <v>1</v>
      </c>
      <c r="AA1331">
        <v>3</v>
      </c>
      <c r="AB1331" t="s">
        <v>54</v>
      </c>
      <c r="AC1331">
        <v>1</v>
      </c>
      <c r="AD1331" t="str" cm="1">
        <f t="array" ref="AD1331">_xlfn.IFS(AC1331&lt;=5,"0-5",AC1331&lt;=10,"5-10",AC1331&lt;=40,"10-40")</f>
        <v>0-5</v>
      </c>
      <c r="AE1331">
        <v>0</v>
      </c>
      <c r="AF1331">
        <v>0</v>
      </c>
      <c r="AG1331">
        <v>0</v>
      </c>
      <c r="AH1331">
        <v>1330</v>
      </c>
    </row>
    <row r="1332" spans="1:34" x14ac:dyDescent="0.3">
      <c r="A1332">
        <v>43</v>
      </c>
      <c r="B1332" t="str" cm="1">
        <f t="array" ref="B1332">_xlfn.IFS(A1332&lt;=25,"18-25",A1332&lt;=35,"26-35",A1332&lt;=45,"36-45",A1332&lt;=55,"46-55",A1332&gt;55,"55+")</f>
        <v>36-45</v>
      </c>
      <c r="C1332">
        <v>0</v>
      </c>
      <c r="D1332" t="s">
        <v>32</v>
      </c>
      <c r="E1332">
        <v>823</v>
      </c>
      <c r="F1332" t="s">
        <v>48</v>
      </c>
      <c r="G1332">
        <v>6</v>
      </c>
      <c r="H1332" t="s">
        <v>61</v>
      </c>
      <c r="I1332" t="s">
        <v>59</v>
      </c>
      <c r="J1332" t="s">
        <v>44</v>
      </c>
      <c r="K1332" t="s">
        <v>37</v>
      </c>
      <c r="L1332">
        <v>81</v>
      </c>
      <c r="M1332" t="s">
        <v>36</v>
      </c>
      <c r="N1332" t="s">
        <v>71</v>
      </c>
      <c r="O1332" t="s">
        <v>68</v>
      </c>
      <c r="P1332" t="s">
        <v>38</v>
      </c>
      <c r="Q1332" t="s">
        <v>52</v>
      </c>
      <c r="R1332">
        <v>19392</v>
      </c>
      <c r="S1332">
        <v>22539</v>
      </c>
      <c r="T1332">
        <v>7</v>
      </c>
      <c r="U1332" t="s">
        <v>46</v>
      </c>
      <c r="V1332">
        <v>13</v>
      </c>
      <c r="W1332" t="s">
        <v>43</v>
      </c>
      <c r="X1332" t="s">
        <v>41</v>
      </c>
      <c r="Y1332">
        <v>0</v>
      </c>
      <c r="Z1332">
        <v>21</v>
      </c>
      <c r="AA1332">
        <v>2</v>
      </c>
      <c r="AB1332" t="s">
        <v>54</v>
      </c>
      <c r="AC1332">
        <v>16</v>
      </c>
      <c r="AD1332" t="str" cm="1">
        <f t="array" ref="AD1332">_xlfn.IFS(AC1332&lt;=5,"0-5",AC1332&lt;=10,"5-10",AC1332&lt;=40,"10-40")</f>
        <v>10-40</v>
      </c>
      <c r="AE1332">
        <v>12</v>
      </c>
      <c r="AF1332">
        <v>6</v>
      </c>
      <c r="AG1332">
        <v>14</v>
      </c>
      <c r="AH1332">
        <v>1331</v>
      </c>
    </row>
    <row r="1333" spans="1:34" x14ac:dyDescent="0.3">
      <c r="A1333">
        <v>48</v>
      </c>
      <c r="B1333" t="str" cm="1">
        <f t="array" ref="B1333">_xlfn.IFS(A1333&lt;=25,"18-25",A1333&lt;=35,"26-35",A1333&lt;=45,"36-45",A1333&lt;=55,"46-55",A1333&gt;55,"55+")</f>
        <v>46-55</v>
      </c>
      <c r="C1333">
        <v>0</v>
      </c>
      <c r="D1333" t="s">
        <v>32</v>
      </c>
      <c r="E1333">
        <v>1224</v>
      </c>
      <c r="F1333" t="s">
        <v>48</v>
      </c>
      <c r="G1333">
        <v>10</v>
      </c>
      <c r="H1333" t="s">
        <v>61</v>
      </c>
      <c r="I1333" t="s">
        <v>35</v>
      </c>
      <c r="J1333" t="s">
        <v>41</v>
      </c>
      <c r="K1333" t="s">
        <v>50</v>
      </c>
      <c r="L1333">
        <v>91</v>
      </c>
      <c r="M1333" t="s">
        <v>36</v>
      </c>
      <c r="N1333" t="s">
        <v>71</v>
      </c>
      <c r="O1333" t="s">
        <v>70</v>
      </c>
      <c r="P1333" t="s">
        <v>36</v>
      </c>
      <c r="Q1333" t="s">
        <v>52</v>
      </c>
      <c r="R1333">
        <v>19665</v>
      </c>
      <c r="S1333">
        <v>13583</v>
      </c>
      <c r="T1333">
        <v>4</v>
      </c>
      <c r="U1333" t="s">
        <v>46</v>
      </c>
      <c r="V1333">
        <v>12</v>
      </c>
      <c r="W1333" t="s">
        <v>43</v>
      </c>
      <c r="X1333" t="s">
        <v>41</v>
      </c>
      <c r="Y1333">
        <v>0</v>
      </c>
      <c r="Z1333">
        <v>29</v>
      </c>
      <c r="AA1333">
        <v>3</v>
      </c>
      <c r="AB1333" t="s">
        <v>54</v>
      </c>
      <c r="AC1333">
        <v>22</v>
      </c>
      <c r="AD1333" t="str" cm="1">
        <f t="array" ref="AD1333">_xlfn.IFS(AC1333&lt;=5,"0-5",AC1333&lt;=10,"5-10",AC1333&lt;=40,"10-40")</f>
        <v>10-40</v>
      </c>
      <c r="AE1333">
        <v>10</v>
      </c>
      <c r="AF1333">
        <v>12</v>
      </c>
      <c r="AG1333">
        <v>9</v>
      </c>
      <c r="AH1333">
        <v>1332</v>
      </c>
    </row>
    <row r="1334" spans="1:34" x14ac:dyDescent="0.3">
      <c r="A1334">
        <v>29</v>
      </c>
      <c r="B1334" t="str" cm="1">
        <f t="array" ref="B1334">_xlfn.IFS(A1334&lt;=25,"18-25",A1334&lt;=35,"26-35",A1334&lt;=45,"36-45",A1334&lt;=55,"46-55",A1334&gt;55,"55+")</f>
        <v>26-35</v>
      </c>
      <c r="C1334">
        <v>1</v>
      </c>
      <c r="D1334" t="s">
        <v>47</v>
      </c>
      <c r="E1334">
        <v>459</v>
      </c>
      <c r="F1334" t="s">
        <v>48</v>
      </c>
      <c r="G1334">
        <v>24</v>
      </c>
      <c r="H1334" t="s">
        <v>34</v>
      </c>
      <c r="I1334" t="s">
        <v>35</v>
      </c>
      <c r="J1334" t="s">
        <v>41</v>
      </c>
      <c r="K1334" t="s">
        <v>50</v>
      </c>
      <c r="L1334">
        <v>73</v>
      </c>
      <c r="M1334" t="s">
        <v>36</v>
      </c>
      <c r="N1334" t="s">
        <v>56</v>
      </c>
      <c r="O1334" t="s">
        <v>51</v>
      </c>
      <c r="P1334" t="s">
        <v>41</v>
      </c>
      <c r="Q1334" t="s">
        <v>42</v>
      </c>
      <c r="R1334">
        <v>2439</v>
      </c>
      <c r="S1334">
        <v>14753</v>
      </c>
      <c r="T1334">
        <v>1</v>
      </c>
      <c r="U1334" t="s">
        <v>31</v>
      </c>
      <c r="V1334">
        <v>24</v>
      </c>
      <c r="W1334" t="s">
        <v>53</v>
      </c>
      <c r="X1334" t="s">
        <v>36</v>
      </c>
      <c r="Y1334">
        <v>0</v>
      </c>
      <c r="Z1334">
        <v>1</v>
      </c>
      <c r="AA1334">
        <v>3</v>
      </c>
      <c r="AB1334" t="s">
        <v>60</v>
      </c>
      <c r="AC1334">
        <v>1</v>
      </c>
      <c r="AD1334" t="str" cm="1">
        <f t="array" ref="AD1334">_xlfn.IFS(AC1334&lt;=5,"0-5",AC1334&lt;=10,"5-10",AC1334&lt;=40,"10-40")</f>
        <v>0-5</v>
      </c>
      <c r="AE1334">
        <v>0</v>
      </c>
      <c r="AF1334">
        <v>1</v>
      </c>
      <c r="AG1334">
        <v>0</v>
      </c>
      <c r="AH1334">
        <v>1333</v>
      </c>
    </row>
    <row r="1335" spans="1:34" x14ac:dyDescent="0.3">
      <c r="A1335">
        <v>46</v>
      </c>
      <c r="B1335" t="str" cm="1">
        <f t="array" ref="B1335">_xlfn.IFS(A1335&lt;=25,"18-25",A1335&lt;=35,"26-35",A1335&lt;=45,"36-45",A1335&lt;=55,"46-55",A1335&gt;55,"55+")</f>
        <v>46-55</v>
      </c>
      <c r="C1335">
        <v>1</v>
      </c>
      <c r="D1335" t="s">
        <v>32</v>
      </c>
      <c r="E1335">
        <v>1254</v>
      </c>
      <c r="F1335" t="s">
        <v>33</v>
      </c>
      <c r="G1335">
        <v>10</v>
      </c>
      <c r="H1335" t="s">
        <v>61</v>
      </c>
      <c r="I1335" t="s">
        <v>35</v>
      </c>
      <c r="J1335" t="s">
        <v>38</v>
      </c>
      <c r="K1335" t="s">
        <v>37</v>
      </c>
      <c r="L1335">
        <v>64</v>
      </c>
      <c r="M1335" t="s">
        <v>38</v>
      </c>
      <c r="N1335" t="s">
        <v>63</v>
      </c>
      <c r="O1335" t="s">
        <v>40</v>
      </c>
      <c r="P1335" t="s">
        <v>36</v>
      </c>
      <c r="Q1335" t="s">
        <v>52</v>
      </c>
      <c r="R1335">
        <v>7314</v>
      </c>
      <c r="S1335">
        <v>14011</v>
      </c>
      <c r="T1335">
        <v>5</v>
      </c>
      <c r="U1335" t="s">
        <v>46</v>
      </c>
      <c r="V1335">
        <v>21</v>
      </c>
      <c r="W1335" t="s">
        <v>53</v>
      </c>
      <c r="X1335" t="s">
        <v>38</v>
      </c>
      <c r="Y1335">
        <v>3</v>
      </c>
      <c r="Z1335">
        <v>14</v>
      </c>
      <c r="AA1335">
        <v>2</v>
      </c>
      <c r="AB1335" t="s">
        <v>54</v>
      </c>
      <c r="AC1335">
        <v>8</v>
      </c>
      <c r="AD1335" t="str" cm="1">
        <f t="array" ref="AD1335">_xlfn.IFS(AC1335&lt;=5,"0-5",AC1335&lt;=10,"5-10",AC1335&lt;=40,"10-40")</f>
        <v>5-10</v>
      </c>
      <c r="AE1335">
        <v>7</v>
      </c>
      <c r="AF1335">
        <v>0</v>
      </c>
      <c r="AG1335">
        <v>7</v>
      </c>
      <c r="AH1335">
        <v>1334</v>
      </c>
    </row>
    <row r="1336" spans="1:34" x14ac:dyDescent="0.3">
      <c r="A1336">
        <v>27</v>
      </c>
      <c r="B1336" t="str" cm="1">
        <f t="array" ref="B1336">_xlfn.IFS(A1336&lt;=25,"18-25",A1336&lt;=35,"26-35",A1336&lt;=45,"36-45",A1336&lt;=55,"46-55",A1336&gt;55,"55+")</f>
        <v>26-35</v>
      </c>
      <c r="C1336">
        <v>0</v>
      </c>
      <c r="D1336" t="s">
        <v>47</v>
      </c>
      <c r="E1336">
        <v>1131</v>
      </c>
      <c r="F1336" t="s">
        <v>48</v>
      </c>
      <c r="G1336">
        <v>15</v>
      </c>
      <c r="H1336" t="s">
        <v>61</v>
      </c>
      <c r="I1336" t="s">
        <v>35</v>
      </c>
      <c r="J1336" t="s">
        <v>41</v>
      </c>
      <c r="K1336" t="s">
        <v>37</v>
      </c>
      <c r="L1336">
        <v>77</v>
      </c>
      <c r="M1336" t="s">
        <v>36</v>
      </c>
      <c r="N1336" t="s">
        <v>56</v>
      </c>
      <c r="O1336" t="s">
        <v>51</v>
      </c>
      <c r="P1336" t="s">
        <v>44</v>
      </c>
      <c r="Q1336" t="s">
        <v>52</v>
      </c>
      <c r="R1336">
        <v>4774</v>
      </c>
      <c r="S1336">
        <v>23844</v>
      </c>
      <c r="T1336">
        <v>0</v>
      </c>
      <c r="U1336" t="s">
        <v>46</v>
      </c>
      <c r="V1336">
        <v>19</v>
      </c>
      <c r="W1336" t="s">
        <v>43</v>
      </c>
      <c r="X1336" t="s">
        <v>41</v>
      </c>
      <c r="Y1336">
        <v>1</v>
      </c>
      <c r="Z1336">
        <v>8</v>
      </c>
      <c r="AA1336">
        <v>2</v>
      </c>
      <c r="AB1336" t="s">
        <v>60</v>
      </c>
      <c r="AC1336">
        <v>7</v>
      </c>
      <c r="AD1336" t="str" cm="1">
        <f t="array" ref="AD1336">_xlfn.IFS(AC1336&lt;=5,"0-5",AC1336&lt;=10,"5-10",AC1336&lt;=40,"10-40")</f>
        <v>5-10</v>
      </c>
      <c r="AE1336">
        <v>6</v>
      </c>
      <c r="AF1336">
        <v>7</v>
      </c>
      <c r="AG1336">
        <v>3</v>
      </c>
      <c r="AH1336">
        <v>1335</v>
      </c>
    </row>
    <row r="1337" spans="1:34" x14ac:dyDescent="0.3">
      <c r="A1337">
        <v>39</v>
      </c>
      <c r="B1337" t="str" cm="1">
        <f t="array" ref="B1337">_xlfn.IFS(A1337&lt;=25,"18-25",A1337&lt;=35,"26-35",A1337&lt;=45,"36-45",A1337&lt;=55,"46-55",A1337&gt;55,"55+")</f>
        <v>36-45</v>
      </c>
      <c r="C1337">
        <v>0</v>
      </c>
      <c r="D1337" t="s">
        <v>32</v>
      </c>
      <c r="E1337">
        <v>835</v>
      </c>
      <c r="F1337" t="s">
        <v>48</v>
      </c>
      <c r="G1337">
        <v>19</v>
      </c>
      <c r="H1337" t="s">
        <v>58</v>
      </c>
      <c r="I1337" t="s">
        <v>55</v>
      </c>
      <c r="J1337" t="s">
        <v>41</v>
      </c>
      <c r="K1337" t="s">
        <v>50</v>
      </c>
      <c r="L1337">
        <v>41</v>
      </c>
      <c r="M1337" t="s">
        <v>38</v>
      </c>
      <c r="N1337" t="s">
        <v>39</v>
      </c>
      <c r="O1337" t="s">
        <v>51</v>
      </c>
      <c r="P1337" t="s">
        <v>41</v>
      </c>
      <c r="Q1337" t="s">
        <v>62</v>
      </c>
      <c r="R1337">
        <v>3902</v>
      </c>
      <c r="S1337">
        <v>5141</v>
      </c>
      <c r="T1337">
        <v>8</v>
      </c>
      <c r="U1337" t="s">
        <v>46</v>
      </c>
      <c r="V1337">
        <v>14</v>
      </c>
      <c r="W1337" t="s">
        <v>43</v>
      </c>
      <c r="X1337" t="s">
        <v>36</v>
      </c>
      <c r="Y1337">
        <v>3</v>
      </c>
      <c r="Z1337">
        <v>7</v>
      </c>
      <c r="AA1337">
        <v>2</v>
      </c>
      <c r="AB1337" t="s">
        <v>54</v>
      </c>
      <c r="AC1337">
        <v>2</v>
      </c>
      <c r="AD1337" t="str" cm="1">
        <f t="array" ref="AD1337">_xlfn.IFS(AC1337&lt;=5,"0-5",AC1337&lt;=10,"5-10",AC1337&lt;=40,"10-40")</f>
        <v>0-5</v>
      </c>
      <c r="AE1337">
        <v>2</v>
      </c>
      <c r="AF1337">
        <v>2</v>
      </c>
      <c r="AG1337">
        <v>2</v>
      </c>
      <c r="AH1337">
        <v>1336</v>
      </c>
    </row>
    <row r="1338" spans="1:34" x14ac:dyDescent="0.3">
      <c r="A1338">
        <v>55</v>
      </c>
      <c r="B1338" t="str" cm="1">
        <f t="array" ref="B1338">_xlfn.IFS(A1338&lt;=25,"18-25",A1338&lt;=35,"26-35",A1338&lt;=45,"36-45",A1338&lt;=55,"46-55",A1338&gt;55,"55+")</f>
        <v>46-55</v>
      </c>
      <c r="C1338">
        <v>0</v>
      </c>
      <c r="D1338" t="s">
        <v>32</v>
      </c>
      <c r="E1338">
        <v>836</v>
      </c>
      <c r="F1338" t="s">
        <v>48</v>
      </c>
      <c r="G1338">
        <v>2</v>
      </c>
      <c r="H1338" t="s">
        <v>58</v>
      </c>
      <c r="I1338" t="s">
        <v>74</v>
      </c>
      <c r="J1338" t="s">
        <v>36</v>
      </c>
      <c r="K1338" t="s">
        <v>50</v>
      </c>
      <c r="L1338">
        <v>98</v>
      </c>
      <c r="M1338" t="s">
        <v>36</v>
      </c>
      <c r="N1338" t="s">
        <v>56</v>
      </c>
      <c r="O1338" t="s">
        <v>51</v>
      </c>
      <c r="P1338" t="s">
        <v>41</v>
      </c>
      <c r="Q1338" t="s">
        <v>52</v>
      </c>
      <c r="R1338">
        <v>2662</v>
      </c>
      <c r="S1338">
        <v>7975</v>
      </c>
      <c r="T1338">
        <v>8</v>
      </c>
      <c r="U1338" t="s">
        <v>46</v>
      </c>
      <c r="V1338">
        <v>20</v>
      </c>
      <c r="W1338" t="s">
        <v>53</v>
      </c>
      <c r="X1338" t="s">
        <v>36</v>
      </c>
      <c r="Y1338">
        <v>1</v>
      </c>
      <c r="Z1338">
        <v>19</v>
      </c>
      <c r="AA1338">
        <v>2</v>
      </c>
      <c r="AB1338" t="s">
        <v>73</v>
      </c>
      <c r="AC1338">
        <v>5</v>
      </c>
      <c r="AD1338" t="str" cm="1">
        <f t="array" ref="AD1338">_xlfn.IFS(AC1338&lt;=5,"0-5",AC1338&lt;=10,"5-10",AC1338&lt;=40,"10-40")</f>
        <v>0-5</v>
      </c>
      <c r="AE1338">
        <v>2</v>
      </c>
      <c r="AF1338">
        <v>0</v>
      </c>
      <c r="AG1338">
        <v>4</v>
      </c>
      <c r="AH1338">
        <v>1337</v>
      </c>
    </row>
    <row r="1339" spans="1:34" x14ac:dyDescent="0.3">
      <c r="A1339">
        <v>28</v>
      </c>
      <c r="B1339" t="str" cm="1">
        <f t="array" ref="B1339">_xlfn.IFS(A1339&lt;=25,"18-25",A1339&lt;=35,"26-35",A1339&lt;=45,"36-45",A1339&lt;=55,"46-55",A1339&gt;55,"55+")</f>
        <v>26-35</v>
      </c>
      <c r="C1339">
        <v>0</v>
      </c>
      <c r="D1339" t="s">
        <v>32</v>
      </c>
      <c r="E1339">
        <v>1172</v>
      </c>
      <c r="F1339" t="s">
        <v>33</v>
      </c>
      <c r="G1339">
        <v>3</v>
      </c>
      <c r="H1339" t="s">
        <v>61</v>
      </c>
      <c r="I1339" t="s">
        <v>59</v>
      </c>
      <c r="J1339" t="s">
        <v>36</v>
      </c>
      <c r="K1339" t="s">
        <v>37</v>
      </c>
      <c r="L1339">
        <v>78</v>
      </c>
      <c r="M1339" t="s">
        <v>38</v>
      </c>
      <c r="N1339" t="s">
        <v>56</v>
      </c>
      <c r="O1339" t="s">
        <v>69</v>
      </c>
      <c r="P1339" t="s">
        <v>36</v>
      </c>
      <c r="Q1339" t="s">
        <v>52</v>
      </c>
      <c r="R1339">
        <v>2856</v>
      </c>
      <c r="S1339">
        <v>3692</v>
      </c>
      <c r="T1339">
        <v>1</v>
      </c>
      <c r="U1339" t="s">
        <v>46</v>
      </c>
      <c r="V1339">
        <v>19</v>
      </c>
      <c r="W1339" t="s">
        <v>43</v>
      </c>
      <c r="X1339" t="s">
        <v>41</v>
      </c>
      <c r="Y1339">
        <v>1</v>
      </c>
      <c r="Z1339">
        <v>1</v>
      </c>
      <c r="AA1339">
        <v>3</v>
      </c>
      <c r="AB1339" t="s">
        <v>54</v>
      </c>
      <c r="AC1339">
        <v>1</v>
      </c>
      <c r="AD1339" t="str" cm="1">
        <f t="array" ref="AD1339">_xlfn.IFS(AC1339&lt;=5,"0-5",AC1339&lt;=10,"5-10",AC1339&lt;=40,"10-40")</f>
        <v>0-5</v>
      </c>
      <c r="AE1339">
        <v>0</v>
      </c>
      <c r="AF1339">
        <v>0</v>
      </c>
      <c r="AG1339">
        <v>0</v>
      </c>
      <c r="AH1339">
        <v>1338</v>
      </c>
    </row>
    <row r="1340" spans="1:34" x14ac:dyDescent="0.3">
      <c r="A1340">
        <v>30</v>
      </c>
      <c r="B1340" t="str" cm="1">
        <f t="array" ref="B1340">_xlfn.IFS(A1340&lt;=25,"18-25",A1340&lt;=35,"26-35",A1340&lt;=45,"36-45",A1340&lt;=55,"46-55",A1340&gt;55,"55+")</f>
        <v>26-35</v>
      </c>
      <c r="C1340">
        <v>1</v>
      </c>
      <c r="D1340" t="s">
        <v>32</v>
      </c>
      <c r="E1340">
        <v>945</v>
      </c>
      <c r="F1340" t="s">
        <v>33</v>
      </c>
      <c r="G1340">
        <v>9</v>
      </c>
      <c r="H1340" t="s">
        <v>61</v>
      </c>
      <c r="I1340" t="s">
        <v>59</v>
      </c>
      <c r="J1340" t="s">
        <v>36</v>
      </c>
      <c r="K1340" t="s">
        <v>50</v>
      </c>
      <c r="L1340">
        <v>89</v>
      </c>
      <c r="M1340" t="s">
        <v>38</v>
      </c>
      <c r="N1340" t="s">
        <v>56</v>
      </c>
      <c r="O1340" t="s">
        <v>69</v>
      </c>
      <c r="P1340" t="s">
        <v>41</v>
      </c>
      <c r="Q1340" t="s">
        <v>42</v>
      </c>
      <c r="R1340">
        <v>1081</v>
      </c>
      <c r="S1340">
        <v>16019</v>
      </c>
      <c r="T1340">
        <v>1</v>
      </c>
      <c r="U1340" t="s">
        <v>46</v>
      </c>
      <c r="V1340">
        <v>13</v>
      </c>
      <c r="W1340" t="s">
        <v>43</v>
      </c>
      <c r="X1340" t="s">
        <v>38</v>
      </c>
      <c r="Y1340">
        <v>0</v>
      </c>
      <c r="Z1340">
        <v>1</v>
      </c>
      <c r="AA1340">
        <v>3</v>
      </c>
      <c r="AB1340" t="s">
        <v>60</v>
      </c>
      <c r="AC1340">
        <v>1</v>
      </c>
      <c r="AD1340" t="str" cm="1">
        <f t="array" ref="AD1340">_xlfn.IFS(AC1340&lt;=5,"0-5",AC1340&lt;=10,"5-10",AC1340&lt;=40,"10-40")</f>
        <v>0-5</v>
      </c>
      <c r="AE1340">
        <v>0</v>
      </c>
      <c r="AF1340">
        <v>0</v>
      </c>
      <c r="AG1340">
        <v>0</v>
      </c>
      <c r="AH1340">
        <v>1339</v>
      </c>
    </row>
    <row r="1341" spans="1:34" x14ac:dyDescent="0.3">
      <c r="A1341">
        <v>22</v>
      </c>
      <c r="B1341" t="str" cm="1">
        <f t="array" ref="B1341">_xlfn.IFS(A1341&lt;=25,"18-25",A1341&lt;=35,"26-35",A1341&lt;=45,"36-45",A1341&lt;=55,"46-55",A1341&gt;55,"55+")</f>
        <v>18-25</v>
      </c>
      <c r="C1341">
        <v>1</v>
      </c>
      <c r="D1341" t="s">
        <v>32</v>
      </c>
      <c r="E1341">
        <v>391</v>
      </c>
      <c r="F1341" t="s">
        <v>48</v>
      </c>
      <c r="G1341">
        <v>7</v>
      </c>
      <c r="H1341" t="s">
        <v>49</v>
      </c>
      <c r="I1341" t="s">
        <v>35</v>
      </c>
      <c r="J1341" t="s">
        <v>41</v>
      </c>
      <c r="K1341" t="s">
        <v>50</v>
      </c>
      <c r="L1341">
        <v>75</v>
      </c>
      <c r="M1341" t="s">
        <v>38</v>
      </c>
      <c r="N1341" t="s">
        <v>56</v>
      </c>
      <c r="O1341" t="s">
        <v>51</v>
      </c>
      <c r="P1341" t="s">
        <v>36</v>
      </c>
      <c r="Q1341" t="s">
        <v>42</v>
      </c>
      <c r="R1341">
        <v>2472</v>
      </c>
      <c r="S1341">
        <v>26092</v>
      </c>
      <c r="T1341">
        <v>1</v>
      </c>
      <c r="U1341" t="s">
        <v>31</v>
      </c>
      <c r="V1341">
        <v>23</v>
      </c>
      <c r="W1341" t="s">
        <v>53</v>
      </c>
      <c r="X1341" t="s">
        <v>44</v>
      </c>
      <c r="Y1341">
        <v>0</v>
      </c>
      <c r="Z1341">
        <v>1</v>
      </c>
      <c r="AA1341">
        <v>2</v>
      </c>
      <c r="AB1341" t="s">
        <v>54</v>
      </c>
      <c r="AC1341">
        <v>1</v>
      </c>
      <c r="AD1341" t="str" cm="1">
        <f t="array" ref="AD1341">_xlfn.IFS(AC1341&lt;=5,"0-5",AC1341&lt;=10,"5-10",AC1341&lt;=40,"10-40")</f>
        <v>0-5</v>
      </c>
      <c r="AE1341">
        <v>0</v>
      </c>
      <c r="AF1341">
        <v>0</v>
      </c>
      <c r="AG1341">
        <v>0</v>
      </c>
      <c r="AH1341">
        <v>1340</v>
      </c>
    </row>
    <row r="1342" spans="1:34" x14ac:dyDescent="0.3">
      <c r="A1342">
        <v>36</v>
      </c>
      <c r="B1342" t="str" cm="1">
        <f t="array" ref="B1342">_xlfn.IFS(A1342&lt;=25,"18-25",A1342&lt;=35,"26-35",A1342&lt;=45,"36-45",A1342&lt;=55,"46-55",A1342&gt;55,"55+")</f>
        <v>36-45</v>
      </c>
      <c r="C1342">
        <v>0</v>
      </c>
      <c r="D1342" t="s">
        <v>32</v>
      </c>
      <c r="E1342">
        <v>1266</v>
      </c>
      <c r="F1342" t="s">
        <v>33</v>
      </c>
      <c r="G1342">
        <v>10</v>
      </c>
      <c r="H1342" t="s">
        <v>58</v>
      </c>
      <c r="I1342" t="s">
        <v>74</v>
      </c>
      <c r="J1342" t="s">
        <v>36</v>
      </c>
      <c r="K1342" t="s">
        <v>37</v>
      </c>
      <c r="L1342">
        <v>63</v>
      </c>
      <c r="M1342" t="s">
        <v>36</v>
      </c>
      <c r="N1342" t="s">
        <v>39</v>
      </c>
      <c r="O1342" t="s">
        <v>40</v>
      </c>
      <c r="P1342" t="s">
        <v>38</v>
      </c>
      <c r="Q1342" t="s">
        <v>52</v>
      </c>
      <c r="R1342">
        <v>5673</v>
      </c>
      <c r="S1342">
        <v>6060</v>
      </c>
      <c r="T1342">
        <v>1</v>
      </c>
      <c r="U1342" t="s">
        <v>31</v>
      </c>
      <c r="V1342">
        <v>13</v>
      </c>
      <c r="W1342" t="s">
        <v>43</v>
      </c>
      <c r="X1342" t="s">
        <v>44</v>
      </c>
      <c r="Y1342">
        <v>1</v>
      </c>
      <c r="Z1342">
        <v>10</v>
      </c>
      <c r="AA1342">
        <v>4</v>
      </c>
      <c r="AB1342" t="s">
        <v>54</v>
      </c>
      <c r="AC1342">
        <v>10</v>
      </c>
      <c r="AD1342" t="str" cm="1">
        <f t="array" ref="AD1342">_xlfn.IFS(AC1342&lt;=5,"0-5",AC1342&lt;=10,"5-10",AC1342&lt;=40,"10-40")</f>
        <v>5-10</v>
      </c>
      <c r="AE1342">
        <v>9</v>
      </c>
      <c r="AF1342">
        <v>1</v>
      </c>
      <c r="AG1342">
        <v>7</v>
      </c>
      <c r="AH1342">
        <v>1341</v>
      </c>
    </row>
    <row r="1343" spans="1:34" x14ac:dyDescent="0.3">
      <c r="A1343">
        <v>31</v>
      </c>
      <c r="B1343" t="str" cm="1">
        <f t="array" ref="B1343">_xlfn.IFS(A1343&lt;=25,"18-25",A1343&lt;=35,"26-35",A1343&lt;=45,"36-45",A1343&lt;=55,"46-55",A1343&gt;55,"55+")</f>
        <v>26-35</v>
      </c>
      <c r="C1343">
        <v>0</v>
      </c>
      <c r="D1343" t="s">
        <v>32</v>
      </c>
      <c r="E1343">
        <v>311</v>
      </c>
      <c r="F1343" t="s">
        <v>48</v>
      </c>
      <c r="G1343">
        <v>20</v>
      </c>
      <c r="H1343" t="s">
        <v>61</v>
      </c>
      <c r="I1343" t="s">
        <v>35</v>
      </c>
      <c r="J1343" t="s">
        <v>36</v>
      </c>
      <c r="K1343" t="s">
        <v>50</v>
      </c>
      <c r="L1343">
        <v>89</v>
      </c>
      <c r="M1343" t="s">
        <v>38</v>
      </c>
      <c r="N1343" t="s">
        <v>39</v>
      </c>
      <c r="O1343" t="s">
        <v>57</v>
      </c>
      <c r="P1343" t="s">
        <v>38</v>
      </c>
      <c r="Q1343" t="s">
        <v>62</v>
      </c>
      <c r="R1343">
        <v>4197</v>
      </c>
      <c r="S1343">
        <v>18624</v>
      </c>
      <c r="T1343">
        <v>1</v>
      </c>
      <c r="U1343" t="s">
        <v>46</v>
      </c>
      <c r="V1343">
        <v>11</v>
      </c>
      <c r="W1343" t="s">
        <v>43</v>
      </c>
      <c r="X1343" t="s">
        <v>44</v>
      </c>
      <c r="Y1343">
        <v>1</v>
      </c>
      <c r="Z1343">
        <v>10</v>
      </c>
      <c r="AA1343">
        <v>2</v>
      </c>
      <c r="AB1343" t="s">
        <v>54</v>
      </c>
      <c r="AC1343">
        <v>10</v>
      </c>
      <c r="AD1343" t="str" cm="1">
        <f t="array" ref="AD1343">_xlfn.IFS(AC1343&lt;=5,"0-5",AC1343&lt;=10,"5-10",AC1343&lt;=40,"10-40")</f>
        <v>5-10</v>
      </c>
      <c r="AE1343">
        <v>8</v>
      </c>
      <c r="AF1343">
        <v>0</v>
      </c>
      <c r="AG1343">
        <v>2</v>
      </c>
      <c r="AH1343">
        <v>1342</v>
      </c>
    </row>
    <row r="1344" spans="1:34" x14ac:dyDescent="0.3">
      <c r="A1344">
        <v>34</v>
      </c>
      <c r="B1344" t="str" cm="1">
        <f t="array" ref="B1344">_xlfn.IFS(A1344&lt;=25,"18-25",A1344&lt;=35,"26-35",A1344&lt;=45,"36-45",A1344&lt;=55,"46-55",A1344&gt;55,"55+")</f>
        <v>26-35</v>
      </c>
      <c r="C1344">
        <v>0</v>
      </c>
      <c r="D1344" t="s">
        <v>32</v>
      </c>
      <c r="E1344">
        <v>1480</v>
      </c>
      <c r="F1344" t="s">
        <v>33</v>
      </c>
      <c r="G1344">
        <v>4</v>
      </c>
      <c r="H1344" t="s">
        <v>61</v>
      </c>
      <c r="I1344" t="s">
        <v>35</v>
      </c>
      <c r="J1344" t="s">
        <v>38</v>
      </c>
      <c r="K1344" t="s">
        <v>50</v>
      </c>
      <c r="L1344">
        <v>64</v>
      </c>
      <c r="M1344" t="s">
        <v>38</v>
      </c>
      <c r="N1344" t="s">
        <v>63</v>
      </c>
      <c r="O1344" t="s">
        <v>40</v>
      </c>
      <c r="P1344" t="s">
        <v>41</v>
      </c>
      <c r="Q1344" t="s">
        <v>52</v>
      </c>
      <c r="R1344">
        <v>9713</v>
      </c>
      <c r="S1344">
        <v>24444</v>
      </c>
      <c r="T1344">
        <v>2</v>
      </c>
      <c r="U1344" t="s">
        <v>31</v>
      </c>
      <c r="V1344">
        <v>13</v>
      </c>
      <c r="W1344" t="s">
        <v>43</v>
      </c>
      <c r="X1344" t="s">
        <v>41</v>
      </c>
      <c r="Y1344">
        <v>3</v>
      </c>
      <c r="Z1344">
        <v>9</v>
      </c>
      <c r="AA1344">
        <v>3</v>
      </c>
      <c r="AB1344" t="s">
        <v>54</v>
      </c>
      <c r="AC1344">
        <v>5</v>
      </c>
      <c r="AD1344" t="str" cm="1">
        <f t="array" ref="AD1344">_xlfn.IFS(AC1344&lt;=5,"0-5",AC1344&lt;=10,"5-10",AC1344&lt;=40,"10-40")</f>
        <v>0-5</v>
      </c>
      <c r="AE1344">
        <v>3</v>
      </c>
      <c r="AF1344">
        <v>1</v>
      </c>
      <c r="AG1344">
        <v>0</v>
      </c>
      <c r="AH1344">
        <v>1343</v>
      </c>
    </row>
    <row r="1345" spans="1:34" x14ac:dyDescent="0.3">
      <c r="A1345">
        <v>29</v>
      </c>
      <c r="B1345" t="str" cm="1">
        <f t="array" ref="B1345">_xlfn.IFS(A1345&lt;=25,"18-25",A1345&lt;=35,"26-35",A1345&lt;=45,"36-45",A1345&lt;=55,"46-55",A1345&gt;55,"55+")</f>
        <v>26-35</v>
      </c>
      <c r="C1345">
        <v>0</v>
      </c>
      <c r="D1345" t="s">
        <v>32</v>
      </c>
      <c r="E1345">
        <v>592</v>
      </c>
      <c r="F1345" t="s">
        <v>48</v>
      </c>
      <c r="G1345">
        <v>7</v>
      </c>
      <c r="H1345" t="s">
        <v>61</v>
      </c>
      <c r="I1345" t="s">
        <v>35</v>
      </c>
      <c r="J1345" t="s">
        <v>41</v>
      </c>
      <c r="K1345" t="s">
        <v>50</v>
      </c>
      <c r="L1345">
        <v>59</v>
      </c>
      <c r="M1345" t="s">
        <v>38</v>
      </c>
      <c r="N1345" t="s">
        <v>56</v>
      </c>
      <c r="O1345" t="s">
        <v>57</v>
      </c>
      <c r="P1345" t="s">
        <v>44</v>
      </c>
      <c r="Q1345" t="s">
        <v>42</v>
      </c>
      <c r="R1345">
        <v>2062</v>
      </c>
      <c r="S1345">
        <v>19384</v>
      </c>
      <c r="T1345">
        <v>3</v>
      </c>
      <c r="U1345" t="s">
        <v>46</v>
      </c>
      <c r="V1345">
        <v>14</v>
      </c>
      <c r="W1345" t="s">
        <v>43</v>
      </c>
      <c r="X1345" t="s">
        <v>36</v>
      </c>
      <c r="Y1345">
        <v>0</v>
      </c>
      <c r="Z1345">
        <v>11</v>
      </c>
      <c r="AA1345">
        <v>2</v>
      </c>
      <c r="AB1345" t="s">
        <v>54</v>
      </c>
      <c r="AC1345">
        <v>3</v>
      </c>
      <c r="AD1345" t="str" cm="1">
        <f t="array" ref="AD1345">_xlfn.IFS(AC1345&lt;=5,"0-5",AC1345&lt;=10,"5-10",AC1345&lt;=40,"10-40")</f>
        <v>0-5</v>
      </c>
      <c r="AE1345">
        <v>2</v>
      </c>
      <c r="AF1345">
        <v>1</v>
      </c>
      <c r="AG1345">
        <v>2</v>
      </c>
      <c r="AH1345">
        <v>1344</v>
      </c>
    </row>
    <row r="1346" spans="1:34" x14ac:dyDescent="0.3">
      <c r="A1346">
        <v>37</v>
      </c>
      <c r="B1346" t="str" cm="1">
        <f t="array" ref="B1346">_xlfn.IFS(A1346&lt;=25,"18-25",A1346&lt;=35,"26-35",A1346&lt;=45,"36-45",A1346&lt;=55,"46-55",A1346&gt;55,"55+")</f>
        <v>36-45</v>
      </c>
      <c r="C1346">
        <v>0</v>
      </c>
      <c r="D1346" t="s">
        <v>32</v>
      </c>
      <c r="E1346">
        <v>783</v>
      </c>
      <c r="F1346" t="s">
        <v>48</v>
      </c>
      <c r="G1346">
        <v>7</v>
      </c>
      <c r="H1346" t="s">
        <v>58</v>
      </c>
      <c r="I1346" t="s">
        <v>59</v>
      </c>
      <c r="J1346" t="s">
        <v>41</v>
      </c>
      <c r="K1346" t="s">
        <v>50</v>
      </c>
      <c r="L1346">
        <v>78</v>
      </c>
      <c r="M1346" t="s">
        <v>38</v>
      </c>
      <c r="N1346" t="s">
        <v>39</v>
      </c>
      <c r="O1346" t="s">
        <v>51</v>
      </c>
      <c r="P1346" t="s">
        <v>44</v>
      </c>
      <c r="Q1346" t="s">
        <v>52</v>
      </c>
      <c r="R1346">
        <v>4284</v>
      </c>
      <c r="S1346">
        <v>13588</v>
      </c>
      <c r="T1346">
        <v>5</v>
      </c>
      <c r="U1346" t="s">
        <v>31</v>
      </c>
      <c r="V1346">
        <v>22</v>
      </c>
      <c r="W1346" t="s">
        <v>53</v>
      </c>
      <c r="X1346" t="s">
        <v>38</v>
      </c>
      <c r="Y1346">
        <v>1</v>
      </c>
      <c r="Z1346">
        <v>16</v>
      </c>
      <c r="AA1346">
        <v>2</v>
      </c>
      <c r="AB1346" t="s">
        <v>54</v>
      </c>
      <c r="AC1346">
        <v>5</v>
      </c>
      <c r="AD1346" t="str" cm="1">
        <f t="array" ref="AD1346">_xlfn.IFS(AC1346&lt;=5,"0-5",AC1346&lt;=10,"5-10",AC1346&lt;=40,"10-40")</f>
        <v>0-5</v>
      </c>
      <c r="AE1346">
        <v>3</v>
      </c>
      <c r="AF1346">
        <v>0</v>
      </c>
      <c r="AG1346">
        <v>4</v>
      </c>
      <c r="AH1346">
        <v>1345</v>
      </c>
    </row>
    <row r="1347" spans="1:34" x14ac:dyDescent="0.3">
      <c r="A1347">
        <v>35</v>
      </c>
      <c r="B1347" t="str" cm="1">
        <f t="array" ref="B1347">_xlfn.IFS(A1347&lt;=25,"18-25",A1347&lt;=35,"26-35",A1347&lt;=45,"36-45",A1347&lt;=55,"46-55",A1347&gt;55,"55+")</f>
        <v>26-35</v>
      </c>
      <c r="C1347">
        <v>0</v>
      </c>
      <c r="D1347" t="s">
        <v>32</v>
      </c>
      <c r="E1347">
        <v>219</v>
      </c>
      <c r="F1347" t="s">
        <v>48</v>
      </c>
      <c r="G1347">
        <v>16</v>
      </c>
      <c r="H1347" t="s">
        <v>34</v>
      </c>
      <c r="I1347" t="s">
        <v>55</v>
      </c>
      <c r="J1347" t="s">
        <v>41</v>
      </c>
      <c r="K1347" t="s">
        <v>37</v>
      </c>
      <c r="L1347">
        <v>44</v>
      </c>
      <c r="M1347" t="s">
        <v>36</v>
      </c>
      <c r="N1347" t="s">
        <v>39</v>
      </c>
      <c r="O1347" t="s">
        <v>64</v>
      </c>
      <c r="P1347" t="s">
        <v>36</v>
      </c>
      <c r="Q1347" t="s">
        <v>52</v>
      </c>
      <c r="R1347">
        <v>4788</v>
      </c>
      <c r="S1347">
        <v>25388</v>
      </c>
      <c r="T1347">
        <v>0</v>
      </c>
      <c r="U1347" t="s">
        <v>31</v>
      </c>
      <c r="V1347">
        <v>11</v>
      </c>
      <c r="W1347" t="s">
        <v>43</v>
      </c>
      <c r="X1347" t="s">
        <v>41</v>
      </c>
      <c r="Y1347">
        <v>0</v>
      </c>
      <c r="Z1347">
        <v>4</v>
      </c>
      <c r="AA1347">
        <v>2</v>
      </c>
      <c r="AB1347" t="s">
        <v>54</v>
      </c>
      <c r="AC1347">
        <v>3</v>
      </c>
      <c r="AD1347" t="str" cm="1">
        <f t="array" ref="AD1347">_xlfn.IFS(AC1347&lt;=5,"0-5",AC1347&lt;=10,"5-10",AC1347&lt;=40,"10-40")</f>
        <v>0-5</v>
      </c>
      <c r="AE1347">
        <v>2</v>
      </c>
      <c r="AF1347">
        <v>0</v>
      </c>
      <c r="AG1347">
        <v>2</v>
      </c>
      <c r="AH1347">
        <v>1346</v>
      </c>
    </row>
    <row r="1348" spans="1:34" x14ac:dyDescent="0.3">
      <c r="A1348">
        <v>45</v>
      </c>
      <c r="B1348" t="str" cm="1">
        <f t="array" ref="B1348">_xlfn.IFS(A1348&lt;=25,"18-25",A1348&lt;=35,"26-35",A1348&lt;=45,"36-45",A1348&lt;=55,"46-55",A1348&gt;55,"55+")</f>
        <v>36-45</v>
      </c>
      <c r="C1348">
        <v>0</v>
      </c>
      <c r="D1348" t="s">
        <v>32</v>
      </c>
      <c r="E1348">
        <v>556</v>
      </c>
      <c r="F1348" t="s">
        <v>48</v>
      </c>
      <c r="G1348">
        <v>25</v>
      </c>
      <c r="H1348" t="s">
        <v>34</v>
      </c>
      <c r="I1348" t="s">
        <v>35</v>
      </c>
      <c r="J1348" t="s">
        <v>36</v>
      </c>
      <c r="K1348" t="s">
        <v>37</v>
      </c>
      <c r="L1348">
        <v>93</v>
      </c>
      <c r="M1348" t="s">
        <v>36</v>
      </c>
      <c r="N1348" t="s">
        <v>39</v>
      </c>
      <c r="O1348" t="s">
        <v>64</v>
      </c>
      <c r="P1348" t="s">
        <v>41</v>
      </c>
      <c r="Q1348" t="s">
        <v>52</v>
      </c>
      <c r="R1348">
        <v>5906</v>
      </c>
      <c r="S1348">
        <v>23888</v>
      </c>
      <c r="T1348">
        <v>0</v>
      </c>
      <c r="U1348" t="s">
        <v>46</v>
      </c>
      <c r="V1348">
        <v>13</v>
      </c>
      <c r="W1348" t="s">
        <v>43</v>
      </c>
      <c r="X1348" t="s">
        <v>41</v>
      </c>
      <c r="Y1348">
        <v>2</v>
      </c>
      <c r="Z1348">
        <v>10</v>
      </c>
      <c r="AA1348">
        <v>2</v>
      </c>
      <c r="AB1348" t="s">
        <v>60</v>
      </c>
      <c r="AC1348">
        <v>9</v>
      </c>
      <c r="AD1348" t="str" cm="1">
        <f t="array" ref="AD1348">_xlfn.IFS(AC1348&lt;=5,"0-5",AC1348&lt;=10,"5-10",AC1348&lt;=40,"10-40")</f>
        <v>5-10</v>
      </c>
      <c r="AE1348">
        <v>8</v>
      </c>
      <c r="AF1348">
        <v>3</v>
      </c>
      <c r="AG1348">
        <v>8</v>
      </c>
      <c r="AH1348">
        <v>1347</v>
      </c>
    </row>
    <row r="1349" spans="1:34" x14ac:dyDescent="0.3">
      <c r="A1349">
        <v>36</v>
      </c>
      <c r="B1349" t="str" cm="1">
        <f t="array" ref="B1349">_xlfn.IFS(A1349&lt;=25,"18-25",A1349&lt;=35,"26-35",A1349&lt;=45,"36-45",A1349&lt;=55,"46-55",A1349&gt;55,"55+")</f>
        <v>36-45</v>
      </c>
      <c r="C1349">
        <v>0</v>
      </c>
      <c r="D1349" t="s">
        <v>47</v>
      </c>
      <c r="E1349">
        <v>1213</v>
      </c>
      <c r="F1349" t="s">
        <v>76</v>
      </c>
      <c r="G1349">
        <v>2</v>
      </c>
      <c r="H1349" t="s">
        <v>49</v>
      </c>
      <c r="I1349" t="s">
        <v>76</v>
      </c>
      <c r="J1349" t="s">
        <v>36</v>
      </c>
      <c r="K1349" t="s">
        <v>50</v>
      </c>
      <c r="L1349">
        <v>94</v>
      </c>
      <c r="M1349" t="s">
        <v>36</v>
      </c>
      <c r="N1349" t="s">
        <v>39</v>
      </c>
      <c r="O1349" t="s">
        <v>76</v>
      </c>
      <c r="P1349" t="s">
        <v>41</v>
      </c>
      <c r="Q1349" t="s">
        <v>42</v>
      </c>
      <c r="R1349">
        <v>3886</v>
      </c>
      <c r="S1349">
        <v>4223</v>
      </c>
      <c r="T1349">
        <v>1</v>
      </c>
      <c r="U1349" t="s">
        <v>46</v>
      </c>
      <c r="V1349">
        <v>21</v>
      </c>
      <c r="W1349" t="s">
        <v>53</v>
      </c>
      <c r="X1349" t="s">
        <v>41</v>
      </c>
      <c r="Y1349">
        <v>0</v>
      </c>
      <c r="Z1349">
        <v>10</v>
      </c>
      <c r="AA1349">
        <v>2</v>
      </c>
      <c r="AB1349" t="s">
        <v>60</v>
      </c>
      <c r="AC1349">
        <v>10</v>
      </c>
      <c r="AD1349" t="str" cm="1">
        <f t="array" ref="AD1349">_xlfn.IFS(AC1349&lt;=5,"0-5",AC1349&lt;=10,"5-10",AC1349&lt;=40,"10-40")</f>
        <v>5-10</v>
      </c>
      <c r="AE1349">
        <v>1</v>
      </c>
      <c r="AF1349">
        <v>0</v>
      </c>
      <c r="AG1349">
        <v>8</v>
      </c>
      <c r="AH1349">
        <v>1348</v>
      </c>
    </row>
    <row r="1350" spans="1:34" x14ac:dyDescent="0.3">
      <c r="A1350">
        <v>40</v>
      </c>
      <c r="B1350" t="str" cm="1">
        <f t="array" ref="B1350">_xlfn.IFS(A1350&lt;=25,"18-25",A1350&lt;=35,"26-35",A1350&lt;=45,"36-45",A1350&lt;=55,"46-55",A1350&gt;55,"55+")</f>
        <v>36-45</v>
      </c>
      <c r="C1350">
        <v>0</v>
      </c>
      <c r="D1350" t="s">
        <v>32</v>
      </c>
      <c r="E1350">
        <v>1137</v>
      </c>
      <c r="F1350" t="s">
        <v>48</v>
      </c>
      <c r="G1350">
        <v>1</v>
      </c>
      <c r="H1350" t="s">
        <v>58</v>
      </c>
      <c r="I1350" t="s">
        <v>35</v>
      </c>
      <c r="J1350" t="s">
        <v>44</v>
      </c>
      <c r="K1350" t="s">
        <v>50</v>
      </c>
      <c r="L1350">
        <v>98</v>
      </c>
      <c r="M1350" t="s">
        <v>38</v>
      </c>
      <c r="N1350" t="s">
        <v>67</v>
      </c>
      <c r="O1350" t="s">
        <v>68</v>
      </c>
      <c r="P1350" t="s">
        <v>44</v>
      </c>
      <c r="Q1350" t="s">
        <v>62</v>
      </c>
      <c r="R1350">
        <v>16823</v>
      </c>
      <c r="S1350">
        <v>18991</v>
      </c>
      <c r="T1350">
        <v>2</v>
      </c>
      <c r="U1350" t="s">
        <v>46</v>
      </c>
      <c r="V1350">
        <v>11</v>
      </c>
      <c r="W1350" t="s">
        <v>43</v>
      </c>
      <c r="X1350" t="s">
        <v>44</v>
      </c>
      <c r="Y1350">
        <v>1</v>
      </c>
      <c r="Z1350">
        <v>22</v>
      </c>
      <c r="AA1350">
        <v>3</v>
      </c>
      <c r="AB1350" t="s">
        <v>54</v>
      </c>
      <c r="AC1350">
        <v>19</v>
      </c>
      <c r="AD1350" t="str" cm="1">
        <f t="array" ref="AD1350">_xlfn.IFS(AC1350&lt;=5,"0-5",AC1350&lt;=10,"5-10",AC1350&lt;=40,"10-40")</f>
        <v>10-40</v>
      </c>
      <c r="AE1350">
        <v>7</v>
      </c>
      <c r="AF1350">
        <v>11</v>
      </c>
      <c r="AG1350">
        <v>16</v>
      </c>
      <c r="AH1350">
        <v>1349</v>
      </c>
    </row>
    <row r="1351" spans="1:34" x14ac:dyDescent="0.3">
      <c r="A1351">
        <v>26</v>
      </c>
      <c r="B1351" t="str" cm="1">
        <f t="array" ref="B1351">_xlfn.IFS(A1351&lt;=25,"18-25",A1351&lt;=35,"26-35",A1351&lt;=45,"36-45",A1351&lt;=55,"46-55",A1351&gt;55,"55+")</f>
        <v>26-35</v>
      </c>
      <c r="C1351">
        <v>0</v>
      </c>
      <c r="D1351" t="s">
        <v>32</v>
      </c>
      <c r="E1351">
        <v>482</v>
      </c>
      <c r="F1351" t="s">
        <v>48</v>
      </c>
      <c r="G1351">
        <v>1</v>
      </c>
      <c r="H1351" t="s">
        <v>34</v>
      </c>
      <c r="I1351" t="s">
        <v>35</v>
      </c>
      <c r="J1351" t="s">
        <v>36</v>
      </c>
      <c r="K1351" t="s">
        <v>37</v>
      </c>
      <c r="L1351">
        <v>90</v>
      </c>
      <c r="M1351" t="s">
        <v>36</v>
      </c>
      <c r="N1351" t="s">
        <v>56</v>
      </c>
      <c r="O1351" t="s">
        <v>51</v>
      </c>
      <c r="P1351" t="s">
        <v>38</v>
      </c>
      <c r="Q1351" t="s">
        <v>52</v>
      </c>
      <c r="R1351">
        <v>2933</v>
      </c>
      <c r="S1351">
        <v>14908</v>
      </c>
      <c r="T1351">
        <v>1</v>
      </c>
      <c r="U1351" t="s">
        <v>31</v>
      </c>
      <c r="V1351">
        <v>13</v>
      </c>
      <c r="W1351" t="s">
        <v>43</v>
      </c>
      <c r="X1351" t="s">
        <v>38</v>
      </c>
      <c r="Y1351">
        <v>1</v>
      </c>
      <c r="Z1351">
        <v>1</v>
      </c>
      <c r="AA1351">
        <v>3</v>
      </c>
      <c r="AB1351" t="s">
        <v>60</v>
      </c>
      <c r="AC1351">
        <v>1</v>
      </c>
      <c r="AD1351" t="str" cm="1">
        <f t="array" ref="AD1351">_xlfn.IFS(AC1351&lt;=5,"0-5",AC1351&lt;=10,"5-10",AC1351&lt;=40,"10-40")</f>
        <v>0-5</v>
      </c>
      <c r="AE1351">
        <v>0</v>
      </c>
      <c r="AF1351">
        <v>1</v>
      </c>
      <c r="AG1351">
        <v>0</v>
      </c>
      <c r="AH1351">
        <v>1350</v>
      </c>
    </row>
    <row r="1352" spans="1:34" x14ac:dyDescent="0.3">
      <c r="A1352">
        <v>27</v>
      </c>
      <c r="B1352" t="str" cm="1">
        <f t="array" ref="B1352">_xlfn.IFS(A1352&lt;=25,"18-25",A1352&lt;=35,"26-35",A1352&lt;=45,"36-45",A1352&lt;=55,"46-55",A1352&gt;55,"55+")</f>
        <v>26-35</v>
      </c>
      <c r="C1352">
        <v>0</v>
      </c>
      <c r="D1352" t="s">
        <v>32</v>
      </c>
      <c r="E1352">
        <v>511</v>
      </c>
      <c r="F1352" t="s">
        <v>33</v>
      </c>
      <c r="G1352">
        <v>2</v>
      </c>
      <c r="H1352" t="s">
        <v>34</v>
      </c>
      <c r="I1352" t="s">
        <v>59</v>
      </c>
      <c r="J1352" t="s">
        <v>44</v>
      </c>
      <c r="K1352" t="s">
        <v>37</v>
      </c>
      <c r="L1352">
        <v>89</v>
      </c>
      <c r="M1352" t="s">
        <v>41</v>
      </c>
      <c r="N1352" t="s">
        <v>39</v>
      </c>
      <c r="O1352" t="s">
        <v>40</v>
      </c>
      <c r="P1352" t="s">
        <v>38</v>
      </c>
      <c r="Q1352" t="s">
        <v>42</v>
      </c>
      <c r="R1352">
        <v>6500</v>
      </c>
      <c r="S1352">
        <v>26997</v>
      </c>
      <c r="T1352">
        <v>0</v>
      </c>
      <c r="U1352" t="s">
        <v>46</v>
      </c>
      <c r="V1352">
        <v>14</v>
      </c>
      <c r="W1352" t="s">
        <v>43</v>
      </c>
      <c r="X1352" t="s">
        <v>36</v>
      </c>
      <c r="Y1352">
        <v>0</v>
      </c>
      <c r="Z1352">
        <v>9</v>
      </c>
      <c r="AA1352">
        <v>5</v>
      </c>
      <c r="AB1352" t="s">
        <v>60</v>
      </c>
      <c r="AC1352">
        <v>8</v>
      </c>
      <c r="AD1352" t="str" cm="1">
        <f t="array" ref="AD1352">_xlfn.IFS(AC1352&lt;=5,"0-5",AC1352&lt;=10,"5-10",AC1352&lt;=40,"10-40")</f>
        <v>5-10</v>
      </c>
      <c r="AE1352">
        <v>7</v>
      </c>
      <c r="AF1352">
        <v>0</v>
      </c>
      <c r="AG1352">
        <v>7</v>
      </c>
      <c r="AH1352">
        <v>1351</v>
      </c>
    </row>
    <row r="1353" spans="1:34" x14ac:dyDescent="0.3">
      <c r="A1353">
        <v>48</v>
      </c>
      <c r="B1353" t="str" cm="1">
        <f t="array" ref="B1353">_xlfn.IFS(A1353&lt;=25,"18-25",A1353&lt;=35,"26-35",A1353&lt;=45,"36-45",A1353&lt;=55,"46-55",A1353&gt;55,"55+")</f>
        <v>46-55</v>
      </c>
      <c r="C1353">
        <v>0</v>
      </c>
      <c r="D1353" t="s">
        <v>47</v>
      </c>
      <c r="E1353">
        <v>117</v>
      </c>
      <c r="F1353" t="s">
        <v>48</v>
      </c>
      <c r="G1353">
        <v>22</v>
      </c>
      <c r="H1353" t="s">
        <v>61</v>
      </c>
      <c r="I1353" t="s">
        <v>59</v>
      </c>
      <c r="J1353" t="s">
        <v>41</v>
      </c>
      <c r="K1353" t="s">
        <v>37</v>
      </c>
      <c r="L1353">
        <v>58</v>
      </c>
      <c r="M1353" t="s">
        <v>38</v>
      </c>
      <c r="N1353" t="s">
        <v>67</v>
      </c>
      <c r="O1353" t="s">
        <v>68</v>
      </c>
      <c r="P1353" t="s">
        <v>41</v>
      </c>
      <c r="Q1353" t="s">
        <v>62</v>
      </c>
      <c r="R1353">
        <v>17174</v>
      </c>
      <c r="S1353">
        <v>2437</v>
      </c>
      <c r="T1353">
        <v>3</v>
      </c>
      <c r="U1353" t="s">
        <v>46</v>
      </c>
      <c r="V1353">
        <v>11</v>
      </c>
      <c r="W1353" t="s">
        <v>43</v>
      </c>
      <c r="X1353" t="s">
        <v>36</v>
      </c>
      <c r="Y1353">
        <v>1</v>
      </c>
      <c r="Z1353">
        <v>24</v>
      </c>
      <c r="AA1353">
        <v>3</v>
      </c>
      <c r="AB1353" t="s">
        <v>54</v>
      </c>
      <c r="AC1353">
        <v>22</v>
      </c>
      <c r="AD1353" t="str" cm="1">
        <f t="array" ref="AD1353">_xlfn.IFS(AC1353&lt;=5,"0-5",AC1353&lt;=10,"5-10",AC1353&lt;=40,"10-40")</f>
        <v>10-40</v>
      </c>
      <c r="AE1353">
        <v>17</v>
      </c>
      <c r="AF1353">
        <v>4</v>
      </c>
      <c r="AG1353">
        <v>7</v>
      </c>
      <c r="AH1353">
        <v>1352</v>
      </c>
    </row>
    <row r="1354" spans="1:34" x14ac:dyDescent="0.3">
      <c r="A1354">
        <v>44</v>
      </c>
      <c r="B1354" t="str" cm="1">
        <f t="array" ref="B1354">_xlfn.IFS(A1354&lt;=25,"18-25",A1354&lt;=35,"26-35",A1354&lt;=45,"36-45",A1354&lt;=55,"46-55",A1354&gt;55,"55+")</f>
        <v>36-45</v>
      </c>
      <c r="C1354">
        <v>0</v>
      </c>
      <c r="D1354" t="s">
        <v>32</v>
      </c>
      <c r="E1354">
        <v>170</v>
      </c>
      <c r="F1354" t="s">
        <v>48</v>
      </c>
      <c r="G1354">
        <v>1</v>
      </c>
      <c r="H1354" t="s">
        <v>58</v>
      </c>
      <c r="I1354" t="s">
        <v>35</v>
      </c>
      <c r="J1354" t="s">
        <v>36</v>
      </c>
      <c r="K1354" t="s">
        <v>50</v>
      </c>
      <c r="L1354">
        <v>78</v>
      </c>
      <c r="M1354" t="s">
        <v>41</v>
      </c>
      <c r="N1354" t="s">
        <v>39</v>
      </c>
      <c r="O1354" t="s">
        <v>65</v>
      </c>
      <c r="P1354" t="s">
        <v>44</v>
      </c>
      <c r="Q1354" t="s">
        <v>52</v>
      </c>
      <c r="R1354">
        <v>5033</v>
      </c>
      <c r="S1354">
        <v>9364</v>
      </c>
      <c r="T1354">
        <v>2</v>
      </c>
      <c r="U1354" t="s">
        <v>46</v>
      </c>
      <c r="V1354">
        <v>15</v>
      </c>
      <c r="W1354" t="s">
        <v>43</v>
      </c>
      <c r="X1354" t="s">
        <v>41</v>
      </c>
      <c r="Y1354">
        <v>1</v>
      </c>
      <c r="Z1354">
        <v>10</v>
      </c>
      <c r="AA1354">
        <v>5</v>
      </c>
      <c r="AB1354" t="s">
        <v>54</v>
      </c>
      <c r="AC1354">
        <v>2</v>
      </c>
      <c r="AD1354" t="str" cm="1">
        <f t="array" ref="AD1354">_xlfn.IFS(AC1354&lt;=5,"0-5",AC1354&lt;=10,"5-10",AC1354&lt;=40,"10-40")</f>
        <v>0-5</v>
      </c>
      <c r="AE1354">
        <v>0</v>
      </c>
      <c r="AF1354">
        <v>2</v>
      </c>
      <c r="AG1354">
        <v>2</v>
      </c>
      <c r="AH1354">
        <v>1353</v>
      </c>
    </row>
    <row r="1355" spans="1:34" x14ac:dyDescent="0.3">
      <c r="A1355">
        <v>34</v>
      </c>
      <c r="B1355" t="str" cm="1">
        <f t="array" ref="B1355">_xlfn.IFS(A1355&lt;=25,"18-25",A1355&lt;=35,"26-35",A1355&lt;=45,"36-45",A1355&lt;=55,"46-55",A1355&gt;55,"55+")</f>
        <v>26-35</v>
      </c>
      <c r="C1355">
        <v>1</v>
      </c>
      <c r="D1355" t="s">
        <v>66</v>
      </c>
      <c r="E1355">
        <v>967</v>
      </c>
      <c r="F1355" t="s">
        <v>48</v>
      </c>
      <c r="G1355">
        <v>16</v>
      </c>
      <c r="H1355" t="s">
        <v>58</v>
      </c>
      <c r="I1355" t="s">
        <v>74</v>
      </c>
      <c r="J1355" t="s">
        <v>41</v>
      </c>
      <c r="K1355" t="s">
        <v>50</v>
      </c>
      <c r="L1355">
        <v>85</v>
      </c>
      <c r="M1355" t="s">
        <v>44</v>
      </c>
      <c r="N1355" t="s">
        <v>56</v>
      </c>
      <c r="O1355" t="s">
        <v>51</v>
      </c>
      <c r="P1355" t="s">
        <v>44</v>
      </c>
      <c r="Q1355" t="s">
        <v>52</v>
      </c>
      <c r="R1355">
        <v>2307</v>
      </c>
      <c r="S1355">
        <v>14460</v>
      </c>
      <c r="T1355">
        <v>1</v>
      </c>
      <c r="U1355" t="s">
        <v>31</v>
      </c>
      <c r="V1355">
        <v>23</v>
      </c>
      <c r="W1355" t="s">
        <v>53</v>
      </c>
      <c r="X1355" t="s">
        <v>36</v>
      </c>
      <c r="Y1355">
        <v>1</v>
      </c>
      <c r="Z1355">
        <v>5</v>
      </c>
      <c r="AA1355">
        <v>2</v>
      </c>
      <c r="AB1355" t="s">
        <v>54</v>
      </c>
      <c r="AC1355">
        <v>5</v>
      </c>
      <c r="AD1355" t="str" cm="1">
        <f t="array" ref="AD1355">_xlfn.IFS(AC1355&lt;=5,"0-5",AC1355&lt;=10,"5-10",AC1355&lt;=40,"10-40")</f>
        <v>0-5</v>
      </c>
      <c r="AE1355">
        <v>2</v>
      </c>
      <c r="AF1355">
        <v>3</v>
      </c>
      <c r="AG1355">
        <v>0</v>
      </c>
      <c r="AH1355">
        <v>1354</v>
      </c>
    </row>
    <row r="1356" spans="1:34" x14ac:dyDescent="0.3">
      <c r="A1356">
        <v>56</v>
      </c>
      <c r="B1356" t="str" cm="1">
        <f t="array" ref="B1356">_xlfn.IFS(A1356&lt;=25,"18-25",A1356&lt;=35,"26-35",A1356&lt;=45,"36-45",A1356&lt;=55,"46-55",A1356&gt;55,"55+")</f>
        <v>55+</v>
      </c>
      <c r="C1356">
        <v>1</v>
      </c>
      <c r="D1356" t="s">
        <v>32</v>
      </c>
      <c r="E1356">
        <v>1162</v>
      </c>
      <c r="F1356" t="s">
        <v>48</v>
      </c>
      <c r="G1356">
        <v>24</v>
      </c>
      <c r="H1356" t="s">
        <v>34</v>
      </c>
      <c r="I1356" t="s">
        <v>35</v>
      </c>
      <c r="J1356" t="s">
        <v>44</v>
      </c>
      <c r="K1356" t="s">
        <v>50</v>
      </c>
      <c r="L1356">
        <v>97</v>
      </c>
      <c r="M1356" t="s">
        <v>38</v>
      </c>
      <c r="N1356" t="s">
        <v>56</v>
      </c>
      <c r="O1356" t="s">
        <v>57</v>
      </c>
      <c r="P1356" t="s">
        <v>41</v>
      </c>
      <c r="Q1356" t="s">
        <v>42</v>
      </c>
      <c r="R1356">
        <v>2587</v>
      </c>
      <c r="S1356">
        <v>10261</v>
      </c>
      <c r="T1356">
        <v>1</v>
      </c>
      <c r="U1356" t="s">
        <v>46</v>
      </c>
      <c r="V1356">
        <v>16</v>
      </c>
      <c r="W1356" t="s">
        <v>43</v>
      </c>
      <c r="X1356" t="s">
        <v>41</v>
      </c>
      <c r="Y1356">
        <v>0</v>
      </c>
      <c r="Z1356">
        <v>5</v>
      </c>
      <c r="AA1356">
        <v>3</v>
      </c>
      <c r="AB1356" t="s">
        <v>54</v>
      </c>
      <c r="AC1356">
        <v>4</v>
      </c>
      <c r="AD1356" t="str" cm="1">
        <f t="array" ref="AD1356">_xlfn.IFS(AC1356&lt;=5,"0-5",AC1356&lt;=10,"5-10",AC1356&lt;=40,"10-40")</f>
        <v>0-5</v>
      </c>
      <c r="AE1356">
        <v>2</v>
      </c>
      <c r="AF1356">
        <v>1</v>
      </c>
      <c r="AG1356">
        <v>0</v>
      </c>
      <c r="AH1356">
        <v>1355</v>
      </c>
    </row>
    <row r="1357" spans="1:34" x14ac:dyDescent="0.3">
      <c r="A1357">
        <v>36</v>
      </c>
      <c r="B1357" t="str" cm="1">
        <f t="array" ref="B1357">_xlfn.IFS(A1357&lt;=25,"18-25",A1357&lt;=35,"26-35",A1357&lt;=45,"36-45",A1357&lt;=55,"46-55",A1357&gt;55,"55+")</f>
        <v>36-45</v>
      </c>
      <c r="C1357">
        <v>0</v>
      </c>
      <c r="D1357" t="s">
        <v>32</v>
      </c>
      <c r="E1357">
        <v>335</v>
      </c>
      <c r="F1357" t="s">
        <v>33</v>
      </c>
      <c r="G1357">
        <v>17</v>
      </c>
      <c r="H1357" t="s">
        <v>34</v>
      </c>
      <c r="I1357" t="s">
        <v>72</v>
      </c>
      <c r="J1357" t="s">
        <v>38</v>
      </c>
      <c r="K1357" t="s">
        <v>50</v>
      </c>
      <c r="L1357">
        <v>33</v>
      </c>
      <c r="M1357" t="s">
        <v>36</v>
      </c>
      <c r="N1357" t="s">
        <v>39</v>
      </c>
      <c r="O1357" t="s">
        <v>40</v>
      </c>
      <c r="P1357" t="s">
        <v>36</v>
      </c>
      <c r="Q1357" t="s">
        <v>52</v>
      </c>
      <c r="R1357">
        <v>5507</v>
      </c>
      <c r="S1357">
        <v>16822</v>
      </c>
      <c r="T1357">
        <v>2</v>
      </c>
      <c r="U1357" t="s">
        <v>46</v>
      </c>
      <c r="V1357">
        <v>16</v>
      </c>
      <c r="W1357" t="s">
        <v>43</v>
      </c>
      <c r="X1357" t="s">
        <v>38</v>
      </c>
      <c r="Y1357">
        <v>2</v>
      </c>
      <c r="Z1357">
        <v>12</v>
      </c>
      <c r="AA1357">
        <v>1</v>
      </c>
      <c r="AB1357" t="s">
        <v>45</v>
      </c>
      <c r="AC1357">
        <v>4</v>
      </c>
      <c r="AD1357" t="str" cm="1">
        <f t="array" ref="AD1357">_xlfn.IFS(AC1357&lt;=5,"0-5",AC1357&lt;=10,"5-10",AC1357&lt;=40,"10-40")</f>
        <v>0-5</v>
      </c>
      <c r="AE1357">
        <v>2</v>
      </c>
      <c r="AF1357">
        <v>1</v>
      </c>
      <c r="AG1357">
        <v>3</v>
      </c>
      <c r="AH1357">
        <v>1356</v>
      </c>
    </row>
    <row r="1358" spans="1:34" x14ac:dyDescent="0.3">
      <c r="A1358">
        <v>41</v>
      </c>
      <c r="B1358" t="str" cm="1">
        <f t="array" ref="B1358">_xlfn.IFS(A1358&lt;=25,"18-25",A1358&lt;=35,"26-35",A1358&lt;=45,"36-45",A1358&lt;=55,"46-55",A1358&gt;55,"55+")</f>
        <v>36-45</v>
      </c>
      <c r="C1358">
        <v>0</v>
      </c>
      <c r="D1358" t="s">
        <v>32</v>
      </c>
      <c r="E1358">
        <v>337</v>
      </c>
      <c r="F1358" t="s">
        <v>33</v>
      </c>
      <c r="G1358">
        <v>8</v>
      </c>
      <c r="H1358" t="s">
        <v>61</v>
      </c>
      <c r="I1358" t="s">
        <v>72</v>
      </c>
      <c r="J1358" t="s">
        <v>38</v>
      </c>
      <c r="K1358" t="s">
        <v>37</v>
      </c>
      <c r="L1358">
        <v>54</v>
      </c>
      <c r="M1358" t="s">
        <v>38</v>
      </c>
      <c r="N1358" t="s">
        <v>39</v>
      </c>
      <c r="O1358" t="s">
        <v>40</v>
      </c>
      <c r="P1358" t="s">
        <v>36</v>
      </c>
      <c r="Q1358" t="s">
        <v>52</v>
      </c>
      <c r="R1358">
        <v>4393</v>
      </c>
      <c r="S1358">
        <v>26841</v>
      </c>
      <c r="T1358">
        <v>5</v>
      </c>
      <c r="U1358" t="s">
        <v>46</v>
      </c>
      <c r="V1358">
        <v>21</v>
      </c>
      <c r="W1358" t="s">
        <v>53</v>
      </c>
      <c r="X1358" t="s">
        <v>38</v>
      </c>
      <c r="Y1358">
        <v>1</v>
      </c>
      <c r="Z1358">
        <v>14</v>
      </c>
      <c r="AA1358">
        <v>3</v>
      </c>
      <c r="AB1358" t="s">
        <v>54</v>
      </c>
      <c r="AC1358">
        <v>5</v>
      </c>
      <c r="AD1358" t="str" cm="1">
        <f t="array" ref="AD1358">_xlfn.IFS(AC1358&lt;=5,"0-5",AC1358&lt;=10,"5-10",AC1358&lt;=40,"10-40")</f>
        <v>0-5</v>
      </c>
      <c r="AE1358">
        <v>4</v>
      </c>
      <c r="AF1358">
        <v>1</v>
      </c>
      <c r="AG1358">
        <v>4</v>
      </c>
      <c r="AH1358">
        <v>1357</v>
      </c>
    </row>
    <row r="1359" spans="1:34" x14ac:dyDescent="0.3">
      <c r="A1359">
        <v>42</v>
      </c>
      <c r="B1359" t="str" cm="1">
        <f t="array" ref="B1359">_xlfn.IFS(A1359&lt;=25,"18-25",A1359&lt;=35,"26-35",A1359&lt;=45,"36-45",A1359&lt;=55,"46-55",A1359&gt;55,"55+")</f>
        <v>36-45</v>
      </c>
      <c r="C1359">
        <v>0</v>
      </c>
      <c r="D1359" t="s">
        <v>32</v>
      </c>
      <c r="E1359">
        <v>1396</v>
      </c>
      <c r="F1359" t="s">
        <v>48</v>
      </c>
      <c r="G1359">
        <v>6</v>
      </c>
      <c r="H1359" t="s">
        <v>61</v>
      </c>
      <c r="I1359" t="s">
        <v>59</v>
      </c>
      <c r="J1359" t="s">
        <v>38</v>
      </c>
      <c r="K1359" t="s">
        <v>50</v>
      </c>
      <c r="L1359">
        <v>83</v>
      </c>
      <c r="M1359" t="s">
        <v>38</v>
      </c>
      <c r="N1359" t="s">
        <v>63</v>
      </c>
      <c r="O1359" t="s">
        <v>70</v>
      </c>
      <c r="P1359" t="s">
        <v>44</v>
      </c>
      <c r="Q1359" t="s">
        <v>52</v>
      </c>
      <c r="R1359">
        <v>13348</v>
      </c>
      <c r="S1359">
        <v>14842</v>
      </c>
      <c r="T1359">
        <v>9</v>
      </c>
      <c r="U1359" t="s">
        <v>46</v>
      </c>
      <c r="V1359">
        <v>13</v>
      </c>
      <c r="W1359" t="s">
        <v>43</v>
      </c>
      <c r="X1359" t="s">
        <v>36</v>
      </c>
      <c r="Y1359">
        <v>1</v>
      </c>
      <c r="Z1359">
        <v>18</v>
      </c>
      <c r="AA1359">
        <v>3</v>
      </c>
      <c r="AB1359" t="s">
        <v>73</v>
      </c>
      <c r="AC1359">
        <v>13</v>
      </c>
      <c r="AD1359" t="str" cm="1">
        <f t="array" ref="AD1359">_xlfn.IFS(AC1359&lt;=5,"0-5",AC1359&lt;=10,"5-10",AC1359&lt;=40,"10-40")</f>
        <v>10-40</v>
      </c>
      <c r="AE1359">
        <v>7</v>
      </c>
      <c r="AF1359">
        <v>5</v>
      </c>
      <c r="AG1359">
        <v>7</v>
      </c>
      <c r="AH1359">
        <v>1358</v>
      </c>
    </row>
    <row r="1360" spans="1:34" x14ac:dyDescent="0.3">
      <c r="A1360">
        <v>31</v>
      </c>
      <c r="B1360" t="str" cm="1">
        <f t="array" ref="B1360">_xlfn.IFS(A1360&lt;=25,"18-25",A1360&lt;=35,"26-35",A1360&lt;=45,"36-45",A1360&lt;=55,"46-55",A1360&gt;55,"55+")</f>
        <v>26-35</v>
      </c>
      <c r="C1360">
        <v>0</v>
      </c>
      <c r="D1360" t="s">
        <v>32</v>
      </c>
      <c r="E1360">
        <v>1079</v>
      </c>
      <c r="F1360" t="s">
        <v>33</v>
      </c>
      <c r="G1360">
        <v>10</v>
      </c>
      <c r="H1360" t="s">
        <v>34</v>
      </c>
      <c r="I1360" t="s">
        <v>59</v>
      </c>
      <c r="J1360" t="s">
        <v>38</v>
      </c>
      <c r="K1360" t="s">
        <v>37</v>
      </c>
      <c r="L1360">
        <v>86</v>
      </c>
      <c r="M1360" t="s">
        <v>38</v>
      </c>
      <c r="N1360" t="s">
        <v>39</v>
      </c>
      <c r="O1360" t="s">
        <v>40</v>
      </c>
      <c r="P1360" t="s">
        <v>41</v>
      </c>
      <c r="Q1360" t="s">
        <v>62</v>
      </c>
      <c r="R1360">
        <v>6583</v>
      </c>
      <c r="S1360">
        <v>20115</v>
      </c>
      <c r="T1360">
        <v>2</v>
      </c>
      <c r="U1360" t="s">
        <v>31</v>
      </c>
      <c r="V1360">
        <v>11</v>
      </c>
      <c r="W1360" t="s">
        <v>43</v>
      </c>
      <c r="X1360" t="s">
        <v>41</v>
      </c>
      <c r="Y1360">
        <v>1</v>
      </c>
      <c r="Z1360">
        <v>8</v>
      </c>
      <c r="AA1360">
        <v>2</v>
      </c>
      <c r="AB1360" t="s">
        <v>54</v>
      </c>
      <c r="AC1360">
        <v>5</v>
      </c>
      <c r="AD1360" t="str" cm="1">
        <f t="array" ref="AD1360">_xlfn.IFS(AC1360&lt;=5,"0-5",AC1360&lt;=10,"5-10",AC1360&lt;=40,"10-40")</f>
        <v>0-5</v>
      </c>
      <c r="AE1360">
        <v>2</v>
      </c>
      <c r="AF1360">
        <v>1</v>
      </c>
      <c r="AG1360">
        <v>4</v>
      </c>
      <c r="AH1360">
        <v>1359</v>
      </c>
    </row>
    <row r="1361" spans="1:34" x14ac:dyDescent="0.3">
      <c r="A1361">
        <v>34</v>
      </c>
      <c r="B1361" t="str" cm="1">
        <f t="array" ref="B1361">_xlfn.IFS(A1361&lt;=25,"18-25",A1361&lt;=35,"26-35",A1361&lt;=45,"36-45",A1361&lt;=55,"46-55",A1361&gt;55,"55+")</f>
        <v>26-35</v>
      </c>
      <c r="C1361">
        <v>0</v>
      </c>
      <c r="D1361" t="s">
        <v>32</v>
      </c>
      <c r="E1361">
        <v>735</v>
      </c>
      <c r="F1361" t="s">
        <v>33</v>
      </c>
      <c r="G1361">
        <v>3</v>
      </c>
      <c r="H1361" t="s">
        <v>49</v>
      </c>
      <c r="I1361" t="s">
        <v>59</v>
      </c>
      <c r="J1361" t="s">
        <v>41</v>
      </c>
      <c r="K1361" t="s">
        <v>37</v>
      </c>
      <c r="L1361">
        <v>75</v>
      </c>
      <c r="M1361" t="s">
        <v>36</v>
      </c>
      <c r="N1361" t="s">
        <v>39</v>
      </c>
      <c r="O1361" t="s">
        <v>40</v>
      </c>
      <c r="P1361" t="s">
        <v>41</v>
      </c>
      <c r="Q1361" t="s">
        <v>52</v>
      </c>
      <c r="R1361">
        <v>8103</v>
      </c>
      <c r="S1361">
        <v>16495</v>
      </c>
      <c r="T1361">
        <v>3</v>
      </c>
      <c r="U1361" t="s">
        <v>31</v>
      </c>
      <c r="V1361">
        <v>12</v>
      </c>
      <c r="W1361" t="s">
        <v>43</v>
      </c>
      <c r="X1361" t="s">
        <v>38</v>
      </c>
      <c r="Y1361">
        <v>0</v>
      </c>
      <c r="Z1361">
        <v>9</v>
      </c>
      <c r="AA1361">
        <v>3</v>
      </c>
      <c r="AB1361" t="s">
        <v>60</v>
      </c>
      <c r="AC1361">
        <v>4</v>
      </c>
      <c r="AD1361" t="str" cm="1">
        <f t="array" ref="AD1361">_xlfn.IFS(AC1361&lt;=5,"0-5",AC1361&lt;=10,"5-10",AC1361&lt;=40,"10-40")</f>
        <v>0-5</v>
      </c>
      <c r="AE1361">
        <v>2</v>
      </c>
      <c r="AF1361">
        <v>0</v>
      </c>
      <c r="AG1361">
        <v>1</v>
      </c>
      <c r="AH1361">
        <v>1360</v>
      </c>
    </row>
    <row r="1362" spans="1:34" x14ac:dyDescent="0.3">
      <c r="A1362">
        <v>31</v>
      </c>
      <c r="B1362" t="str" cm="1">
        <f t="array" ref="B1362">_xlfn.IFS(A1362&lt;=25,"18-25",A1362&lt;=35,"26-35",A1362&lt;=45,"36-45",A1362&lt;=55,"46-55",A1362&gt;55,"55+")</f>
        <v>26-35</v>
      </c>
      <c r="C1362">
        <v>0</v>
      </c>
      <c r="D1362" t="s">
        <v>32</v>
      </c>
      <c r="E1362">
        <v>471</v>
      </c>
      <c r="F1362" t="s">
        <v>48</v>
      </c>
      <c r="G1362">
        <v>4</v>
      </c>
      <c r="H1362" t="s">
        <v>61</v>
      </c>
      <c r="I1362" t="s">
        <v>59</v>
      </c>
      <c r="J1362" t="s">
        <v>44</v>
      </c>
      <c r="K1362" t="s">
        <v>37</v>
      </c>
      <c r="L1362">
        <v>62</v>
      </c>
      <c r="M1362" t="s">
        <v>41</v>
      </c>
      <c r="N1362" t="s">
        <v>56</v>
      </c>
      <c r="O1362" t="s">
        <v>57</v>
      </c>
      <c r="P1362" t="s">
        <v>38</v>
      </c>
      <c r="Q1362" t="s">
        <v>62</v>
      </c>
      <c r="R1362">
        <v>3978</v>
      </c>
      <c r="S1362">
        <v>16031</v>
      </c>
      <c r="T1362">
        <v>8</v>
      </c>
      <c r="U1362" t="s">
        <v>46</v>
      </c>
      <c r="V1362">
        <v>12</v>
      </c>
      <c r="W1362" t="s">
        <v>43</v>
      </c>
      <c r="X1362" t="s">
        <v>36</v>
      </c>
      <c r="Y1362">
        <v>1</v>
      </c>
      <c r="Z1362">
        <v>4</v>
      </c>
      <c r="AA1362">
        <v>0</v>
      </c>
      <c r="AB1362" t="s">
        <v>60</v>
      </c>
      <c r="AC1362">
        <v>2</v>
      </c>
      <c r="AD1362" t="str" cm="1">
        <f t="array" ref="AD1362">_xlfn.IFS(AC1362&lt;=5,"0-5",AC1362&lt;=10,"5-10",AC1362&lt;=40,"10-40")</f>
        <v>0-5</v>
      </c>
      <c r="AE1362">
        <v>2</v>
      </c>
      <c r="AF1362">
        <v>2</v>
      </c>
      <c r="AG1362">
        <v>2</v>
      </c>
      <c r="AH1362">
        <v>1361</v>
      </c>
    </row>
    <row r="1363" spans="1:34" x14ac:dyDescent="0.3">
      <c r="A1363">
        <v>26</v>
      </c>
      <c r="B1363" t="str" cm="1">
        <f t="array" ref="B1363">_xlfn.IFS(A1363&lt;=25,"18-25",A1363&lt;=35,"26-35",A1363&lt;=45,"36-45",A1363&lt;=55,"46-55",A1363&gt;55,"55+")</f>
        <v>26-35</v>
      </c>
      <c r="C1363">
        <v>0</v>
      </c>
      <c r="D1363" t="s">
        <v>47</v>
      </c>
      <c r="E1363">
        <v>1096</v>
      </c>
      <c r="F1363" t="s">
        <v>48</v>
      </c>
      <c r="G1363">
        <v>6</v>
      </c>
      <c r="H1363" t="s">
        <v>61</v>
      </c>
      <c r="I1363" t="s">
        <v>55</v>
      </c>
      <c r="J1363" t="s">
        <v>38</v>
      </c>
      <c r="K1363" t="s">
        <v>50</v>
      </c>
      <c r="L1363">
        <v>61</v>
      </c>
      <c r="M1363" t="s">
        <v>41</v>
      </c>
      <c r="N1363" t="s">
        <v>56</v>
      </c>
      <c r="O1363" t="s">
        <v>57</v>
      </c>
      <c r="P1363" t="s">
        <v>41</v>
      </c>
      <c r="Q1363" t="s">
        <v>52</v>
      </c>
      <c r="R1363">
        <v>2544</v>
      </c>
      <c r="S1363">
        <v>7102</v>
      </c>
      <c r="T1363">
        <v>0</v>
      </c>
      <c r="U1363" t="s">
        <v>46</v>
      </c>
      <c r="V1363">
        <v>18</v>
      </c>
      <c r="W1363" t="s">
        <v>43</v>
      </c>
      <c r="X1363" t="s">
        <v>44</v>
      </c>
      <c r="Y1363">
        <v>1</v>
      </c>
      <c r="Z1363">
        <v>8</v>
      </c>
      <c r="AA1363">
        <v>3</v>
      </c>
      <c r="AB1363" t="s">
        <v>54</v>
      </c>
      <c r="AC1363">
        <v>7</v>
      </c>
      <c r="AD1363" t="str" cm="1">
        <f t="array" ref="AD1363">_xlfn.IFS(AC1363&lt;=5,"0-5",AC1363&lt;=10,"5-10",AC1363&lt;=40,"10-40")</f>
        <v>5-10</v>
      </c>
      <c r="AE1363">
        <v>7</v>
      </c>
      <c r="AF1363">
        <v>7</v>
      </c>
      <c r="AG1363">
        <v>7</v>
      </c>
      <c r="AH1363">
        <v>1362</v>
      </c>
    </row>
    <row r="1364" spans="1:34" x14ac:dyDescent="0.3">
      <c r="A1364">
        <v>45</v>
      </c>
      <c r="B1364" t="str" cm="1">
        <f t="array" ref="B1364">_xlfn.IFS(A1364&lt;=25,"18-25",A1364&lt;=35,"26-35",A1364&lt;=45,"36-45",A1364&lt;=55,"46-55",A1364&gt;55,"55+")</f>
        <v>36-45</v>
      </c>
      <c r="C1364">
        <v>0</v>
      </c>
      <c r="D1364" t="s">
        <v>47</v>
      </c>
      <c r="E1364">
        <v>1297</v>
      </c>
      <c r="F1364" t="s">
        <v>48</v>
      </c>
      <c r="G1364">
        <v>1</v>
      </c>
      <c r="H1364" t="s">
        <v>58</v>
      </c>
      <c r="I1364" t="s">
        <v>59</v>
      </c>
      <c r="J1364" t="s">
        <v>36</v>
      </c>
      <c r="K1364" t="s">
        <v>50</v>
      </c>
      <c r="L1364">
        <v>44</v>
      </c>
      <c r="M1364" t="s">
        <v>38</v>
      </c>
      <c r="N1364" t="s">
        <v>39</v>
      </c>
      <c r="O1364" t="s">
        <v>65</v>
      </c>
      <c r="P1364" t="s">
        <v>38</v>
      </c>
      <c r="Q1364" t="s">
        <v>42</v>
      </c>
      <c r="R1364">
        <v>5399</v>
      </c>
      <c r="S1364">
        <v>14511</v>
      </c>
      <c r="T1364">
        <v>4</v>
      </c>
      <c r="U1364" t="s">
        <v>46</v>
      </c>
      <c r="V1364">
        <v>12</v>
      </c>
      <c r="W1364" t="s">
        <v>43</v>
      </c>
      <c r="X1364" t="s">
        <v>38</v>
      </c>
      <c r="Y1364">
        <v>0</v>
      </c>
      <c r="Z1364">
        <v>12</v>
      </c>
      <c r="AA1364">
        <v>3</v>
      </c>
      <c r="AB1364" t="s">
        <v>54</v>
      </c>
      <c r="AC1364">
        <v>4</v>
      </c>
      <c r="AD1364" t="str" cm="1">
        <f t="array" ref="AD1364">_xlfn.IFS(AC1364&lt;=5,"0-5",AC1364&lt;=10,"5-10",AC1364&lt;=40,"10-40")</f>
        <v>0-5</v>
      </c>
      <c r="AE1364">
        <v>2</v>
      </c>
      <c r="AF1364">
        <v>0</v>
      </c>
      <c r="AG1364">
        <v>3</v>
      </c>
      <c r="AH1364">
        <v>1363</v>
      </c>
    </row>
    <row r="1365" spans="1:34" x14ac:dyDescent="0.3">
      <c r="A1365">
        <v>33</v>
      </c>
      <c r="B1365" t="str" cm="1">
        <f t="array" ref="B1365">_xlfn.IFS(A1365&lt;=25,"18-25",A1365&lt;=35,"26-35",A1365&lt;=45,"36-45",A1365&lt;=55,"46-55",A1365&gt;55,"55+")</f>
        <v>26-35</v>
      </c>
      <c r="C1365">
        <v>0</v>
      </c>
      <c r="D1365" t="s">
        <v>32</v>
      </c>
      <c r="E1365">
        <v>217</v>
      </c>
      <c r="F1365" t="s">
        <v>33</v>
      </c>
      <c r="G1365">
        <v>10</v>
      </c>
      <c r="H1365" t="s">
        <v>58</v>
      </c>
      <c r="I1365" t="s">
        <v>72</v>
      </c>
      <c r="J1365" t="s">
        <v>36</v>
      </c>
      <c r="K1365" t="s">
        <v>50</v>
      </c>
      <c r="L1365">
        <v>43</v>
      </c>
      <c r="M1365" t="s">
        <v>38</v>
      </c>
      <c r="N1365" t="s">
        <v>39</v>
      </c>
      <c r="O1365" t="s">
        <v>40</v>
      </c>
      <c r="P1365" t="s">
        <v>38</v>
      </c>
      <c r="Q1365" t="s">
        <v>42</v>
      </c>
      <c r="R1365">
        <v>5487</v>
      </c>
      <c r="S1365">
        <v>10410</v>
      </c>
      <c r="T1365">
        <v>1</v>
      </c>
      <c r="U1365" t="s">
        <v>46</v>
      </c>
      <c r="V1365">
        <v>14</v>
      </c>
      <c r="W1365" t="s">
        <v>43</v>
      </c>
      <c r="X1365" t="s">
        <v>36</v>
      </c>
      <c r="Y1365">
        <v>0</v>
      </c>
      <c r="Z1365">
        <v>10</v>
      </c>
      <c r="AA1365">
        <v>2</v>
      </c>
      <c r="AB1365" t="s">
        <v>60</v>
      </c>
      <c r="AC1365">
        <v>10</v>
      </c>
      <c r="AD1365" t="str" cm="1">
        <f t="array" ref="AD1365">_xlfn.IFS(AC1365&lt;=5,"0-5",AC1365&lt;=10,"5-10",AC1365&lt;=40,"10-40")</f>
        <v>5-10</v>
      </c>
      <c r="AE1365">
        <v>4</v>
      </c>
      <c r="AF1365">
        <v>0</v>
      </c>
      <c r="AG1365">
        <v>9</v>
      </c>
      <c r="AH1365">
        <v>1364</v>
      </c>
    </row>
    <row r="1366" spans="1:34" x14ac:dyDescent="0.3">
      <c r="A1366">
        <v>28</v>
      </c>
      <c r="B1366" t="str" cm="1">
        <f t="array" ref="B1366">_xlfn.IFS(A1366&lt;=25,"18-25",A1366&lt;=35,"26-35",A1366&lt;=45,"36-45",A1366&lt;=55,"46-55",A1366&gt;55,"55+")</f>
        <v>26-35</v>
      </c>
      <c r="C1366">
        <v>0</v>
      </c>
      <c r="D1366" t="s">
        <v>47</v>
      </c>
      <c r="E1366">
        <v>783</v>
      </c>
      <c r="F1366" t="s">
        <v>33</v>
      </c>
      <c r="G1366">
        <v>1</v>
      </c>
      <c r="H1366" t="s">
        <v>34</v>
      </c>
      <c r="I1366" t="s">
        <v>35</v>
      </c>
      <c r="J1366" t="s">
        <v>38</v>
      </c>
      <c r="K1366" t="s">
        <v>50</v>
      </c>
      <c r="L1366">
        <v>42</v>
      </c>
      <c r="M1366" t="s">
        <v>36</v>
      </c>
      <c r="N1366" t="s">
        <v>39</v>
      </c>
      <c r="O1366" t="s">
        <v>40</v>
      </c>
      <c r="P1366" t="s">
        <v>41</v>
      </c>
      <c r="Q1366" t="s">
        <v>52</v>
      </c>
      <c r="R1366">
        <v>6834</v>
      </c>
      <c r="S1366">
        <v>19255</v>
      </c>
      <c r="T1366">
        <v>1</v>
      </c>
      <c r="U1366" t="s">
        <v>31</v>
      </c>
      <c r="V1366">
        <v>12</v>
      </c>
      <c r="W1366" t="s">
        <v>43</v>
      </c>
      <c r="X1366" t="s">
        <v>38</v>
      </c>
      <c r="Y1366">
        <v>1</v>
      </c>
      <c r="Z1366">
        <v>7</v>
      </c>
      <c r="AA1366">
        <v>2</v>
      </c>
      <c r="AB1366" t="s">
        <v>54</v>
      </c>
      <c r="AC1366">
        <v>7</v>
      </c>
      <c r="AD1366" t="str" cm="1">
        <f t="array" ref="AD1366">_xlfn.IFS(AC1366&lt;=5,"0-5",AC1366&lt;=10,"5-10",AC1366&lt;=40,"10-40")</f>
        <v>5-10</v>
      </c>
      <c r="AE1366">
        <v>7</v>
      </c>
      <c r="AF1366">
        <v>0</v>
      </c>
      <c r="AG1366">
        <v>7</v>
      </c>
      <c r="AH1366">
        <v>1365</v>
      </c>
    </row>
    <row r="1367" spans="1:34" x14ac:dyDescent="0.3">
      <c r="A1367">
        <v>29</v>
      </c>
      <c r="B1367" t="str" cm="1">
        <f t="array" ref="B1367">_xlfn.IFS(A1367&lt;=25,"18-25",A1367&lt;=35,"26-35",A1367&lt;=45,"36-45",A1367&lt;=55,"46-55",A1367&gt;55,"55+")</f>
        <v>26-35</v>
      </c>
      <c r="C1367">
        <v>1</v>
      </c>
      <c r="D1367" t="s">
        <v>47</v>
      </c>
      <c r="E1367">
        <v>746</v>
      </c>
      <c r="F1367" t="s">
        <v>33</v>
      </c>
      <c r="G1367">
        <v>24</v>
      </c>
      <c r="H1367" t="s">
        <v>61</v>
      </c>
      <c r="I1367" t="s">
        <v>74</v>
      </c>
      <c r="J1367" t="s">
        <v>38</v>
      </c>
      <c r="K1367" t="s">
        <v>50</v>
      </c>
      <c r="L1367">
        <v>45</v>
      </c>
      <c r="M1367" t="s">
        <v>41</v>
      </c>
      <c r="N1367" t="s">
        <v>56</v>
      </c>
      <c r="O1367" t="s">
        <v>69</v>
      </c>
      <c r="P1367" t="s">
        <v>44</v>
      </c>
      <c r="Q1367" t="s">
        <v>42</v>
      </c>
      <c r="R1367">
        <v>1091</v>
      </c>
      <c r="S1367">
        <v>10642</v>
      </c>
      <c r="T1367">
        <v>1</v>
      </c>
      <c r="U1367" t="s">
        <v>46</v>
      </c>
      <c r="V1367">
        <v>17</v>
      </c>
      <c r="W1367" t="s">
        <v>43</v>
      </c>
      <c r="X1367" t="s">
        <v>41</v>
      </c>
      <c r="Y1367">
        <v>0</v>
      </c>
      <c r="Z1367">
        <v>1</v>
      </c>
      <c r="AA1367">
        <v>3</v>
      </c>
      <c r="AB1367" t="s">
        <v>54</v>
      </c>
      <c r="AC1367">
        <v>1</v>
      </c>
      <c r="AD1367" t="str" cm="1">
        <f t="array" ref="AD1367">_xlfn.IFS(AC1367&lt;=5,"0-5",AC1367&lt;=10,"5-10",AC1367&lt;=40,"10-40")</f>
        <v>0-5</v>
      </c>
      <c r="AE1367">
        <v>0</v>
      </c>
      <c r="AF1367">
        <v>0</v>
      </c>
      <c r="AG1367">
        <v>0</v>
      </c>
      <c r="AH1367">
        <v>1366</v>
      </c>
    </row>
    <row r="1368" spans="1:34" x14ac:dyDescent="0.3">
      <c r="A1368">
        <v>39</v>
      </c>
      <c r="B1368" t="str" cm="1">
        <f t="array" ref="B1368">_xlfn.IFS(A1368&lt;=25,"18-25",A1368&lt;=35,"26-35",A1368&lt;=45,"36-45",A1368&lt;=55,"46-55",A1368&gt;55,"55+")</f>
        <v>36-45</v>
      </c>
      <c r="C1368">
        <v>0</v>
      </c>
      <c r="D1368" t="s">
        <v>66</v>
      </c>
      <c r="E1368">
        <v>1251</v>
      </c>
      <c r="F1368" t="s">
        <v>33</v>
      </c>
      <c r="G1368">
        <v>21</v>
      </c>
      <c r="H1368" t="s">
        <v>58</v>
      </c>
      <c r="I1368" t="s">
        <v>35</v>
      </c>
      <c r="J1368" t="s">
        <v>44</v>
      </c>
      <c r="K1368" t="s">
        <v>37</v>
      </c>
      <c r="L1368">
        <v>32</v>
      </c>
      <c r="M1368" t="s">
        <v>44</v>
      </c>
      <c r="N1368" t="s">
        <v>39</v>
      </c>
      <c r="O1368" t="s">
        <v>40</v>
      </c>
      <c r="P1368" t="s">
        <v>38</v>
      </c>
      <c r="Q1368" t="s">
        <v>52</v>
      </c>
      <c r="R1368">
        <v>5736</v>
      </c>
      <c r="S1368">
        <v>3987</v>
      </c>
      <c r="T1368">
        <v>6</v>
      </c>
      <c r="U1368" t="s">
        <v>46</v>
      </c>
      <c r="V1368">
        <v>19</v>
      </c>
      <c r="W1368" t="s">
        <v>43</v>
      </c>
      <c r="X1368" t="s">
        <v>38</v>
      </c>
      <c r="Y1368">
        <v>1</v>
      </c>
      <c r="Z1368">
        <v>10</v>
      </c>
      <c r="AA1368">
        <v>1</v>
      </c>
      <c r="AB1368" t="s">
        <v>54</v>
      </c>
      <c r="AC1368">
        <v>3</v>
      </c>
      <c r="AD1368" t="str" cm="1">
        <f t="array" ref="AD1368">_xlfn.IFS(AC1368&lt;=5,"0-5",AC1368&lt;=10,"5-10",AC1368&lt;=40,"10-40")</f>
        <v>0-5</v>
      </c>
      <c r="AE1368">
        <v>2</v>
      </c>
      <c r="AF1368">
        <v>1</v>
      </c>
      <c r="AG1368">
        <v>2</v>
      </c>
      <c r="AH1368">
        <v>1367</v>
      </c>
    </row>
    <row r="1369" spans="1:34" x14ac:dyDescent="0.3">
      <c r="A1369">
        <v>27</v>
      </c>
      <c r="B1369" t="str" cm="1">
        <f t="array" ref="B1369">_xlfn.IFS(A1369&lt;=25,"18-25",A1369&lt;=35,"26-35",A1369&lt;=45,"36-45",A1369&lt;=55,"46-55",A1369&gt;55,"55+")</f>
        <v>26-35</v>
      </c>
      <c r="C1369">
        <v>0</v>
      </c>
      <c r="D1369" t="s">
        <v>32</v>
      </c>
      <c r="E1369">
        <v>1354</v>
      </c>
      <c r="F1369" t="s">
        <v>48</v>
      </c>
      <c r="G1369">
        <v>2</v>
      </c>
      <c r="H1369" t="s">
        <v>58</v>
      </c>
      <c r="I1369" t="s">
        <v>74</v>
      </c>
      <c r="J1369" t="s">
        <v>36</v>
      </c>
      <c r="K1369" t="s">
        <v>50</v>
      </c>
      <c r="L1369">
        <v>41</v>
      </c>
      <c r="M1369" t="s">
        <v>38</v>
      </c>
      <c r="N1369" t="s">
        <v>56</v>
      </c>
      <c r="O1369" t="s">
        <v>51</v>
      </c>
      <c r="P1369" t="s">
        <v>36</v>
      </c>
      <c r="Q1369" t="s">
        <v>52</v>
      </c>
      <c r="R1369">
        <v>2226</v>
      </c>
      <c r="S1369">
        <v>6073</v>
      </c>
      <c r="T1369">
        <v>1</v>
      </c>
      <c r="U1369" t="s">
        <v>46</v>
      </c>
      <c r="V1369">
        <v>11</v>
      </c>
      <c r="W1369" t="s">
        <v>43</v>
      </c>
      <c r="X1369" t="s">
        <v>38</v>
      </c>
      <c r="Y1369">
        <v>1</v>
      </c>
      <c r="Z1369">
        <v>6</v>
      </c>
      <c r="AA1369">
        <v>3</v>
      </c>
      <c r="AB1369" t="s">
        <v>60</v>
      </c>
      <c r="AC1369">
        <v>5</v>
      </c>
      <c r="AD1369" t="str" cm="1">
        <f t="array" ref="AD1369">_xlfn.IFS(AC1369&lt;=5,"0-5",AC1369&lt;=10,"5-10",AC1369&lt;=40,"10-40")</f>
        <v>0-5</v>
      </c>
      <c r="AE1369">
        <v>3</v>
      </c>
      <c r="AF1369">
        <v>1</v>
      </c>
      <c r="AG1369">
        <v>2</v>
      </c>
      <c r="AH1369">
        <v>1368</v>
      </c>
    </row>
    <row r="1370" spans="1:34" x14ac:dyDescent="0.3">
      <c r="A1370">
        <v>34</v>
      </c>
      <c r="B1370" t="str" cm="1">
        <f t="array" ref="B1370">_xlfn.IFS(A1370&lt;=25,"18-25",A1370&lt;=35,"26-35",A1370&lt;=45,"36-45",A1370&lt;=55,"46-55",A1370&gt;55,"55+")</f>
        <v>26-35</v>
      </c>
      <c r="C1370">
        <v>0</v>
      </c>
      <c r="D1370" t="s">
        <v>47</v>
      </c>
      <c r="E1370">
        <v>735</v>
      </c>
      <c r="F1370" t="s">
        <v>48</v>
      </c>
      <c r="G1370">
        <v>22</v>
      </c>
      <c r="H1370" t="s">
        <v>58</v>
      </c>
      <c r="I1370" t="s">
        <v>55</v>
      </c>
      <c r="J1370" t="s">
        <v>38</v>
      </c>
      <c r="K1370" t="s">
        <v>50</v>
      </c>
      <c r="L1370">
        <v>86</v>
      </c>
      <c r="M1370" t="s">
        <v>36</v>
      </c>
      <c r="N1370" t="s">
        <v>39</v>
      </c>
      <c r="O1370" t="s">
        <v>51</v>
      </c>
      <c r="P1370" t="s">
        <v>41</v>
      </c>
      <c r="Q1370" t="s">
        <v>52</v>
      </c>
      <c r="R1370">
        <v>5747</v>
      </c>
      <c r="S1370">
        <v>26496</v>
      </c>
      <c r="T1370">
        <v>1</v>
      </c>
      <c r="U1370" t="s">
        <v>31</v>
      </c>
      <c r="V1370">
        <v>15</v>
      </c>
      <c r="W1370" t="s">
        <v>43</v>
      </c>
      <c r="X1370" t="s">
        <v>36</v>
      </c>
      <c r="Y1370">
        <v>0</v>
      </c>
      <c r="Z1370">
        <v>16</v>
      </c>
      <c r="AA1370">
        <v>3</v>
      </c>
      <c r="AB1370" t="s">
        <v>54</v>
      </c>
      <c r="AC1370">
        <v>15</v>
      </c>
      <c r="AD1370" t="str" cm="1">
        <f t="array" ref="AD1370">_xlfn.IFS(AC1370&lt;=5,"0-5",AC1370&lt;=10,"5-10",AC1370&lt;=40,"10-40")</f>
        <v>10-40</v>
      </c>
      <c r="AE1370">
        <v>10</v>
      </c>
      <c r="AF1370">
        <v>6</v>
      </c>
      <c r="AG1370">
        <v>11</v>
      </c>
      <c r="AH1370">
        <v>1369</v>
      </c>
    </row>
    <row r="1371" spans="1:34" x14ac:dyDescent="0.3">
      <c r="A1371">
        <v>28</v>
      </c>
      <c r="B1371" t="str" cm="1">
        <f t="array" ref="B1371">_xlfn.IFS(A1371&lt;=25,"18-25",A1371&lt;=35,"26-35",A1371&lt;=45,"36-45",A1371&lt;=55,"46-55",A1371&gt;55,"55+")</f>
        <v>26-35</v>
      </c>
      <c r="C1371">
        <v>1</v>
      </c>
      <c r="D1371" t="s">
        <v>32</v>
      </c>
      <c r="E1371">
        <v>1475</v>
      </c>
      <c r="F1371" t="s">
        <v>33</v>
      </c>
      <c r="G1371">
        <v>13</v>
      </c>
      <c r="H1371" t="s">
        <v>34</v>
      </c>
      <c r="I1371" t="s">
        <v>72</v>
      </c>
      <c r="J1371" t="s">
        <v>41</v>
      </c>
      <c r="K1371" t="s">
        <v>37</v>
      </c>
      <c r="L1371">
        <v>84</v>
      </c>
      <c r="M1371" t="s">
        <v>38</v>
      </c>
      <c r="N1371" t="s">
        <v>39</v>
      </c>
      <c r="O1371" t="s">
        <v>40</v>
      </c>
      <c r="P1371" t="s">
        <v>38</v>
      </c>
      <c r="Q1371" t="s">
        <v>42</v>
      </c>
      <c r="R1371">
        <v>9854</v>
      </c>
      <c r="S1371">
        <v>23352</v>
      </c>
      <c r="T1371">
        <v>3</v>
      </c>
      <c r="U1371" t="s">
        <v>31</v>
      </c>
      <c r="V1371">
        <v>11</v>
      </c>
      <c r="W1371" t="s">
        <v>43</v>
      </c>
      <c r="X1371" t="s">
        <v>41</v>
      </c>
      <c r="Y1371">
        <v>0</v>
      </c>
      <c r="Z1371">
        <v>6</v>
      </c>
      <c r="AA1371">
        <v>0</v>
      </c>
      <c r="AB1371" t="s">
        <v>54</v>
      </c>
      <c r="AC1371">
        <v>2</v>
      </c>
      <c r="AD1371" t="str" cm="1">
        <f t="array" ref="AD1371">_xlfn.IFS(AC1371&lt;=5,"0-5",AC1371&lt;=10,"5-10",AC1371&lt;=40,"10-40")</f>
        <v>0-5</v>
      </c>
      <c r="AE1371">
        <v>0</v>
      </c>
      <c r="AF1371">
        <v>2</v>
      </c>
      <c r="AG1371">
        <v>2</v>
      </c>
      <c r="AH1371">
        <v>1370</v>
      </c>
    </row>
    <row r="1372" spans="1:34" x14ac:dyDescent="0.3">
      <c r="A1372">
        <v>47</v>
      </c>
      <c r="B1372" t="str" cm="1">
        <f t="array" ref="B1372">_xlfn.IFS(A1372&lt;=25,"18-25",A1372&lt;=35,"26-35",A1372&lt;=45,"36-45",A1372&lt;=55,"46-55",A1372&gt;55,"55+")</f>
        <v>46-55</v>
      </c>
      <c r="C1372">
        <v>0</v>
      </c>
      <c r="D1372" t="s">
        <v>66</v>
      </c>
      <c r="E1372">
        <v>1169</v>
      </c>
      <c r="F1372" t="s">
        <v>48</v>
      </c>
      <c r="G1372">
        <v>14</v>
      </c>
      <c r="H1372" t="s">
        <v>58</v>
      </c>
      <c r="I1372" t="s">
        <v>74</v>
      </c>
      <c r="J1372" t="s">
        <v>38</v>
      </c>
      <c r="K1372" t="s">
        <v>50</v>
      </c>
      <c r="L1372">
        <v>64</v>
      </c>
      <c r="M1372" t="s">
        <v>38</v>
      </c>
      <c r="N1372" t="s">
        <v>39</v>
      </c>
      <c r="O1372" t="s">
        <v>51</v>
      </c>
      <c r="P1372" t="s">
        <v>36</v>
      </c>
      <c r="Q1372" t="s">
        <v>52</v>
      </c>
      <c r="R1372">
        <v>5467</v>
      </c>
      <c r="S1372">
        <v>2125</v>
      </c>
      <c r="T1372">
        <v>8</v>
      </c>
      <c r="U1372" t="s">
        <v>46</v>
      </c>
      <c r="V1372">
        <v>18</v>
      </c>
      <c r="W1372" t="s">
        <v>43</v>
      </c>
      <c r="X1372" t="s">
        <v>38</v>
      </c>
      <c r="Y1372">
        <v>1</v>
      </c>
      <c r="Z1372">
        <v>16</v>
      </c>
      <c r="AA1372">
        <v>4</v>
      </c>
      <c r="AB1372" t="s">
        <v>73</v>
      </c>
      <c r="AC1372">
        <v>8</v>
      </c>
      <c r="AD1372" t="str" cm="1">
        <f t="array" ref="AD1372">_xlfn.IFS(AC1372&lt;=5,"0-5",AC1372&lt;=10,"5-10",AC1372&lt;=40,"10-40")</f>
        <v>5-10</v>
      </c>
      <c r="AE1372">
        <v>7</v>
      </c>
      <c r="AF1372">
        <v>1</v>
      </c>
      <c r="AG1372">
        <v>7</v>
      </c>
      <c r="AH1372">
        <v>1371</v>
      </c>
    </row>
    <row r="1373" spans="1:34" x14ac:dyDescent="0.3">
      <c r="A1373">
        <v>56</v>
      </c>
      <c r="B1373" t="str" cm="1">
        <f t="array" ref="B1373">_xlfn.IFS(A1373&lt;=25,"18-25",A1373&lt;=35,"26-35",A1373&lt;=45,"36-45",A1373&lt;=55,"46-55",A1373&gt;55,"55+")</f>
        <v>55+</v>
      </c>
      <c r="C1373">
        <v>0</v>
      </c>
      <c r="D1373" t="s">
        <v>32</v>
      </c>
      <c r="E1373">
        <v>1443</v>
      </c>
      <c r="F1373" t="s">
        <v>33</v>
      </c>
      <c r="G1373">
        <v>11</v>
      </c>
      <c r="H1373" t="s">
        <v>75</v>
      </c>
      <c r="I1373" t="s">
        <v>72</v>
      </c>
      <c r="J1373" t="s">
        <v>41</v>
      </c>
      <c r="K1373" t="s">
        <v>37</v>
      </c>
      <c r="L1373">
        <v>89</v>
      </c>
      <c r="M1373" t="s">
        <v>36</v>
      </c>
      <c r="N1373" t="s">
        <v>39</v>
      </c>
      <c r="O1373" t="s">
        <v>40</v>
      </c>
      <c r="P1373" t="s">
        <v>44</v>
      </c>
      <c r="Q1373" t="s">
        <v>52</v>
      </c>
      <c r="R1373">
        <v>5380</v>
      </c>
      <c r="S1373">
        <v>20328</v>
      </c>
      <c r="T1373">
        <v>4</v>
      </c>
      <c r="U1373" t="s">
        <v>46</v>
      </c>
      <c r="V1373">
        <v>16</v>
      </c>
      <c r="W1373" t="s">
        <v>43</v>
      </c>
      <c r="X1373" t="s">
        <v>38</v>
      </c>
      <c r="Y1373">
        <v>1</v>
      </c>
      <c r="Z1373">
        <v>6</v>
      </c>
      <c r="AA1373">
        <v>3</v>
      </c>
      <c r="AB1373" t="s">
        <v>54</v>
      </c>
      <c r="AC1373">
        <v>0</v>
      </c>
      <c r="AD1373" t="str" cm="1">
        <f t="array" ref="AD1373">_xlfn.IFS(AC1373&lt;=5,"0-5",AC1373&lt;=10,"5-10",AC1373&lt;=40,"10-40")</f>
        <v>0-5</v>
      </c>
      <c r="AE1373">
        <v>0</v>
      </c>
      <c r="AF1373">
        <v>0</v>
      </c>
      <c r="AG1373">
        <v>0</v>
      </c>
      <c r="AH1373">
        <v>1372</v>
      </c>
    </row>
    <row r="1374" spans="1:34" x14ac:dyDescent="0.3">
      <c r="A1374">
        <v>39</v>
      </c>
      <c r="B1374" t="str" cm="1">
        <f t="array" ref="B1374">_xlfn.IFS(A1374&lt;=25,"18-25",A1374&lt;=35,"26-35",A1374&lt;=45,"36-45",A1374&lt;=55,"46-55",A1374&gt;55,"55+")</f>
        <v>36-45</v>
      </c>
      <c r="C1374">
        <v>0</v>
      </c>
      <c r="D1374" t="s">
        <v>32</v>
      </c>
      <c r="E1374">
        <v>867</v>
      </c>
      <c r="F1374" t="s">
        <v>48</v>
      </c>
      <c r="G1374">
        <v>9</v>
      </c>
      <c r="H1374" t="s">
        <v>34</v>
      </c>
      <c r="I1374" t="s">
        <v>59</v>
      </c>
      <c r="J1374" t="s">
        <v>44</v>
      </c>
      <c r="K1374" t="s">
        <v>50</v>
      </c>
      <c r="L1374">
        <v>87</v>
      </c>
      <c r="M1374" t="s">
        <v>38</v>
      </c>
      <c r="N1374" t="s">
        <v>39</v>
      </c>
      <c r="O1374" t="s">
        <v>64</v>
      </c>
      <c r="P1374" t="s">
        <v>44</v>
      </c>
      <c r="Q1374" t="s">
        <v>52</v>
      </c>
      <c r="R1374">
        <v>5151</v>
      </c>
      <c r="S1374">
        <v>12315</v>
      </c>
      <c r="T1374">
        <v>1</v>
      </c>
      <c r="U1374" t="s">
        <v>46</v>
      </c>
      <c r="V1374">
        <v>25</v>
      </c>
      <c r="W1374" t="s">
        <v>53</v>
      </c>
      <c r="X1374" t="s">
        <v>41</v>
      </c>
      <c r="Y1374">
        <v>1</v>
      </c>
      <c r="Z1374">
        <v>10</v>
      </c>
      <c r="AA1374">
        <v>3</v>
      </c>
      <c r="AB1374" t="s">
        <v>54</v>
      </c>
      <c r="AC1374">
        <v>10</v>
      </c>
      <c r="AD1374" t="str" cm="1">
        <f t="array" ref="AD1374">_xlfn.IFS(AC1374&lt;=5,"0-5",AC1374&lt;=10,"5-10",AC1374&lt;=40,"10-40")</f>
        <v>5-10</v>
      </c>
      <c r="AE1374">
        <v>0</v>
      </c>
      <c r="AF1374">
        <v>7</v>
      </c>
      <c r="AG1374">
        <v>9</v>
      </c>
      <c r="AH1374">
        <v>1373</v>
      </c>
    </row>
    <row r="1375" spans="1:34" x14ac:dyDescent="0.3">
      <c r="A1375">
        <v>38</v>
      </c>
      <c r="B1375" t="str" cm="1">
        <f t="array" ref="B1375">_xlfn.IFS(A1375&lt;=25,"18-25",A1375&lt;=35,"26-35",A1375&lt;=45,"36-45",A1375&lt;=55,"46-55",A1375&gt;55,"55+")</f>
        <v>36-45</v>
      </c>
      <c r="C1375">
        <v>0</v>
      </c>
      <c r="D1375" t="s">
        <v>47</v>
      </c>
      <c r="E1375">
        <v>1394</v>
      </c>
      <c r="F1375" t="s">
        <v>48</v>
      </c>
      <c r="G1375">
        <v>8</v>
      </c>
      <c r="H1375" t="s">
        <v>61</v>
      </c>
      <c r="I1375" t="s">
        <v>59</v>
      </c>
      <c r="J1375" t="s">
        <v>41</v>
      </c>
      <c r="K1375" t="s">
        <v>37</v>
      </c>
      <c r="L1375">
        <v>58</v>
      </c>
      <c r="M1375" t="s">
        <v>36</v>
      </c>
      <c r="N1375" t="s">
        <v>39</v>
      </c>
      <c r="O1375" t="s">
        <v>51</v>
      </c>
      <c r="P1375" t="s">
        <v>36</v>
      </c>
      <c r="Q1375" t="s">
        <v>62</v>
      </c>
      <c r="R1375">
        <v>2133</v>
      </c>
      <c r="S1375">
        <v>18115</v>
      </c>
      <c r="T1375">
        <v>1</v>
      </c>
      <c r="U1375" t="s">
        <v>31</v>
      </c>
      <c r="V1375">
        <v>16</v>
      </c>
      <c r="W1375" t="s">
        <v>43</v>
      </c>
      <c r="X1375" t="s">
        <v>38</v>
      </c>
      <c r="Y1375">
        <v>1</v>
      </c>
      <c r="Z1375">
        <v>20</v>
      </c>
      <c r="AA1375">
        <v>3</v>
      </c>
      <c r="AB1375" t="s">
        <v>54</v>
      </c>
      <c r="AC1375">
        <v>20</v>
      </c>
      <c r="AD1375" t="str" cm="1">
        <f t="array" ref="AD1375">_xlfn.IFS(AC1375&lt;=5,"0-5",AC1375&lt;=10,"5-10",AC1375&lt;=40,"10-40")</f>
        <v>10-40</v>
      </c>
      <c r="AE1375">
        <v>11</v>
      </c>
      <c r="AF1375">
        <v>0</v>
      </c>
      <c r="AG1375">
        <v>7</v>
      </c>
      <c r="AH1375">
        <v>1374</v>
      </c>
    </row>
    <row r="1376" spans="1:34" x14ac:dyDescent="0.3">
      <c r="A1376">
        <v>58</v>
      </c>
      <c r="B1376" t="str" cm="1">
        <f t="array" ref="B1376">_xlfn.IFS(A1376&lt;=25,"18-25",A1376&lt;=35,"26-35",A1376&lt;=45,"36-45",A1376&lt;=55,"46-55",A1376&gt;55,"55+")</f>
        <v>55+</v>
      </c>
      <c r="C1376">
        <v>0</v>
      </c>
      <c r="D1376" t="s">
        <v>32</v>
      </c>
      <c r="E1376">
        <v>605</v>
      </c>
      <c r="F1376" t="s">
        <v>33</v>
      </c>
      <c r="G1376">
        <v>21</v>
      </c>
      <c r="H1376" t="s">
        <v>61</v>
      </c>
      <c r="I1376" t="s">
        <v>35</v>
      </c>
      <c r="J1376" t="s">
        <v>41</v>
      </c>
      <c r="K1376" t="s">
        <v>37</v>
      </c>
      <c r="L1376">
        <v>72</v>
      </c>
      <c r="M1376" t="s">
        <v>38</v>
      </c>
      <c r="N1376" t="s">
        <v>67</v>
      </c>
      <c r="O1376" t="s">
        <v>68</v>
      </c>
      <c r="P1376" t="s">
        <v>41</v>
      </c>
      <c r="Q1376" t="s">
        <v>52</v>
      </c>
      <c r="R1376">
        <v>17875</v>
      </c>
      <c r="S1376">
        <v>11761</v>
      </c>
      <c r="T1376">
        <v>4</v>
      </c>
      <c r="U1376" t="s">
        <v>31</v>
      </c>
      <c r="V1376">
        <v>13</v>
      </c>
      <c r="W1376" t="s">
        <v>43</v>
      </c>
      <c r="X1376" t="s">
        <v>38</v>
      </c>
      <c r="Y1376">
        <v>1</v>
      </c>
      <c r="Z1376">
        <v>29</v>
      </c>
      <c r="AA1376">
        <v>2</v>
      </c>
      <c r="AB1376" t="s">
        <v>60</v>
      </c>
      <c r="AC1376">
        <v>1</v>
      </c>
      <c r="AD1376" t="str" cm="1">
        <f t="array" ref="AD1376">_xlfn.IFS(AC1376&lt;=5,"0-5",AC1376&lt;=10,"5-10",AC1376&lt;=40,"10-40")</f>
        <v>0-5</v>
      </c>
      <c r="AE1376">
        <v>0</v>
      </c>
      <c r="AF1376">
        <v>0</v>
      </c>
      <c r="AG1376">
        <v>0</v>
      </c>
      <c r="AH1376">
        <v>1375</v>
      </c>
    </row>
    <row r="1377" spans="1:34" x14ac:dyDescent="0.3">
      <c r="A1377">
        <v>32</v>
      </c>
      <c r="B1377" t="str" cm="1">
        <f t="array" ref="B1377">_xlfn.IFS(A1377&lt;=25,"18-25",A1377&lt;=35,"26-35",A1377&lt;=45,"36-45",A1377&lt;=55,"46-55",A1377&gt;55,"55+")</f>
        <v>26-35</v>
      </c>
      <c r="C1377">
        <v>1</v>
      </c>
      <c r="D1377" t="s">
        <v>47</v>
      </c>
      <c r="E1377">
        <v>238</v>
      </c>
      <c r="F1377" t="s">
        <v>48</v>
      </c>
      <c r="G1377">
        <v>5</v>
      </c>
      <c r="H1377" t="s">
        <v>34</v>
      </c>
      <c r="I1377" t="s">
        <v>35</v>
      </c>
      <c r="J1377" t="s">
        <v>44</v>
      </c>
      <c r="K1377" t="s">
        <v>37</v>
      </c>
      <c r="L1377">
        <v>47</v>
      </c>
      <c r="M1377" t="s">
        <v>41</v>
      </c>
      <c r="N1377" t="s">
        <v>56</v>
      </c>
      <c r="O1377" t="s">
        <v>51</v>
      </c>
      <c r="P1377" t="s">
        <v>38</v>
      </c>
      <c r="Q1377" t="s">
        <v>42</v>
      </c>
      <c r="R1377">
        <v>2432</v>
      </c>
      <c r="S1377">
        <v>15318</v>
      </c>
      <c r="T1377">
        <v>3</v>
      </c>
      <c r="U1377" t="s">
        <v>31</v>
      </c>
      <c r="V1377">
        <v>14</v>
      </c>
      <c r="W1377" t="s">
        <v>43</v>
      </c>
      <c r="X1377" t="s">
        <v>44</v>
      </c>
      <c r="Y1377">
        <v>0</v>
      </c>
      <c r="Z1377">
        <v>8</v>
      </c>
      <c r="AA1377">
        <v>2</v>
      </c>
      <c r="AB1377" t="s">
        <v>54</v>
      </c>
      <c r="AC1377">
        <v>4</v>
      </c>
      <c r="AD1377" t="str" cm="1">
        <f t="array" ref="AD1377">_xlfn.IFS(AC1377&lt;=5,"0-5",AC1377&lt;=10,"5-10",AC1377&lt;=40,"10-40")</f>
        <v>0-5</v>
      </c>
      <c r="AE1377">
        <v>1</v>
      </c>
      <c r="AF1377">
        <v>0</v>
      </c>
      <c r="AG1377">
        <v>3</v>
      </c>
      <c r="AH1377">
        <v>1376</v>
      </c>
    </row>
    <row r="1378" spans="1:34" x14ac:dyDescent="0.3">
      <c r="A1378">
        <v>38</v>
      </c>
      <c r="B1378" t="str" cm="1">
        <f t="array" ref="B1378">_xlfn.IFS(A1378&lt;=25,"18-25",A1378&lt;=35,"26-35",A1378&lt;=45,"36-45",A1378&lt;=55,"46-55",A1378&gt;55,"55+")</f>
        <v>36-45</v>
      </c>
      <c r="C1378">
        <v>0</v>
      </c>
      <c r="D1378" t="s">
        <v>32</v>
      </c>
      <c r="E1378">
        <v>1206</v>
      </c>
      <c r="F1378" t="s">
        <v>48</v>
      </c>
      <c r="G1378">
        <v>9</v>
      </c>
      <c r="H1378" t="s">
        <v>34</v>
      </c>
      <c r="I1378" t="s">
        <v>35</v>
      </c>
      <c r="J1378" t="s">
        <v>36</v>
      </c>
      <c r="K1378" t="s">
        <v>50</v>
      </c>
      <c r="L1378">
        <v>71</v>
      </c>
      <c r="M1378" t="s">
        <v>38</v>
      </c>
      <c r="N1378" t="s">
        <v>56</v>
      </c>
      <c r="O1378" t="s">
        <v>51</v>
      </c>
      <c r="P1378" t="s">
        <v>41</v>
      </c>
      <c r="Q1378" t="s">
        <v>62</v>
      </c>
      <c r="R1378">
        <v>4771</v>
      </c>
      <c r="S1378">
        <v>14293</v>
      </c>
      <c r="T1378">
        <v>2</v>
      </c>
      <c r="U1378" t="s">
        <v>46</v>
      </c>
      <c r="V1378">
        <v>19</v>
      </c>
      <c r="W1378" t="s">
        <v>43</v>
      </c>
      <c r="X1378" t="s">
        <v>41</v>
      </c>
      <c r="Y1378">
        <v>2</v>
      </c>
      <c r="Z1378">
        <v>10</v>
      </c>
      <c r="AA1378">
        <v>0</v>
      </c>
      <c r="AB1378" t="s">
        <v>73</v>
      </c>
      <c r="AC1378">
        <v>5</v>
      </c>
      <c r="AD1378" t="str" cm="1">
        <f t="array" ref="AD1378">_xlfn.IFS(AC1378&lt;=5,"0-5",AC1378&lt;=10,"5-10",AC1378&lt;=40,"10-40")</f>
        <v>0-5</v>
      </c>
      <c r="AE1378">
        <v>2</v>
      </c>
      <c r="AF1378">
        <v>0</v>
      </c>
      <c r="AG1378">
        <v>3</v>
      </c>
      <c r="AH1378">
        <v>1377</v>
      </c>
    </row>
    <row r="1379" spans="1:34" x14ac:dyDescent="0.3">
      <c r="A1379">
        <v>49</v>
      </c>
      <c r="B1379" t="str" cm="1">
        <f t="array" ref="B1379">_xlfn.IFS(A1379&lt;=25,"18-25",A1379&lt;=35,"26-35",A1379&lt;=45,"36-45",A1379&lt;=55,"46-55",A1379&gt;55,"55+")</f>
        <v>46-55</v>
      </c>
      <c r="C1379">
        <v>0</v>
      </c>
      <c r="D1379" t="s">
        <v>47</v>
      </c>
      <c r="E1379">
        <v>1064</v>
      </c>
      <c r="F1379" t="s">
        <v>48</v>
      </c>
      <c r="G1379">
        <v>2</v>
      </c>
      <c r="H1379" t="s">
        <v>49</v>
      </c>
      <c r="I1379" t="s">
        <v>35</v>
      </c>
      <c r="J1379" t="s">
        <v>36</v>
      </c>
      <c r="K1379" t="s">
        <v>50</v>
      </c>
      <c r="L1379">
        <v>42</v>
      </c>
      <c r="M1379" t="s">
        <v>38</v>
      </c>
      <c r="N1379" t="s">
        <v>71</v>
      </c>
      <c r="O1379" t="s">
        <v>70</v>
      </c>
      <c r="P1379" t="s">
        <v>41</v>
      </c>
      <c r="Q1379" t="s">
        <v>52</v>
      </c>
      <c r="R1379">
        <v>19161</v>
      </c>
      <c r="S1379">
        <v>13738</v>
      </c>
      <c r="T1379">
        <v>3</v>
      </c>
      <c r="U1379" t="s">
        <v>46</v>
      </c>
      <c r="V1379">
        <v>15</v>
      </c>
      <c r="W1379" t="s">
        <v>43</v>
      </c>
      <c r="X1379" t="s">
        <v>41</v>
      </c>
      <c r="Y1379">
        <v>0</v>
      </c>
      <c r="Z1379">
        <v>28</v>
      </c>
      <c r="AA1379">
        <v>3</v>
      </c>
      <c r="AB1379" t="s">
        <v>54</v>
      </c>
      <c r="AC1379">
        <v>5</v>
      </c>
      <c r="AD1379" t="str" cm="1">
        <f t="array" ref="AD1379">_xlfn.IFS(AC1379&lt;=5,"0-5",AC1379&lt;=10,"5-10",AC1379&lt;=40,"10-40")</f>
        <v>0-5</v>
      </c>
      <c r="AE1379">
        <v>4</v>
      </c>
      <c r="AF1379">
        <v>4</v>
      </c>
      <c r="AG1379">
        <v>3</v>
      </c>
      <c r="AH1379">
        <v>1378</v>
      </c>
    </row>
    <row r="1380" spans="1:34" x14ac:dyDescent="0.3">
      <c r="A1380">
        <v>42</v>
      </c>
      <c r="B1380" t="str" cm="1">
        <f t="array" ref="B1380">_xlfn.IFS(A1380&lt;=25,"18-25",A1380&lt;=35,"26-35",A1380&lt;=45,"36-45",A1380&lt;=55,"46-55",A1380&gt;55,"55+")</f>
        <v>36-45</v>
      </c>
      <c r="C1380">
        <v>0</v>
      </c>
      <c r="D1380" t="s">
        <v>32</v>
      </c>
      <c r="E1380">
        <v>419</v>
      </c>
      <c r="F1380" t="s">
        <v>33</v>
      </c>
      <c r="G1380">
        <v>12</v>
      </c>
      <c r="H1380" t="s">
        <v>58</v>
      </c>
      <c r="I1380" t="s">
        <v>72</v>
      </c>
      <c r="J1380" t="s">
        <v>36</v>
      </c>
      <c r="K1380" t="s">
        <v>50</v>
      </c>
      <c r="L1380">
        <v>77</v>
      </c>
      <c r="M1380" t="s">
        <v>38</v>
      </c>
      <c r="N1380" t="s">
        <v>39</v>
      </c>
      <c r="O1380" t="s">
        <v>40</v>
      </c>
      <c r="P1380" t="s">
        <v>41</v>
      </c>
      <c r="Q1380" t="s">
        <v>62</v>
      </c>
      <c r="R1380">
        <v>5087</v>
      </c>
      <c r="S1380">
        <v>2900</v>
      </c>
      <c r="T1380">
        <v>3</v>
      </c>
      <c r="U1380" t="s">
        <v>31</v>
      </c>
      <c r="V1380">
        <v>12</v>
      </c>
      <c r="W1380" t="s">
        <v>43</v>
      </c>
      <c r="X1380" t="s">
        <v>38</v>
      </c>
      <c r="Y1380">
        <v>2</v>
      </c>
      <c r="Z1380">
        <v>14</v>
      </c>
      <c r="AA1380">
        <v>4</v>
      </c>
      <c r="AB1380" t="s">
        <v>54</v>
      </c>
      <c r="AC1380">
        <v>0</v>
      </c>
      <c r="AD1380" t="str" cm="1">
        <f t="array" ref="AD1380">_xlfn.IFS(AC1380&lt;=5,"0-5",AC1380&lt;=10,"5-10",AC1380&lt;=40,"10-40")</f>
        <v>0-5</v>
      </c>
      <c r="AE1380">
        <v>0</v>
      </c>
      <c r="AF1380">
        <v>0</v>
      </c>
      <c r="AG1380">
        <v>0</v>
      </c>
      <c r="AH1380">
        <v>1379</v>
      </c>
    </row>
    <row r="1381" spans="1:34" x14ac:dyDescent="0.3">
      <c r="A1381">
        <v>27</v>
      </c>
      <c r="B1381" t="str" cm="1">
        <f t="array" ref="B1381">_xlfn.IFS(A1381&lt;=25,"18-25",A1381&lt;=35,"26-35",A1381&lt;=45,"36-45",A1381&lt;=55,"46-55",A1381&gt;55,"55+")</f>
        <v>26-35</v>
      </c>
      <c r="C1381">
        <v>1</v>
      </c>
      <c r="D1381" t="s">
        <v>47</v>
      </c>
      <c r="E1381">
        <v>1337</v>
      </c>
      <c r="F1381" t="s">
        <v>76</v>
      </c>
      <c r="G1381">
        <v>22</v>
      </c>
      <c r="H1381" t="s">
        <v>61</v>
      </c>
      <c r="I1381" t="s">
        <v>76</v>
      </c>
      <c r="J1381" t="s">
        <v>44</v>
      </c>
      <c r="K1381" t="s">
        <v>37</v>
      </c>
      <c r="L1381">
        <v>58</v>
      </c>
      <c r="M1381" t="s">
        <v>36</v>
      </c>
      <c r="N1381" t="s">
        <v>56</v>
      </c>
      <c r="O1381" t="s">
        <v>76</v>
      </c>
      <c r="P1381" t="s">
        <v>36</v>
      </c>
      <c r="Q1381" t="s">
        <v>52</v>
      </c>
      <c r="R1381">
        <v>2863</v>
      </c>
      <c r="S1381">
        <v>19555</v>
      </c>
      <c r="T1381">
        <v>1</v>
      </c>
      <c r="U1381" t="s">
        <v>46</v>
      </c>
      <c r="V1381">
        <v>12</v>
      </c>
      <c r="W1381" t="s">
        <v>43</v>
      </c>
      <c r="X1381" t="s">
        <v>44</v>
      </c>
      <c r="Y1381">
        <v>0</v>
      </c>
      <c r="Z1381">
        <v>1</v>
      </c>
      <c r="AA1381">
        <v>2</v>
      </c>
      <c r="AB1381" t="s">
        <v>54</v>
      </c>
      <c r="AC1381">
        <v>1</v>
      </c>
      <c r="AD1381" t="str" cm="1">
        <f t="array" ref="AD1381">_xlfn.IFS(AC1381&lt;=5,"0-5",AC1381&lt;=10,"5-10",AC1381&lt;=40,"10-40")</f>
        <v>0-5</v>
      </c>
      <c r="AE1381">
        <v>0</v>
      </c>
      <c r="AF1381">
        <v>0</v>
      </c>
      <c r="AG1381">
        <v>0</v>
      </c>
      <c r="AH1381">
        <v>1380</v>
      </c>
    </row>
    <row r="1382" spans="1:34" x14ac:dyDescent="0.3">
      <c r="A1382">
        <v>35</v>
      </c>
      <c r="B1382" t="str" cm="1">
        <f t="array" ref="B1382">_xlfn.IFS(A1382&lt;=25,"18-25",A1382&lt;=35,"26-35",A1382&lt;=45,"36-45",A1382&lt;=55,"46-55",A1382&gt;55,"55+")</f>
        <v>26-35</v>
      </c>
      <c r="C1382">
        <v>0</v>
      </c>
      <c r="D1382" t="s">
        <v>32</v>
      </c>
      <c r="E1382">
        <v>682</v>
      </c>
      <c r="F1382" t="s">
        <v>33</v>
      </c>
      <c r="G1382">
        <v>18</v>
      </c>
      <c r="H1382" t="s">
        <v>58</v>
      </c>
      <c r="I1382" t="s">
        <v>59</v>
      </c>
      <c r="J1382" t="s">
        <v>36</v>
      </c>
      <c r="K1382" t="s">
        <v>50</v>
      </c>
      <c r="L1382">
        <v>71</v>
      </c>
      <c r="M1382" t="s">
        <v>38</v>
      </c>
      <c r="N1382" t="s">
        <v>39</v>
      </c>
      <c r="O1382" t="s">
        <v>40</v>
      </c>
      <c r="P1382" t="s">
        <v>44</v>
      </c>
      <c r="Q1382" t="s">
        <v>52</v>
      </c>
      <c r="R1382">
        <v>5561</v>
      </c>
      <c r="S1382">
        <v>15975</v>
      </c>
      <c r="T1382">
        <v>0</v>
      </c>
      <c r="U1382" t="s">
        <v>46</v>
      </c>
      <c r="V1382">
        <v>16</v>
      </c>
      <c r="W1382" t="s">
        <v>43</v>
      </c>
      <c r="X1382" t="s">
        <v>41</v>
      </c>
      <c r="Y1382">
        <v>1</v>
      </c>
      <c r="Z1382">
        <v>6</v>
      </c>
      <c r="AA1382">
        <v>2</v>
      </c>
      <c r="AB1382" t="s">
        <v>45</v>
      </c>
      <c r="AC1382">
        <v>5</v>
      </c>
      <c r="AD1382" t="str" cm="1">
        <f t="array" ref="AD1382">_xlfn.IFS(AC1382&lt;=5,"0-5",AC1382&lt;=10,"5-10",AC1382&lt;=40,"10-40")</f>
        <v>0-5</v>
      </c>
      <c r="AE1382">
        <v>3</v>
      </c>
      <c r="AF1382">
        <v>0</v>
      </c>
      <c r="AG1382">
        <v>4</v>
      </c>
      <c r="AH1382">
        <v>1381</v>
      </c>
    </row>
    <row r="1383" spans="1:34" x14ac:dyDescent="0.3">
      <c r="A1383">
        <v>28</v>
      </c>
      <c r="B1383" t="str" cm="1">
        <f t="array" ref="B1383">_xlfn.IFS(A1383&lt;=25,"18-25",A1383&lt;=35,"26-35",A1383&lt;=45,"36-45",A1383&lt;=55,"46-55",A1383&gt;55,"55+")</f>
        <v>26-35</v>
      </c>
      <c r="C1383">
        <v>0</v>
      </c>
      <c r="D1383" t="s">
        <v>66</v>
      </c>
      <c r="E1383">
        <v>1103</v>
      </c>
      <c r="F1383" t="s">
        <v>48</v>
      </c>
      <c r="G1383">
        <v>16</v>
      </c>
      <c r="H1383" t="s">
        <v>61</v>
      </c>
      <c r="I1383" t="s">
        <v>59</v>
      </c>
      <c r="J1383" t="s">
        <v>38</v>
      </c>
      <c r="K1383" t="s">
        <v>50</v>
      </c>
      <c r="L1383">
        <v>49</v>
      </c>
      <c r="M1383" t="s">
        <v>38</v>
      </c>
      <c r="N1383" t="s">
        <v>56</v>
      </c>
      <c r="O1383" t="s">
        <v>51</v>
      </c>
      <c r="P1383" t="s">
        <v>38</v>
      </c>
      <c r="Q1383" t="s">
        <v>42</v>
      </c>
      <c r="R1383">
        <v>2144</v>
      </c>
      <c r="S1383">
        <v>2122</v>
      </c>
      <c r="T1383">
        <v>1</v>
      </c>
      <c r="U1383" t="s">
        <v>46</v>
      </c>
      <c r="V1383">
        <v>14</v>
      </c>
      <c r="W1383" t="s">
        <v>43</v>
      </c>
      <c r="X1383" t="s">
        <v>38</v>
      </c>
      <c r="Y1383">
        <v>0</v>
      </c>
      <c r="Z1383">
        <v>5</v>
      </c>
      <c r="AA1383">
        <v>3</v>
      </c>
      <c r="AB1383" t="s">
        <v>60</v>
      </c>
      <c r="AC1383">
        <v>5</v>
      </c>
      <c r="AD1383" t="str" cm="1">
        <f t="array" ref="AD1383">_xlfn.IFS(AC1383&lt;=5,"0-5",AC1383&lt;=10,"5-10",AC1383&lt;=40,"10-40")</f>
        <v>0-5</v>
      </c>
      <c r="AE1383">
        <v>3</v>
      </c>
      <c r="AF1383">
        <v>1</v>
      </c>
      <c r="AG1383">
        <v>4</v>
      </c>
      <c r="AH1383">
        <v>1382</v>
      </c>
    </row>
    <row r="1384" spans="1:34" x14ac:dyDescent="0.3">
      <c r="A1384">
        <v>31</v>
      </c>
      <c r="B1384" t="str" cm="1">
        <f t="array" ref="B1384">_xlfn.IFS(A1384&lt;=25,"18-25",A1384&lt;=35,"26-35",A1384&lt;=45,"36-45",A1384&lt;=55,"46-55",A1384&gt;55,"55+")</f>
        <v>26-35</v>
      </c>
      <c r="C1384">
        <v>0</v>
      </c>
      <c r="D1384" t="s">
        <v>66</v>
      </c>
      <c r="E1384">
        <v>976</v>
      </c>
      <c r="F1384" t="s">
        <v>48</v>
      </c>
      <c r="G1384">
        <v>3</v>
      </c>
      <c r="H1384" t="s">
        <v>34</v>
      </c>
      <c r="I1384" t="s">
        <v>59</v>
      </c>
      <c r="J1384" t="s">
        <v>38</v>
      </c>
      <c r="K1384" t="s">
        <v>50</v>
      </c>
      <c r="L1384">
        <v>48</v>
      </c>
      <c r="M1384" t="s">
        <v>38</v>
      </c>
      <c r="N1384" t="s">
        <v>56</v>
      </c>
      <c r="O1384" t="s">
        <v>51</v>
      </c>
      <c r="P1384" t="s">
        <v>44</v>
      </c>
      <c r="Q1384" t="s">
        <v>62</v>
      </c>
      <c r="R1384">
        <v>3065</v>
      </c>
      <c r="S1384">
        <v>3995</v>
      </c>
      <c r="T1384">
        <v>1</v>
      </c>
      <c r="U1384" t="s">
        <v>31</v>
      </c>
      <c r="V1384">
        <v>13</v>
      </c>
      <c r="W1384" t="s">
        <v>43</v>
      </c>
      <c r="X1384" t="s">
        <v>41</v>
      </c>
      <c r="Y1384">
        <v>1</v>
      </c>
      <c r="Z1384">
        <v>4</v>
      </c>
      <c r="AA1384">
        <v>3</v>
      </c>
      <c r="AB1384" t="s">
        <v>73</v>
      </c>
      <c r="AC1384">
        <v>4</v>
      </c>
      <c r="AD1384" t="str" cm="1">
        <f t="array" ref="AD1384">_xlfn.IFS(AC1384&lt;=5,"0-5",AC1384&lt;=10,"5-10",AC1384&lt;=40,"10-40")</f>
        <v>0-5</v>
      </c>
      <c r="AE1384">
        <v>2</v>
      </c>
      <c r="AF1384">
        <v>2</v>
      </c>
      <c r="AG1384">
        <v>3</v>
      </c>
      <c r="AH1384">
        <v>1383</v>
      </c>
    </row>
    <row r="1385" spans="1:34" x14ac:dyDescent="0.3">
      <c r="A1385">
        <v>36</v>
      </c>
      <c r="B1385" t="str" cm="1">
        <f t="array" ref="B1385">_xlfn.IFS(A1385&lt;=25,"18-25",A1385&lt;=35,"26-35",A1385&lt;=45,"36-45",A1385&lt;=55,"46-55",A1385&gt;55,"55+")</f>
        <v>36-45</v>
      </c>
      <c r="C1385">
        <v>0</v>
      </c>
      <c r="D1385" t="s">
        <v>66</v>
      </c>
      <c r="E1385">
        <v>1351</v>
      </c>
      <c r="F1385" t="s">
        <v>48</v>
      </c>
      <c r="G1385">
        <v>9</v>
      </c>
      <c r="H1385" t="s">
        <v>58</v>
      </c>
      <c r="I1385" t="s">
        <v>35</v>
      </c>
      <c r="J1385" t="s">
        <v>44</v>
      </c>
      <c r="K1385" t="s">
        <v>50</v>
      </c>
      <c r="L1385">
        <v>66</v>
      </c>
      <c r="M1385" t="s">
        <v>41</v>
      </c>
      <c r="N1385" t="s">
        <v>56</v>
      </c>
      <c r="O1385" t="s">
        <v>57</v>
      </c>
      <c r="P1385" t="s">
        <v>36</v>
      </c>
      <c r="Q1385" t="s">
        <v>52</v>
      </c>
      <c r="R1385">
        <v>2810</v>
      </c>
      <c r="S1385">
        <v>9238</v>
      </c>
      <c r="T1385">
        <v>1</v>
      </c>
      <c r="U1385" t="s">
        <v>46</v>
      </c>
      <c r="V1385">
        <v>22</v>
      </c>
      <c r="W1385" t="s">
        <v>53</v>
      </c>
      <c r="X1385" t="s">
        <v>36</v>
      </c>
      <c r="Y1385">
        <v>0</v>
      </c>
      <c r="Z1385">
        <v>5</v>
      </c>
      <c r="AA1385">
        <v>3</v>
      </c>
      <c r="AB1385" t="s">
        <v>54</v>
      </c>
      <c r="AC1385">
        <v>5</v>
      </c>
      <c r="AD1385" t="str" cm="1">
        <f t="array" ref="AD1385">_xlfn.IFS(AC1385&lt;=5,"0-5",AC1385&lt;=10,"5-10",AC1385&lt;=40,"10-40")</f>
        <v>0-5</v>
      </c>
      <c r="AE1385">
        <v>4</v>
      </c>
      <c r="AF1385">
        <v>0</v>
      </c>
      <c r="AG1385">
        <v>2</v>
      </c>
      <c r="AH1385">
        <v>1384</v>
      </c>
    </row>
    <row r="1386" spans="1:34" x14ac:dyDescent="0.3">
      <c r="A1386">
        <v>34</v>
      </c>
      <c r="B1386" t="str" cm="1">
        <f t="array" ref="B1386">_xlfn.IFS(A1386&lt;=25,"18-25",A1386&lt;=35,"26-35",A1386&lt;=45,"36-45",A1386&lt;=55,"46-55",A1386&gt;55,"55+")</f>
        <v>26-35</v>
      </c>
      <c r="C1386">
        <v>0</v>
      </c>
      <c r="D1386" t="s">
        <v>32</v>
      </c>
      <c r="E1386">
        <v>937</v>
      </c>
      <c r="F1386" t="s">
        <v>33</v>
      </c>
      <c r="G1386">
        <v>1</v>
      </c>
      <c r="H1386" t="s">
        <v>61</v>
      </c>
      <c r="I1386" t="s">
        <v>72</v>
      </c>
      <c r="J1386" t="s">
        <v>44</v>
      </c>
      <c r="K1386" t="s">
        <v>50</v>
      </c>
      <c r="L1386">
        <v>32</v>
      </c>
      <c r="M1386" t="s">
        <v>38</v>
      </c>
      <c r="N1386" t="s">
        <v>63</v>
      </c>
      <c r="O1386" t="s">
        <v>40</v>
      </c>
      <c r="P1386" t="s">
        <v>41</v>
      </c>
      <c r="Q1386" t="s">
        <v>42</v>
      </c>
      <c r="R1386">
        <v>9888</v>
      </c>
      <c r="S1386">
        <v>6770</v>
      </c>
      <c r="T1386">
        <v>1</v>
      </c>
      <c r="U1386" t="s">
        <v>46</v>
      </c>
      <c r="V1386">
        <v>21</v>
      </c>
      <c r="W1386" t="s">
        <v>53</v>
      </c>
      <c r="X1386" t="s">
        <v>44</v>
      </c>
      <c r="Y1386">
        <v>0</v>
      </c>
      <c r="Z1386">
        <v>14</v>
      </c>
      <c r="AA1386">
        <v>3</v>
      </c>
      <c r="AB1386" t="s">
        <v>60</v>
      </c>
      <c r="AC1386">
        <v>14</v>
      </c>
      <c r="AD1386" t="str" cm="1">
        <f t="array" ref="AD1386">_xlfn.IFS(AC1386&lt;=5,"0-5",AC1386&lt;=10,"5-10",AC1386&lt;=40,"10-40")</f>
        <v>10-40</v>
      </c>
      <c r="AE1386">
        <v>8</v>
      </c>
      <c r="AF1386">
        <v>2</v>
      </c>
      <c r="AG1386">
        <v>1</v>
      </c>
      <c r="AH1386">
        <v>1385</v>
      </c>
    </row>
    <row r="1387" spans="1:34" x14ac:dyDescent="0.3">
      <c r="A1387">
        <v>34</v>
      </c>
      <c r="B1387" t="str" cm="1">
        <f t="array" ref="B1387">_xlfn.IFS(A1387&lt;=25,"18-25",A1387&lt;=35,"26-35",A1387&lt;=45,"36-45",A1387&lt;=55,"46-55",A1387&gt;55,"55+")</f>
        <v>26-35</v>
      </c>
      <c r="C1387">
        <v>0</v>
      </c>
      <c r="D1387" t="s">
        <v>32</v>
      </c>
      <c r="E1387">
        <v>1239</v>
      </c>
      <c r="F1387" t="s">
        <v>33</v>
      </c>
      <c r="G1387">
        <v>13</v>
      </c>
      <c r="H1387" t="s">
        <v>58</v>
      </c>
      <c r="I1387" t="s">
        <v>59</v>
      </c>
      <c r="J1387" t="s">
        <v>41</v>
      </c>
      <c r="K1387" t="s">
        <v>50</v>
      </c>
      <c r="L1387">
        <v>39</v>
      </c>
      <c r="M1387" t="s">
        <v>38</v>
      </c>
      <c r="N1387" t="s">
        <v>63</v>
      </c>
      <c r="O1387" t="s">
        <v>40</v>
      </c>
      <c r="P1387" t="s">
        <v>38</v>
      </c>
      <c r="Q1387" t="s">
        <v>62</v>
      </c>
      <c r="R1387">
        <v>8628</v>
      </c>
      <c r="S1387">
        <v>22914</v>
      </c>
      <c r="T1387">
        <v>1</v>
      </c>
      <c r="U1387" t="s">
        <v>46</v>
      </c>
      <c r="V1387">
        <v>18</v>
      </c>
      <c r="W1387" t="s">
        <v>43</v>
      </c>
      <c r="X1387" t="s">
        <v>38</v>
      </c>
      <c r="Y1387">
        <v>1</v>
      </c>
      <c r="Z1387">
        <v>9</v>
      </c>
      <c r="AA1387">
        <v>2</v>
      </c>
      <c r="AB1387" t="s">
        <v>60</v>
      </c>
      <c r="AC1387">
        <v>8</v>
      </c>
      <c r="AD1387" t="str" cm="1">
        <f t="array" ref="AD1387">_xlfn.IFS(AC1387&lt;=5,"0-5",AC1387&lt;=10,"5-10",AC1387&lt;=40,"10-40")</f>
        <v>5-10</v>
      </c>
      <c r="AE1387">
        <v>7</v>
      </c>
      <c r="AF1387">
        <v>1</v>
      </c>
      <c r="AG1387">
        <v>1</v>
      </c>
      <c r="AH1387">
        <v>1386</v>
      </c>
    </row>
    <row r="1388" spans="1:34" x14ac:dyDescent="0.3">
      <c r="A1388">
        <v>26</v>
      </c>
      <c r="B1388" t="str" cm="1">
        <f t="array" ref="B1388">_xlfn.IFS(A1388&lt;=25,"18-25",A1388&lt;=35,"26-35",A1388&lt;=45,"36-45",A1388&lt;=55,"46-55",A1388&gt;55,"55+")</f>
        <v>26-35</v>
      </c>
      <c r="C1388">
        <v>0</v>
      </c>
      <c r="D1388" t="s">
        <v>32</v>
      </c>
      <c r="E1388">
        <v>157</v>
      </c>
      <c r="F1388" t="s">
        <v>48</v>
      </c>
      <c r="G1388">
        <v>1</v>
      </c>
      <c r="H1388" t="s">
        <v>61</v>
      </c>
      <c r="I1388" t="s">
        <v>59</v>
      </c>
      <c r="J1388" t="s">
        <v>38</v>
      </c>
      <c r="K1388" t="s">
        <v>50</v>
      </c>
      <c r="L1388">
        <v>95</v>
      </c>
      <c r="M1388" t="s">
        <v>38</v>
      </c>
      <c r="N1388" t="s">
        <v>56</v>
      </c>
      <c r="O1388" t="s">
        <v>57</v>
      </c>
      <c r="P1388" t="s">
        <v>44</v>
      </c>
      <c r="Q1388" t="s">
        <v>42</v>
      </c>
      <c r="R1388">
        <v>2867</v>
      </c>
      <c r="S1388">
        <v>20006</v>
      </c>
      <c r="T1388">
        <v>0</v>
      </c>
      <c r="U1388" t="s">
        <v>46</v>
      </c>
      <c r="V1388">
        <v>13</v>
      </c>
      <c r="W1388" t="s">
        <v>43</v>
      </c>
      <c r="X1388" t="s">
        <v>41</v>
      </c>
      <c r="Y1388">
        <v>0</v>
      </c>
      <c r="Z1388">
        <v>8</v>
      </c>
      <c r="AA1388">
        <v>6</v>
      </c>
      <c r="AB1388" t="s">
        <v>60</v>
      </c>
      <c r="AC1388">
        <v>7</v>
      </c>
      <c r="AD1388" t="str" cm="1">
        <f t="array" ref="AD1388">_xlfn.IFS(AC1388&lt;=5,"0-5",AC1388&lt;=10,"5-10",AC1388&lt;=40,"10-40")</f>
        <v>5-10</v>
      </c>
      <c r="AE1388">
        <v>7</v>
      </c>
      <c r="AF1388">
        <v>7</v>
      </c>
      <c r="AG1388">
        <v>6</v>
      </c>
      <c r="AH1388">
        <v>1387</v>
      </c>
    </row>
    <row r="1389" spans="1:34" x14ac:dyDescent="0.3">
      <c r="A1389">
        <v>29</v>
      </c>
      <c r="B1389" t="str" cm="1">
        <f t="array" ref="B1389">_xlfn.IFS(A1389&lt;=25,"18-25",A1389&lt;=35,"26-35",A1389&lt;=45,"36-45",A1389&lt;=55,"46-55",A1389&gt;55,"55+")</f>
        <v>26-35</v>
      </c>
      <c r="C1389">
        <v>0</v>
      </c>
      <c r="D1389" t="s">
        <v>32</v>
      </c>
      <c r="E1389">
        <v>136</v>
      </c>
      <c r="F1389" t="s">
        <v>48</v>
      </c>
      <c r="G1389">
        <v>1</v>
      </c>
      <c r="H1389" t="s">
        <v>61</v>
      </c>
      <c r="I1389" t="s">
        <v>35</v>
      </c>
      <c r="J1389" t="s">
        <v>44</v>
      </c>
      <c r="K1389" t="s">
        <v>50</v>
      </c>
      <c r="L1389">
        <v>89</v>
      </c>
      <c r="M1389" t="s">
        <v>38</v>
      </c>
      <c r="N1389" t="s">
        <v>39</v>
      </c>
      <c r="O1389" t="s">
        <v>65</v>
      </c>
      <c r="P1389" t="s">
        <v>44</v>
      </c>
      <c r="Q1389" t="s">
        <v>52</v>
      </c>
      <c r="R1389">
        <v>5373</v>
      </c>
      <c r="S1389">
        <v>6225</v>
      </c>
      <c r="T1389">
        <v>0</v>
      </c>
      <c r="U1389" t="s">
        <v>46</v>
      </c>
      <c r="V1389">
        <v>12</v>
      </c>
      <c r="W1389" t="s">
        <v>43</v>
      </c>
      <c r="X1389" t="s">
        <v>44</v>
      </c>
      <c r="Y1389">
        <v>1</v>
      </c>
      <c r="Z1389">
        <v>6</v>
      </c>
      <c r="AA1389">
        <v>5</v>
      </c>
      <c r="AB1389" t="s">
        <v>60</v>
      </c>
      <c r="AC1389">
        <v>5</v>
      </c>
      <c r="AD1389" t="str" cm="1">
        <f t="array" ref="AD1389">_xlfn.IFS(AC1389&lt;=5,"0-5",AC1389&lt;=10,"5-10",AC1389&lt;=40,"10-40")</f>
        <v>0-5</v>
      </c>
      <c r="AE1389">
        <v>3</v>
      </c>
      <c r="AF1389">
        <v>0</v>
      </c>
      <c r="AG1389">
        <v>2</v>
      </c>
      <c r="AH1389">
        <v>1388</v>
      </c>
    </row>
    <row r="1390" spans="1:34" x14ac:dyDescent="0.3">
      <c r="A1390">
        <v>32</v>
      </c>
      <c r="B1390" t="str" cm="1">
        <f t="array" ref="B1390">_xlfn.IFS(A1390&lt;=25,"18-25",A1390&lt;=35,"26-35",A1390&lt;=45,"36-45",A1390&lt;=55,"46-55",A1390&gt;55,"55+")</f>
        <v>26-35</v>
      </c>
      <c r="C1390">
        <v>0</v>
      </c>
      <c r="D1390" t="s">
        <v>66</v>
      </c>
      <c r="E1390">
        <v>1146</v>
      </c>
      <c r="F1390" t="s">
        <v>48</v>
      </c>
      <c r="G1390">
        <v>15</v>
      </c>
      <c r="H1390" t="s">
        <v>58</v>
      </c>
      <c r="I1390" t="s">
        <v>59</v>
      </c>
      <c r="J1390" t="s">
        <v>38</v>
      </c>
      <c r="K1390" t="s">
        <v>37</v>
      </c>
      <c r="L1390">
        <v>34</v>
      </c>
      <c r="M1390" t="s">
        <v>38</v>
      </c>
      <c r="N1390" t="s">
        <v>39</v>
      </c>
      <c r="O1390" t="s">
        <v>65</v>
      </c>
      <c r="P1390" t="s">
        <v>41</v>
      </c>
      <c r="Q1390" t="s">
        <v>62</v>
      </c>
      <c r="R1390">
        <v>6667</v>
      </c>
      <c r="S1390">
        <v>16542</v>
      </c>
      <c r="T1390">
        <v>5</v>
      </c>
      <c r="U1390" t="s">
        <v>46</v>
      </c>
      <c r="V1390">
        <v>18</v>
      </c>
      <c r="W1390" t="s">
        <v>43</v>
      </c>
      <c r="X1390" t="s">
        <v>36</v>
      </c>
      <c r="Y1390">
        <v>1</v>
      </c>
      <c r="Z1390">
        <v>9</v>
      </c>
      <c r="AA1390">
        <v>6</v>
      </c>
      <c r="AB1390" t="s">
        <v>54</v>
      </c>
      <c r="AC1390">
        <v>5</v>
      </c>
      <c r="AD1390" t="str" cm="1">
        <f t="array" ref="AD1390">_xlfn.IFS(AC1390&lt;=5,"0-5",AC1390&lt;=10,"5-10",AC1390&lt;=40,"10-40")</f>
        <v>0-5</v>
      </c>
      <c r="AE1390">
        <v>1</v>
      </c>
      <c r="AF1390">
        <v>1</v>
      </c>
      <c r="AG1390">
        <v>2</v>
      </c>
      <c r="AH1390">
        <v>1389</v>
      </c>
    </row>
    <row r="1391" spans="1:34" x14ac:dyDescent="0.3">
      <c r="A1391">
        <v>31</v>
      </c>
      <c r="B1391" t="str" cm="1">
        <f t="array" ref="B1391">_xlfn.IFS(A1391&lt;=25,"18-25",A1391&lt;=35,"26-35",A1391&lt;=45,"36-45",A1391&lt;=55,"46-55",A1391&gt;55,"55+")</f>
        <v>26-35</v>
      </c>
      <c r="C1391">
        <v>0</v>
      </c>
      <c r="D1391" t="s">
        <v>47</v>
      </c>
      <c r="E1391">
        <v>1125</v>
      </c>
      <c r="F1391" t="s">
        <v>48</v>
      </c>
      <c r="G1391">
        <v>1</v>
      </c>
      <c r="H1391" t="s">
        <v>61</v>
      </c>
      <c r="I1391" t="s">
        <v>35</v>
      </c>
      <c r="J1391" t="s">
        <v>41</v>
      </c>
      <c r="K1391" t="s">
        <v>50</v>
      </c>
      <c r="L1391">
        <v>48</v>
      </c>
      <c r="M1391" t="s">
        <v>44</v>
      </c>
      <c r="N1391" t="s">
        <v>39</v>
      </c>
      <c r="O1391" t="s">
        <v>51</v>
      </c>
      <c r="P1391" t="s">
        <v>44</v>
      </c>
      <c r="Q1391" t="s">
        <v>52</v>
      </c>
      <c r="R1391">
        <v>5003</v>
      </c>
      <c r="S1391">
        <v>5771</v>
      </c>
      <c r="T1391">
        <v>1</v>
      </c>
      <c r="U1391" t="s">
        <v>46</v>
      </c>
      <c r="V1391">
        <v>21</v>
      </c>
      <c r="W1391" t="s">
        <v>53</v>
      </c>
      <c r="X1391" t="s">
        <v>36</v>
      </c>
      <c r="Y1391">
        <v>0</v>
      </c>
      <c r="Z1391">
        <v>10</v>
      </c>
      <c r="AA1391">
        <v>6</v>
      </c>
      <c r="AB1391" t="s">
        <v>54</v>
      </c>
      <c r="AC1391">
        <v>10</v>
      </c>
      <c r="AD1391" t="str" cm="1">
        <f t="array" ref="AD1391">_xlfn.IFS(AC1391&lt;=5,"0-5",AC1391&lt;=10,"5-10",AC1391&lt;=40,"10-40")</f>
        <v>5-10</v>
      </c>
      <c r="AE1391">
        <v>8</v>
      </c>
      <c r="AF1391">
        <v>8</v>
      </c>
      <c r="AG1391">
        <v>7</v>
      </c>
      <c r="AH1391">
        <v>1390</v>
      </c>
    </row>
    <row r="1392" spans="1:34" x14ac:dyDescent="0.3">
      <c r="A1392">
        <v>28</v>
      </c>
      <c r="B1392" t="str" cm="1">
        <f t="array" ref="B1392">_xlfn.IFS(A1392&lt;=25,"18-25",A1392&lt;=35,"26-35",A1392&lt;=45,"36-45",A1392&lt;=55,"46-55",A1392&gt;55,"55+")</f>
        <v>26-35</v>
      </c>
      <c r="C1392">
        <v>1</v>
      </c>
      <c r="D1392" t="s">
        <v>32</v>
      </c>
      <c r="E1392">
        <v>1404</v>
      </c>
      <c r="F1392" t="s">
        <v>48</v>
      </c>
      <c r="G1392">
        <v>17</v>
      </c>
      <c r="H1392" t="s">
        <v>61</v>
      </c>
      <c r="I1392" t="s">
        <v>74</v>
      </c>
      <c r="J1392" t="s">
        <v>38</v>
      </c>
      <c r="K1392" t="s">
        <v>50</v>
      </c>
      <c r="L1392">
        <v>32</v>
      </c>
      <c r="M1392" t="s">
        <v>36</v>
      </c>
      <c r="N1392" t="s">
        <v>56</v>
      </c>
      <c r="O1392" t="s">
        <v>57</v>
      </c>
      <c r="P1392" t="s">
        <v>41</v>
      </c>
      <c r="Q1392" t="s">
        <v>62</v>
      </c>
      <c r="R1392">
        <v>2367</v>
      </c>
      <c r="S1392">
        <v>18779</v>
      </c>
      <c r="T1392">
        <v>5</v>
      </c>
      <c r="U1392" t="s">
        <v>46</v>
      </c>
      <c r="V1392">
        <v>12</v>
      </c>
      <c r="W1392" t="s">
        <v>43</v>
      </c>
      <c r="X1392" t="s">
        <v>44</v>
      </c>
      <c r="Y1392">
        <v>1</v>
      </c>
      <c r="Z1392">
        <v>6</v>
      </c>
      <c r="AA1392">
        <v>2</v>
      </c>
      <c r="AB1392" t="s">
        <v>60</v>
      </c>
      <c r="AC1392">
        <v>4</v>
      </c>
      <c r="AD1392" t="str" cm="1">
        <f t="array" ref="AD1392">_xlfn.IFS(AC1392&lt;=5,"0-5",AC1392&lt;=10,"5-10",AC1392&lt;=40,"10-40")</f>
        <v>0-5</v>
      </c>
      <c r="AE1392">
        <v>1</v>
      </c>
      <c r="AF1392">
        <v>0</v>
      </c>
      <c r="AG1392">
        <v>3</v>
      </c>
      <c r="AH1392">
        <v>1391</v>
      </c>
    </row>
    <row r="1393" spans="1:34" x14ac:dyDescent="0.3">
      <c r="A1393">
        <v>38</v>
      </c>
      <c r="B1393" t="str" cm="1">
        <f t="array" ref="B1393">_xlfn.IFS(A1393&lt;=25,"18-25",A1393&lt;=35,"26-35",A1393&lt;=45,"36-45",A1393&lt;=55,"46-55",A1393&gt;55,"55+")</f>
        <v>36-45</v>
      </c>
      <c r="C1393">
        <v>0</v>
      </c>
      <c r="D1393" t="s">
        <v>32</v>
      </c>
      <c r="E1393">
        <v>1404</v>
      </c>
      <c r="F1393" t="s">
        <v>33</v>
      </c>
      <c r="G1393">
        <v>1</v>
      </c>
      <c r="H1393" t="s">
        <v>61</v>
      </c>
      <c r="I1393" t="s">
        <v>35</v>
      </c>
      <c r="J1393" t="s">
        <v>44</v>
      </c>
      <c r="K1393" t="s">
        <v>50</v>
      </c>
      <c r="L1393">
        <v>59</v>
      </c>
      <c r="M1393" t="s">
        <v>36</v>
      </c>
      <c r="N1393" t="s">
        <v>56</v>
      </c>
      <c r="O1393" t="s">
        <v>69</v>
      </c>
      <c r="P1393" t="s">
        <v>44</v>
      </c>
      <c r="Q1393" t="s">
        <v>42</v>
      </c>
      <c r="R1393">
        <v>2858</v>
      </c>
      <c r="S1393">
        <v>11473</v>
      </c>
      <c r="T1393">
        <v>4</v>
      </c>
      <c r="U1393" t="s">
        <v>46</v>
      </c>
      <c r="V1393">
        <v>14</v>
      </c>
      <c r="W1393" t="s">
        <v>43</v>
      </c>
      <c r="X1393" t="s">
        <v>44</v>
      </c>
      <c r="Y1393">
        <v>0</v>
      </c>
      <c r="Z1393">
        <v>20</v>
      </c>
      <c r="AA1393">
        <v>3</v>
      </c>
      <c r="AB1393" t="s">
        <v>60</v>
      </c>
      <c r="AC1393">
        <v>1</v>
      </c>
      <c r="AD1393" t="str" cm="1">
        <f t="array" ref="AD1393">_xlfn.IFS(AC1393&lt;=5,"0-5",AC1393&lt;=10,"5-10",AC1393&lt;=40,"10-40")</f>
        <v>0-5</v>
      </c>
      <c r="AE1393">
        <v>0</v>
      </c>
      <c r="AF1393">
        <v>0</v>
      </c>
      <c r="AG1393">
        <v>0</v>
      </c>
      <c r="AH1393">
        <v>1392</v>
      </c>
    </row>
    <row r="1394" spans="1:34" x14ac:dyDescent="0.3">
      <c r="A1394">
        <v>35</v>
      </c>
      <c r="B1394" t="str" cm="1">
        <f t="array" ref="B1394">_xlfn.IFS(A1394&lt;=25,"18-25",A1394&lt;=35,"26-35",A1394&lt;=45,"36-45",A1394&lt;=55,"46-55",A1394&gt;55,"55+")</f>
        <v>26-35</v>
      </c>
      <c r="C1394">
        <v>0</v>
      </c>
      <c r="D1394" t="s">
        <v>32</v>
      </c>
      <c r="E1394">
        <v>1224</v>
      </c>
      <c r="F1394" t="s">
        <v>33</v>
      </c>
      <c r="G1394">
        <v>7</v>
      </c>
      <c r="H1394" t="s">
        <v>58</v>
      </c>
      <c r="I1394" t="s">
        <v>35</v>
      </c>
      <c r="J1394" t="s">
        <v>38</v>
      </c>
      <c r="K1394" t="s">
        <v>37</v>
      </c>
      <c r="L1394">
        <v>55</v>
      </c>
      <c r="M1394" t="s">
        <v>38</v>
      </c>
      <c r="N1394" t="s">
        <v>39</v>
      </c>
      <c r="O1394" t="s">
        <v>40</v>
      </c>
      <c r="P1394" t="s">
        <v>41</v>
      </c>
      <c r="Q1394" t="s">
        <v>52</v>
      </c>
      <c r="R1394">
        <v>5204</v>
      </c>
      <c r="S1394">
        <v>13586</v>
      </c>
      <c r="T1394">
        <v>1</v>
      </c>
      <c r="U1394" t="s">
        <v>31</v>
      </c>
      <c r="V1394">
        <v>11</v>
      </c>
      <c r="W1394" t="s">
        <v>43</v>
      </c>
      <c r="X1394" t="s">
        <v>41</v>
      </c>
      <c r="Y1394">
        <v>0</v>
      </c>
      <c r="Z1394">
        <v>10</v>
      </c>
      <c r="AA1394">
        <v>2</v>
      </c>
      <c r="AB1394" t="s">
        <v>54</v>
      </c>
      <c r="AC1394">
        <v>10</v>
      </c>
      <c r="AD1394" t="str" cm="1">
        <f t="array" ref="AD1394">_xlfn.IFS(AC1394&lt;=5,"0-5",AC1394&lt;=10,"5-10",AC1394&lt;=40,"10-40")</f>
        <v>5-10</v>
      </c>
      <c r="AE1394">
        <v>8</v>
      </c>
      <c r="AF1394">
        <v>0</v>
      </c>
      <c r="AG1394">
        <v>9</v>
      </c>
      <c r="AH1394">
        <v>1393</v>
      </c>
    </row>
    <row r="1395" spans="1:34" x14ac:dyDescent="0.3">
      <c r="A1395">
        <v>27</v>
      </c>
      <c r="B1395" t="str" cm="1">
        <f t="array" ref="B1395">_xlfn.IFS(A1395&lt;=25,"18-25",A1395&lt;=35,"26-35",A1395&lt;=45,"36-45",A1395&lt;=55,"46-55",A1395&gt;55,"55+")</f>
        <v>26-35</v>
      </c>
      <c r="C1395">
        <v>0</v>
      </c>
      <c r="D1395" t="s">
        <v>32</v>
      </c>
      <c r="E1395">
        <v>954</v>
      </c>
      <c r="F1395" t="s">
        <v>33</v>
      </c>
      <c r="G1395">
        <v>9</v>
      </c>
      <c r="H1395" t="s">
        <v>61</v>
      </c>
      <c r="I1395" t="s">
        <v>72</v>
      </c>
      <c r="J1395" t="s">
        <v>41</v>
      </c>
      <c r="K1395" t="s">
        <v>50</v>
      </c>
      <c r="L1395">
        <v>44</v>
      </c>
      <c r="M1395" t="s">
        <v>38</v>
      </c>
      <c r="N1395" t="s">
        <v>39</v>
      </c>
      <c r="O1395" t="s">
        <v>40</v>
      </c>
      <c r="P1395" t="s">
        <v>41</v>
      </c>
      <c r="Q1395" t="s">
        <v>42</v>
      </c>
      <c r="R1395">
        <v>4105</v>
      </c>
      <c r="S1395">
        <v>5099</v>
      </c>
      <c r="T1395">
        <v>1</v>
      </c>
      <c r="U1395" t="s">
        <v>46</v>
      </c>
      <c r="V1395">
        <v>14</v>
      </c>
      <c r="W1395" t="s">
        <v>43</v>
      </c>
      <c r="X1395" t="s">
        <v>44</v>
      </c>
      <c r="Y1395">
        <v>0</v>
      </c>
      <c r="Z1395">
        <v>7</v>
      </c>
      <c r="AA1395">
        <v>5</v>
      </c>
      <c r="AB1395" t="s">
        <v>54</v>
      </c>
      <c r="AC1395">
        <v>7</v>
      </c>
      <c r="AD1395" t="str" cm="1">
        <f t="array" ref="AD1395">_xlfn.IFS(AC1395&lt;=5,"0-5",AC1395&lt;=10,"5-10",AC1395&lt;=40,"10-40")</f>
        <v>5-10</v>
      </c>
      <c r="AE1395">
        <v>7</v>
      </c>
      <c r="AF1395">
        <v>0</v>
      </c>
      <c r="AG1395">
        <v>7</v>
      </c>
      <c r="AH1395">
        <v>1394</v>
      </c>
    </row>
    <row r="1396" spans="1:34" x14ac:dyDescent="0.3">
      <c r="A1396">
        <v>32</v>
      </c>
      <c r="B1396" t="str" cm="1">
        <f t="array" ref="B1396">_xlfn.IFS(A1396&lt;=25,"18-25",A1396&lt;=35,"26-35",A1396&lt;=45,"36-45",A1396&lt;=55,"46-55",A1396&gt;55,"55+")</f>
        <v>26-35</v>
      </c>
      <c r="C1396">
        <v>0</v>
      </c>
      <c r="D1396" t="s">
        <v>32</v>
      </c>
      <c r="E1396">
        <v>1373</v>
      </c>
      <c r="F1396" t="s">
        <v>48</v>
      </c>
      <c r="G1396">
        <v>5</v>
      </c>
      <c r="H1396" t="s">
        <v>58</v>
      </c>
      <c r="I1396" t="s">
        <v>35</v>
      </c>
      <c r="J1396" t="s">
        <v>41</v>
      </c>
      <c r="K1396" t="s">
        <v>50</v>
      </c>
      <c r="L1396">
        <v>56</v>
      </c>
      <c r="M1396" t="s">
        <v>36</v>
      </c>
      <c r="N1396" t="s">
        <v>39</v>
      </c>
      <c r="O1396" t="s">
        <v>64</v>
      </c>
      <c r="P1396" t="s">
        <v>41</v>
      </c>
      <c r="Q1396" t="s">
        <v>42</v>
      </c>
      <c r="R1396">
        <v>9679</v>
      </c>
      <c r="S1396">
        <v>10138</v>
      </c>
      <c r="T1396">
        <v>8</v>
      </c>
      <c r="U1396" t="s">
        <v>46</v>
      </c>
      <c r="V1396">
        <v>24</v>
      </c>
      <c r="W1396" t="s">
        <v>53</v>
      </c>
      <c r="X1396" t="s">
        <v>36</v>
      </c>
      <c r="Y1396">
        <v>0</v>
      </c>
      <c r="Z1396">
        <v>8</v>
      </c>
      <c r="AA1396">
        <v>1</v>
      </c>
      <c r="AB1396" t="s">
        <v>54</v>
      </c>
      <c r="AC1396">
        <v>1</v>
      </c>
      <c r="AD1396" t="str" cm="1">
        <f t="array" ref="AD1396">_xlfn.IFS(AC1396&lt;=5,"0-5",AC1396&lt;=10,"5-10",AC1396&lt;=40,"10-40")</f>
        <v>0-5</v>
      </c>
      <c r="AE1396">
        <v>0</v>
      </c>
      <c r="AF1396">
        <v>0</v>
      </c>
      <c r="AG1396">
        <v>0</v>
      </c>
      <c r="AH1396">
        <v>1395</v>
      </c>
    </row>
    <row r="1397" spans="1:34" x14ac:dyDescent="0.3">
      <c r="A1397">
        <v>31</v>
      </c>
      <c r="B1397" t="str" cm="1">
        <f t="array" ref="B1397">_xlfn.IFS(A1397&lt;=25,"18-25",A1397&lt;=35,"26-35",A1397&lt;=45,"36-45",A1397&lt;=55,"46-55",A1397&gt;55,"55+")</f>
        <v>26-35</v>
      </c>
      <c r="C1397">
        <v>1</v>
      </c>
      <c r="D1397" t="s">
        <v>47</v>
      </c>
      <c r="E1397">
        <v>754</v>
      </c>
      <c r="F1397" t="s">
        <v>33</v>
      </c>
      <c r="G1397">
        <v>26</v>
      </c>
      <c r="H1397" t="s">
        <v>58</v>
      </c>
      <c r="I1397" t="s">
        <v>72</v>
      </c>
      <c r="J1397" t="s">
        <v>44</v>
      </c>
      <c r="K1397" t="s">
        <v>50</v>
      </c>
      <c r="L1397">
        <v>63</v>
      </c>
      <c r="M1397" t="s">
        <v>38</v>
      </c>
      <c r="N1397" t="s">
        <v>39</v>
      </c>
      <c r="O1397" t="s">
        <v>40</v>
      </c>
      <c r="P1397" t="s">
        <v>41</v>
      </c>
      <c r="Q1397" t="s">
        <v>52</v>
      </c>
      <c r="R1397">
        <v>5617</v>
      </c>
      <c r="S1397">
        <v>21075</v>
      </c>
      <c r="T1397">
        <v>1</v>
      </c>
      <c r="U1397" t="s">
        <v>31</v>
      </c>
      <c r="V1397">
        <v>11</v>
      </c>
      <c r="W1397" t="s">
        <v>43</v>
      </c>
      <c r="X1397" t="s">
        <v>38</v>
      </c>
      <c r="Y1397">
        <v>0</v>
      </c>
      <c r="Z1397">
        <v>10</v>
      </c>
      <c r="AA1397">
        <v>4</v>
      </c>
      <c r="AB1397" t="s">
        <v>54</v>
      </c>
      <c r="AC1397">
        <v>10</v>
      </c>
      <c r="AD1397" t="str" cm="1">
        <f t="array" ref="AD1397">_xlfn.IFS(AC1397&lt;=5,"0-5",AC1397&lt;=10,"5-10",AC1397&lt;=40,"10-40")</f>
        <v>5-10</v>
      </c>
      <c r="AE1397">
        <v>7</v>
      </c>
      <c r="AF1397">
        <v>0</v>
      </c>
      <c r="AG1397">
        <v>8</v>
      </c>
      <c r="AH1397">
        <v>1396</v>
      </c>
    </row>
    <row r="1398" spans="1:34" x14ac:dyDescent="0.3">
      <c r="A1398">
        <v>53</v>
      </c>
      <c r="B1398" t="str" cm="1">
        <f t="array" ref="B1398">_xlfn.IFS(A1398&lt;=25,"18-25",A1398&lt;=35,"26-35",A1398&lt;=45,"36-45",A1398&lt;=55,"46-55",A1398&gt;55,"55+")</f>
        <v>46-55</v>
      </c>
      <c r="C1398">
        <v>1</v>
      </c>
      <c r="D1398" t="s">
        <v>32</v>
      </c>
      <c r="E1398">
        <v>1168</v>
      </c>
      <c r="F1398" t="s">
        <v>33</v>
      </c>
      <c r="G1398">
        <v>24</v>
      </c>
      <c r="H1398" t="s">
        <v>58</v>
      </c>
      <c r="I1398" t="s">
        <v>35</v>
      </c>
      <c r="J1398" t="s">
        <v>44</v>
      </c>
      <c r="K1398" t="s">
        <v>50</v>
      </c>
      <c r="L1398">
        <v>66</v>
      </c>
      <c r="M1398" t="s">
        <v>38</v>
      </c>
      <c r="N1398" t="s">
        <v>63</v>
      </c>
      <c r="O1398" t="s">
        <v>40</v>
      </c>
      <c r="P1398" t="s">
        <v>44</v>
      </c>
      <c r="Q1398" t="s">
        <v>42</v>
      </c>
      <c r="R1398">
        <v>10448</v>
      </c>
      <c r="S1398">
        <v>5843</v>
      </c>
      <c r="T1398">
        <v>6</v>
      </c>
      <c r="U1398" t="s">
        <v>31</v>
      </c>
      <c r="V1398">
        <v>13</v>
      </c>
      <c r="W1398" t="s">
        <v>43</v>
      </c>
      <c r="X1398" t="s">
        <v>36</v>
      </c>
      <c r="Y1398">
        <v>0</v>
      </c>
      <c r="Z1398">
        <v>15</v>
      </c>
      <c r="AA1398">
        <v>2</v>
      </c>
      <c r="AB1398" t="s">
        <v>60</v>
      </c>
      <c r="AC1398">
        <v>2</v>
      </c>
      <c r="AD1398" t="str" cm="1">
        <f t="array" ref="AD1398">_xlfn.IFS(AC1398&lt;=5,"0-5",AC1398&lt;=10,"5-10",AC1398&lt;=40,"10-40")</f>
        <v>0-5</v>
      </c>
      <c r="AE1398">
        <v>2</v>
      </c>
      <c r="AF1398">
        <v>2</v>
      </c>
      <c r="AG1398">
        <v>2</v>
      </c>
      <c r="AH1398">
        <v>1397</v>
      </c>
    </row>
    <row r="1399" spans="1:34" x14ac:dyDescent="0.3">
      <c r="A1399">
        <v>54</v>
      </c>
      <c r="B1399" t="str" cm="1">
        <f t="array" ref="B1399">_xlfn.IFS(A1399&lt;=25,"18-25",A1399&lt;=35,"26-35",A1399&lt;=45,"36-45",A1399&lt;=55,"46-55",A1399&gt;55,"55+")</f>
        <v>46-55</v>
      </c>
      <c r="C1399">
        <v>0</v>
      </c>
      <c r="D1399" t="s">
        <v>32</v>
      </c>
      <c r="E1399">
        <v>155</v>
      </c>
      <c r="F1399" t="s">
        <v>48</v>
      </c>
      <c r="G1399">
        <v>9</v>
      </c>
      <c r="H1399" t="s">
        <v>34</v>
      </c>
      <c r="I1399" t="s">
        <v>35</v>
      </c>
      <c r="J1399" t="s">
        <v>44</v>
      </c>
      <c r="K1399" t="s">
        <v>37</v>
      </c>
      <c r="L1399">
        <v>67</v>
      </c>
      <c r="M1399" t="s">
        <v>38</v>
      </c>
      <c r="N1399" t="s">
        <v>39</v>
      </c>
      <c r="O1399" t="s">
        <v>51</v>
      </c>
      <c r="P1399" t="s">
        <v>38</v>
      </c>
      <c r="Q1399" t="s">
        <v>52</v>
      </c>
      <c r="R1399">
        <v>2897</v>
      </c>
      <c r="S1399">
        <v>22474</v>
      </c>
      <c r="T1399">
        <v>3</v>
      </c>
      <c r="U1399" t="s">
        <v>46</v>
      </c>
      <c r="V1399">
        <v>11</v>
      </c>
      <c r="W1399" t="s">
        <v>43</v>
      </c>
      <c r="X1399" t="s">
        <v>38</v>
      </c>
      <c r="Y1399">
        <v>2</v>
      </c>
      <c r="Z1399">
        <v>9</v>
      </c>
      <c r="AA1399">
        <v>6</v>
      </c>
      <c r="AB1399" t="s">
        <v>60</v>
      </c>
      <c r="AC1399">
        <v>4</v>
      </c>
      <c r="AD1399" t="str" cm="1">
        <f t="array" ref="AD1399">_xlfn.IFS(AC1399&lt;=5,"0-5",AC1399&lt;=10,"5-10",AC1399&lt;=40,"10-40")</f>
        <v>0-5</v>
      </c>
      <c r="AE1399">
        <v>3</v>
      </c>
      <c r="AF1399">
        <v>2</v>
      </c>
      <c r="AG1399">
        <v>3</v>
      </c>
      <c r="AH1399">
        <v>1398</v>
      </c>
    </row>
    <row r="1400" spans="1:34" x14ac:dyDescent="0.3">
      <c r="A1400">
        <v>33</v>
      </c>
      <c r="B1400" t="str" cm="1">
        <f t="array" ref="B1400">_xlfn.IFS(A1400&lt;=25,"18-25",A1400&lt;=35,"26-35",A1400&lt;=45,"36-45",A1400&lt;=55,"46-55",A1400&gt;55,"55+")</f>
        <v>26-35</v>
      </c>
      <c r="C1400">
        <v>0</v>
      </c>
      <c r="D1400" t="s">
        <v>47</v>
      </c>
      <c r="E1400">
        <v>1303</v>
      </c>
      <c r="F1400" t="s">
        <v>48</v>
      </c>
      <c r="G1400">
        <v>7</v>
      </c>
      <c r="H1400" t="s">
        <v>34</v>
      </c>
      <c r="I1400" t="s">
        <v>35</v>
      </c>
      <c r="J1400" t="s">
        <v>41</v>
      </c>
      <c r="K1400" t="s">
        <v>50</v>
      </c>
      <c r="L1400">
        <v>36</v>
      </c>
      <c r="M1400" t="s">
        <v>38</v>
      </c>
      <c r="N1400" t="s">
        <v>39</v>
      </c>
      <c r="O1400" t="s">
        <v>65</v>
      </c>
      <c r="P1400" t="s">
        <v>38</v>
      </c>
      <c r="Q1400" t="s">
        <v>62</v>
      </c>
      <c r="R1400">
        <v>5968</v>
      </c>
      <c r="S1400">
        <v>18079</v>
      </c>
      <c r="T1400">
        <v>1</v>
      </c>
      <c r="U1400" t="s">
        <v>46</v>
      </c>
      <c r="V1400">
        <v>20</v>
      </c>
      <c r="W1400" t="s">
        <v>53</v>
      </c>
      <c r="X1400" t="s">
        <v>38</v>
      </c>
      <c r="Y1400">
        <v>3</v>
      </c>
      <c r="Z1400">
        <v>9</v>
      </c>
      <c r="AA1400">
        <v>2</v>
      </c>
      <c r="AB1400" t="s">
        <v>54</v>
      </c>
      <c r="AC1400">
        <v>9</v>
      </c>
      <c r="AD1400" t="str" cm="1">
        <f t="array" ref="AD1400">_xlfn.IFS(AC1400&lt;=5,"0-5",AC1400&lt;=10,"5-10",AC1400&lt;=40,"10-40")</f>
        <v>5-10</v>
      </c>
      <c r="AE1400">
        <v>7</v>
      </c>
      <c r="AF1400">
        <v>2</v>
      </c>
      <c r="AG1400">
        <v>8</v>
      </c>
      <c r="AH1400">
        <v>1399</v>
      </c>
    </row>
    <row r="1401" spans="1:34" x14ac:dyDescent="0.3">
      <c r="A1401">
        <v>43</v>
      </c>
      <c r="B1401" t="str" cm="1">
        <f t="array" ref="B1401">_xlfn.IFS(A1401&lt;=25,"18-25",A1401&lt;=35,"26-35",A1401&lt;=45,"36-45",A1401&lt;=55,"46-55",A1401&gt;55,"55+")</f>
        <v>36-45</v>
      </c>
      <c r="C1401">
        <v>0</v>
      </c>
      <c r="D1401" t="s">
        <v>32</v>
      </c>
      <c r="E1401">
        <v>574</v>
      </c>
      <c r="F1401" t="s">
        <v>48</v>
      </c>
      <c r="G1401">
        <v>11</v>
      </c>
      <c r="H1401" t="s">
        <v>61</v>
      </c>
      <c r="I1401" t="s">
        <v>35</v>
      </c>
      <c r="J1401" t="s">
        <v>44</v>
      </c>
      <c r="K1401" t="s">
        <v>50</v>
      </c>
      <c r="L1401">
        <v>30</v>
      </c>
      <c r="M1401" t="s">
        <v>38</v>
      </c>
      <c r="N1401" t="s">
        <v>63</v>
      </c>
      <c r="O1401" t="s">
        <v>65</v>
      </c>
      <c r="P1401" t="s">
        <v>38</v>
      </c>
      <c r="Q1401" t="s">
        <v>52</v>
      </c>
      <c r="R1401">
        <v>7510</v>
      </c>
      <c r="S1401">
        <v>16873</v>
      </c>
      <c r="T1401">
        <v>1</v>
      </c>
      <c r="U1401" t="s">
        <v>46</v>
      </c>
      <c r="V1401">
        <v>17</v>
      </c>
      <c r="W1401" t="s">
        <v>43</v>
      </c>
      <c r="X1401" t="s">
        <v>36</v>
      </c>
      <c r="Y1401">
        <v>1</v>
      </c>
      <c r="Z1401">
        <v>10</v>
      </c>
      <c r="AA1401">
        <v>1</v>
      </c>
      <c r="AB1401" t="s">
        <v>54</v>
      </c>
      <c r="AC1401">
        <v>10</v>
      </c>
      <c r="AD1401" t="str" cm="1">
        <f t="array" ref="AD1401">_xlfn.IFS(AC1401&lt;=5,"0-5",AC1401&lt;=10,"5-10",AC1401&lt;=40,"10-40")</f>
        <v>5-10</v>
      </c>
      <c r="AE1401">
        <v>9</v>
      </c>
      <c r="AF1401">
        <v>0</v>
      </c>
      <c r="AG1401">
        <v>9</v>
      </c>
      <c r="AH1401">
        <v>1400</v>
      </c>
    </row>
    <row r="1402" spans="1:34" x14ac:dyDescent="0.3">
      <c r="A1402">
        <v>38</v>
      </c>
      <c r="B1402" t="str" cm="1">
        <f t="array" ref="B1402">_xlfn.IFS(A1402&lt;=25,"18-25",A1402&lt;=35,"26-35",A1402&lt;=45,"36-45",A1402&lt;=55,"46-55",A1402&gt;55,"55+")</f>
        <v>36-45</v>
      </c>
      <c r="C1402">
        <v>0</v>
      </c>
      <c r="D1402" t="s">
        <v>47</v>
      </c>
      <c r="E1402">
        <v>1444</v>
      </c>
      <c r="F1402" t="s">
        <v>76</v>
      </c>
      <c r="G1402">
        <v>1</v>
      </c>
      <c r="H1402" t="s">
        <v>58</v>
      </c>
      <c r="I1402" t="s">
        <v>55</v>
      </c>
      <c r="J1402" t="s">
        <v>41</v>
      </c>
      <c r="K1402" t="s">
        <v>50</v>
      </c>
      <c r="L1402">
        <v>88</v>
      </c>
      <c r="M1402" t="s">
        <v>38</v>
      </c>
      <c r="N1402" t="s">
        <v>56</v>
      </c>
      <c r="O1402" t="s">
        <v>76</v>
      </c>
      <c r="P1402" t="s">
        <v>36</v>
      </c>
      <c r="Q1402" t="s">
        <v>52</v>
      </c>
      <c r="R1402">
        <v>2991</v>
      </c>
      <c r="S1402">
        <v>5224</v>
      </c>
      <c r="T1402">
        <v>0</v>
      </c>
      <c r="U1402" t="s">
        <v>31</v>
      </c>
      <c r="V1402">
        <v>11</v>
      </c>
      <c r="W1402" t="s">
        <v>43</v>
      </c>
      <c r="X1402" t="s">
        <v>36</v>
      </c>
      <c r="Y1402">
        <v>1</v>
      </c>
      <c r="Z1402">
        <v>7</v>
      </c>
      <c r="AA1402">
        <v>2</v>
      </c>
      <c r="AB1402" t="s">
        <v>54</v>
      </c>
      <c r="AC1402">
        <v>6</v>
      </c>
      <c r="AD1402" t="str" cm="1">
        <f t="array" ref="AD1402">_xlfn.IFS(AC1402&lt;=5,"0-5",AC1402&lt;=10,"5-10",AC1402&lt;=40,"10-40")</f>
        <v>5-10</v>
      </c>
      <c r="AE1402">
        <v>2</v>
      </c>
      <c r="AF1402">
        <v>1</v>
      </c>
      <c r="AG1402">
        <v>2</v>
      </c>
      <c r="AH1402">
        <v>1401</v>
      </c>
    </row>
    <row r="1403" spans="1:34" x14ac:dyDescent="0.3">
      <c r="A1403">
        <v>55</v>
      </c>
      <c r="B1403" t="str" cm="1">
        <f t="array" ref="B1403">_xlfn.IFS(A1403&lt;=25,"18-25",A1403&lt;=35,"26-35",A1403&lt;=45,"36-45",A1403&lt;=55,"46-55",A1403&gt;55,"55+")</f>
        <v>46-55</v>
      </c>
      <c r="C1403">
        <v>0</v>
      </c>
      <c r="D1403" t="s">
        <v>32</v>
      </c>
      <c r="E1403">
        <v>189</v>
      </c>
      <c r="F1403" t="s">
        <v>76</v>
      </c>
      <c r="G1403">
        <v>26</v>
      </c>
      <c r="H1403" t="s">
        <v>58</v>
      </c>
      <c r="I1403" t="s">
        <v>76</v>
      </c>
      <c r="J1403" t="s">
        <v>38</v>
      </c>
      <c r="K1403" t="s">
        <v>50</v>
      </c>
      <c r="L1403">
        <v>71</v>
      </c>
      <c r="M1403" t="s">
        <v>41</v>
      </c>
      <c r="N1403" t="s">
        <v>71</v>
      </c>
      <c r="O1403" t="s">
        <v>68</v>
      </c>
      <c r="P1403" t="s">
        <v>36</v>
      </c>
      <c r="Q1403" t="s">
        <v>52</v>
      </c>
      <c r="R1403">
        <v>19636</v>
      </c>
      <c r="S1403">
        <v>25811</v>
      </c>
      <c r="T1403">
        <v>4</v>
      </c>
      <c r="U1403" t="s">
        <v>31</v>
      </c>
      <c r="V1403">
        <v>18</v>
      </c>
      <c r="W1403" t="s">
        <v>43</v>
      </c>
      <c r="X1403" t="s">
        <v>44</v>
      </c>
      <c r="Y1403">
        <v>1</v>
      </c>
      <c r="Z1403">
        <v>35</v>
      </c>
      <c r="AA1403">
        <v>0</v>
      </c>
      <c r="AB1403" t="s">
        <v>54</v>
      </c>
      <c r="AC1403">
        <v>10</v>
      </c>
      <c r="AD1403" t="str" cm="1">
        <f t="array" ref="AD1403">_xlfn.IFS(AC1403&lt;=5,"0-5",AC1403&lt;=10,"5-10",AC1403&lt;=40,"10-40")</f>
        <v>5-10</v>
      </c>
      <c r="AE1403">
        <v>9</v>
      </c>
      <c r="AF1403">
        <v>1</v>
      </c>
      <c r="AG1403">
        <v>4</v>
      </c>
      <c r="AH1403">
        <v>1402</v>
      </c>
    </row>
    <row r="1404" spans="1:34" x14ac:dyDescent="0.3">
      <c r="A1404">
        <v>31</v>
      </c>
      <c r="B1404" t="str" cm="1">
        <f t="array" ref="B1404">_xlfn.IFS(A1404&lt;=25,"18-25",A1404&lt;=35,"26-35",A1404&lt;=45,"36-45",A1404&lt;=55,"46-55",A1404&gt;55,"55+")</f>
        <v>26-35</v>
      </c>
      <c r="C1404">
        <v>0</v>
      </c>
      <c r="D1404" t="s">
        <v>32</v>
      </c>
      <c r="E1404">
        <v>1276</v>
      </c>
      <c r="F1404" t="s">
        <v>48</v>
      </c>
      <c r="G1404">
        <v>2</v>
      </c>
      <c r="H1404" t="s">
        <v>49</v>
      </c>
      <c r="I1404" t="s">
        <v>59</v>
      </c>
      <c r="J1404" t="s">
        <v>41</v>
      </c>
      <c r="K1404" t="s">
        <v>37</v>
      </c>
      <c r="L1404">
        <v>59</v>
      </c>
      <c r="M1404" t="s">
        <v>44</v>
      </c>
      <c r="N1404" t="s">
        <v>56</v>
      </c>
      <c r="O1404" t="s">
        <v>57</v>
      </c>
      <c r="P1404" t="s">
        <v>41</v>
      </c>
      <c r="Q1404" t="s">
        <v>62</v>
      </c>
      <c r="R1404">
        <v>1129</v>
      </c>
      <c r="S1404">
        <v>17536</v>
      </c>
      <c r="T1404">
        <v>1</v>
      </c>
      <c r="U1404" t="s">
        <v>31</v>
      </c>
      <c r="V1404">
        <v>11</v>
      </c>
      <c r="W1404" t="s">
        <v>43</v>
      </c>
      <c r="X1404" t="s">
        <v>38</v>
      </c>
      <c r="Y1404">
        <v>3</v>
      </c>
      <c r="Z1404">
        <v>1</v>
      </c>
      <c r="AA1404">
        <v>4</v>
      </c>
      <c r="AB1404" t="s">
        <v>54</v>
      </c>
      <c r="AC1404">
        <v>1</v>
      </c>
      <c r="AD1404" t="str" cm="1">
        <f t="array" ref="AD1404">_xlfn.IFS(AC1404&lt;=5,"0-5",AC1404&lt;=10,"5-10",AC1404&lt;=40,"10-40")</f>
        <v>0-5</v>
      </c>
      <c r="AE1404">
        <v>0</v>
      </c>
      <c r="AF1404">
        <v>0</v>
      </c>
      <c r="AG1404">
        <v>0</v>
      </c>
      <c r="AH1404">
        <v>1403</v>
      </c>
    </row>
    <row r="1405" spans="1:34" x14ac:dyDescent="0.3">
      <c r="A1405">
        <v>39</v>
      </c>
      <c r="B1405" t="str" cm="1">
        <f t="array" ref="B1405">_xlfn.IFS(A1405&lt;=25,"18-25",A1405&lt;=35,"26-35",A1405&lt;=45,"36-45",A1405&lt;=55,"46-55",A1405&gt;55,"55+")</f>
        <v>36-45</v>
      </c>
      <c r="C1405">
        <v>0</v>
      </c>
      <c r="D1405" t="s">
        <v>32</v>
      </c>
      <c r="E1405">
        <v>119</v>
      </c>
      <c r="F1405" t="s">
        <v>33</v>
      </c>
      <c r="G1405">
        <v>15</v>
      </c>
      <c r="H1405" t="s">
        <v>58</v>
      </c>
      <c r="I1405" t="s">
        <v>72</v>
      </c>
      <c r="J1405" t="s">
        <v>36</v>
      </c>
      <c r="K1405" t="s">
        <v>50</v>
      </c>
      <c r="L1405">
        <v>77</v>
      </c>
      <c r="M1405" t="s">
        <v>38</v>
      </c>
      <c r="N1405" t="s">
        <v>67</v>
      </c>
      <c r="O1405" t="s">
        <v>40</v>
      </c>
      <c r="P1405" t="s">
        <v>44</v>
      </c>
      <c r="Q1405" t="s">
        <v>42</v>
      </c>
      <c r="R1405">
        <v>13341</v>
      </c>
      <c r="S1405">
        <v>25098</v>
      </c>
      <c r="T1405">
        <v>0</v>
      </c>
      <c r="U1405" t="s">
        <v>46</v>
      </c>
      <c r="V1405">
        <v>12</v>
      </c>
      <c r="W1405" t="s">
        <v>43</v>
      </c>
      <c r="X1405" t="s">
        <v>44</v>
      </c>
      <c r="Y1405">
        <v>0</v>
      </c>
      <c r="Z1405">
        <v>21</v>
      </c>
      <c r="AA1405">
        <v>3</v>
      </c>
      <c r="AB1405" t="s">
        <v>54</v>
      </c>
      <c r="AC1405">
        <v>20</v>
      </c>
      <c r="AD1405" t="str" cm="1">
        <f t="array" ref="AD1405">_xlfn.IFS(AC1405&lt;=5,"0-5",AC1405&lt;=10,"5-10",AC1405&lt;=40,"10-40")</f>
        <v>10-40</v>
      </c>
      <c r="AE1405">
        <v>8</v>
      </c>
      <c r="AF1405">
        <v>11</v>
      </c>
      <c r="AG1405">
        <v>10</v>
      </c>
      <c r="AH1405">
        <v>1404</v>
      </c>
    </row>
    <row r="1406" spans="1:34" x14ac:dyDescent="0.3">
      <c r="A1406">
        <v>42</v>
      </c>
      <c r="B1406" t="str" cm="1">
        <f t="array" ref="B1406">_xlfn.IFS(A1406&lt;=25,"18-25",A1406&lt;=35,"26-35",A1406&lt;=45,"36-45",A1406&lt;=55,"46-55",A1406&gt;55,"55+")</f>
        <v>36-45</v>
      </c>
      <c r="C1406">
        <v>0</v>
      </c>
      <c r="D1406" t="s">
        <v>66</v>
      </c>
      <c r="E1406">
        <v>335</v>
      </c>
      <c r="F1406" t="s">
        <v>48</v>
      </c>
      <c r="G1406">
        <v>23</v>
      </c>
      <c r="H1406" t="s">
        <v>34</v>
      </c>
      <c r="I1406" t="s">
        <v>35</v>
      </c>
      <c r="J1406" t="s">
        <v>41</v>
      </c>
      <c r="K1406" t="s">
        <v>50</v>
      </c>
      <c r="L1406">
        <v>37</v>
      </c>
      <c r="M1406" t="s">
        <v>36</v>
      </c>
      <c r="N1406" t="s">
        <v>39</v>
      </c>
      <c r="O1406" t="s">
        <v>51</v>
      </c>
      <c r="P1406" t="s">
        <v>38</v>
      </c>
      <c r="Q1406" t="s">
        <v>42</v>
      </c>
      <c r="R1406">
        <v>4332</v>
      </c>
      <c r="S1406">
        <v>14811</v>
      </c>
      <c r="T1406">
        <v>1</v>
      </c>
      <c r="U1406" t="s">
        <v>46</v>
      </c>
      <c r="V1406">
        <v>12</v>
      </c>
      <c r="W1406" t="s">
        <v>43</v>
      </c>
      <c r="X1406" t="s">
        <v>41</v>
      </c>
      <c r="Y1406">
        <v>0</v>
      </c>
      <c r="Z1406">
        <v>20</v>
      </c>
      <c r="AA1406">
        <v>2</v>
      </c>
      <c r="AB1406" t="s">
        <v>54</v>
      </c>
      <c r="AC1406">
        <v>20</v>
      </c>
      <c r="AD1406" t="str" cm="1">
        <f t="array" ref="AD1406">_xlfn.IFS(AC1406&lt;=5,"0-5",AC1406&lt;=10,"5-10",AC1406&lt;=40,"10-40")</f>
        <v>10-40</v>
      </c>
      <c r="AE1406">
        <v>9</v>
      </c>
      <c r="AF1406">
        <v>3</v>
      </c>
      <c r="AG1406">
        <v>7</v>
      </c>
      <c r="AH1406">
        <v>1405</v>
      </c>
    </row>
    <row r="1407" spans="1:34" x14ac:dyDescent="0.3">
      <c r="A1407">
        <v>31</v>
      </c>
      <c r="B1407" t="str" cm="1">
        <f t="array" ref="B1407">_xlfn.IFS(A1407&lt;=25,"18-25",A1407&lt;=35,"26-35",A1407&lt;=45,"36-45",A1407&lt;=55,"46-55",A1407&gt;55,"55+")</f>
        <v>26-35</v>
      </c>
      <c r="C1407">
        <v>0</v>
      </c>
      <c r="D1407" t="s">
        <v>66</v>
      </c>
      <c r="E1407">
        <v>697</v>
      </c>
      <c r="F1407" t="s">
        <v>48</v>
      </c>
      <c r="G1407">
        <v>10</v>
      </c>
      <c r="H1407" t="s">
        <v>61</v>
      </c>
      <c r="I1407" t="s">
        <v>59</v>
      </c>
      <c r="J1407" t="s">
        <v>38</v>
      </c>
      <c r="K1407" t="s">
        <v>37</v>
      </c>
      <c r="L1407">
        <v>40</v>
      </c>
      <c r="M1407" t="s">
        <v>38</v>
      </c>
      <c r="N1407" t="s">
        <v>63</v>
      </c>
      <c r="O1407" t="s">
        <v>70</v>
      </c>
      <c r="P1407" t="s">
        <v>38</v>
      </c>
      <c r="Q1407" t="s">
        <v>52</v>
      </c>
      <c r="R1407">
        <v>11031</v>
      </c>
      <c r="S1407">
        <v>26862</v>
      </c>
      <c r="T1407">
        <v>4</v>
      </c>
      <c r="U1407" t="s">
        <v>46</v>
      </c>
      <c r="V1407">
        <v>20</v>
      </c>
      <c r="W1407" t="s">
        <v>53</v>
      </c>
      <c r="X1407" t="s">
        <v>38</v>
      </c>
      <c r="Y1407">
        <v>1</v>
      </c>
      <c r="Z1407">
        <v>13</v>
      </c>
      <c r="AA1407">
        <v>2</v>
      </c>
      <c r="AB1407" t="s">
        <v>73</v>
      </c>
      <c r="AC1407">
        <v>11</v>
      </c>
      <c r="AD1407" t="str" cm="1">
        <f t="array" ref="AD1407">_xlfn.IFS(AC1407&lt;=5,"0-5",AC1407&lt;=10,"5-10",AC1407&lt;=40,"10-40")</f>
        <v>10-40</v>
      </c>
      <c r="AE1407">
        <v>7</v>
      </c>
      <c r="AF1407">
        <v>4</v>
      </c>
      <c r="AG1407">
        <v>8</v>
      </c>
      <c r="AH1407">
        <v>1406</v>
      </c>
    </row>
    <row r="1408" spans="1:34" x14ac:dyDescent="0.3">
      <c r="A1408">
        <v>54</v>
      </c>
      <c r="B1408" t="str" cm="1">
        <f t="array" ref="B1408">_xlfn.IFS(A1408&lt;=25,"18-25",A1408&lt;=35,"26-35",A1408&lt;=45,"36-45",A1408&lt;=55,"46-55",A1408&gt;55,"55+")</f>
        <v>46-55</v>
      </c>
      <c r="C1408">
        <v>0</v>
      </c>
      <c r="D1408" t="s">
        <v>32</v>
      </c>
      <c r="E1408">
        <v>157</v>
      </c>
      <c r="F1408" t="s">
        <v>48</v>
      </c>
      <c r="G1408">
        <v>10</v>
      </c>
      <c r="H1408" t="s">
        <v>61</v>
      </c>
      <c r="I1408" t="s">
        <v>59</v>
      </c>
      <c r="J1408" t="s">
        <v>38</v>
      </c>
      <c r="K1408" t="s">
        <v>37</v>
      </c>
      <c r="L1408">
        <v>77</v>
      </c>
      <c r="M1408" t="s">
        <v>38</v>
      </c>
      <c r="N1408" t="s">
        <v>39</v>
      </c>
      <c r="O1408" t="s">
        <v>64</v>
      </c>
      <c r="P1408" t="s">
        <v>44</v>
      </c>
      <c r="Q1408" t="s">
        <v>42</v>
      </c>
      <c r="R1408">
        <v>4440</v>
      </c>
      <c r="S1408">
        <v>25198</v>
      </c>
      <c r="T1408">
        <v>6</v>
      </c>
      <c r="U1408" t="s">
        <v>31</v>
      </c>
      <c r="V1408">
        <v>19</v>
      </c>
      <c r="W1408" t="s">
        <v>43</v>
      </c>
      <c r="X1408" t="s">
        <v>41</v>
      </c>
      <c r="Y1408">
        <v>0</v>
      </c>
      <c r="Z1408">
        <v>9</v>
      </c>
      <c r="AA1408">
        <v>3</v>
      </c>
      <c r="AB1408" t="s">
        <v>54</v>
      </c>
      <c r="AC1408">
        <v>5</v>
      </c>
      <c r="AD1408" t="str" cm="1">
        <f t="array" ref="AD1408">_xlfn.IFS(AC1408&lt;=5,"0-5",AC1408&lt;=10,"5-10",AC1408&lt;=40,"10-40")</f>
        <v>0-5</v>
      </c>
      <c r="AE1408">
        <v>2</v>
      </c>
      <c r="AF1408">
        <v>1</v>
      </c>
      <c r="AG1408">
        <v>4</v>
      </c>
      <c r="AH1408">
        <v>1407</v>
      </c>
    </row>
    <row r="1409" spans="1:34" x14ac:dyDescent="0.3">
      <c r="A1409">
        <v>24</v>
      </c>
      <c r="B1409" t="str" cm="1">
        <f t="array" ref="B1409">_xlfn.IFS(A1409&lt;=25,"18-25",A1409&lt;=35,"26-35",A1409&lt;=45,"36-45",A1409&lt;=55,"46-55",A1409&gt;55,"55+")</f>
        <v>18-25</v>
      </c>
      <c r="C1409">
        <v>0</v>
      </c>
      <c r="D1409" t="s">
        <v>32</v>
      </c>
      <c r="E1409">
        <v>771</v>
      </c>
      <c r="F1409" t="s">
        <v>48</v>
      </c>
      <c r="G1409">
        <v>1</v>
      </c>
      <c r="H1409" t="s">
        <v>34</v>
      </c>
      <c r="I1409" t="s">
        <v>35</v>
      </c>
      <c r="J1409" t="s">
        <v>36</v>
      </c>
      <c r="K1409" t="s">
        <v>50</v>
      </c>
      <c r="L1409">
        <v>45</v>
      </c>
      <c r="M1409" t="s">
        <v>36</v>
      </c>
      <c r="N1409" t="s">
        <v>39</v>
      </c>
      <c r="O1409" t="s">
        <v>65</v>
      </c>
      <c r="P1409" t="s">
        <v>38</v>
      </c>
      <c r="Q1409" t="s">
        <v>42</v>
      </c>
      <c r="R1409">
        <v>4617</v>
      </c>
      <c r="S1409">
        <v>14120</v>
      </c>
      <c r="T1409">
        <v>1</v>
      </c>
      <c r="U1409" t="s">
        <v>46</v>
      </c>
      <c r="V1409">
        <v>12</v>
      </c>
      <c r="W1409" t="s">
        <v>43</v>
      </c>
      <c r="X1409" t="s">
        <v>36</v>
      </c>
      <c r="Y1409">
        <v>0</v>
      </c>
      <c r="Z1409">
        <v>4</v>
      </c>
      <c r="AA1409">
        <v>2</v>
      </c>
      <c r="AB1409" t="s">
        <v>60</v>
      </c>
      <c r="AC1409">
        <v>4</v>
      </c>
      <c r="AD1409" t="str" cm="1">
        <f t="array" ref="AD1409">_xlfn.IFS(AC1409&lt;=5,"0-5",AC1409&lt;=10,"5-10",AC1409&lt;=40,"10-40")</f>
        <v>0-5</v>
      </c>
      <c r="AE1409">
        <v>3</v>
      </c>
      <c r="AF1409">
        <v>1</v>
      </c>
      <c r="AG1409">
        <v>2</v>
      </c>
      <c r="AH1409">
        <v>1408</v>
      </c>
    </row>
    <row r="1410" spans="1:34" x14ac:dyDescent="0.3">
      <c r="A1410">
        <v>23</v>
      </c>
      <c r="B1410" t="str" cm="1">
        <f t="array" ref="B1410">_xlfn.IFS(A1410&lt;=25,"18-25",A1410&lt;=35,"26-35",A1410&lt;=45,"36-45",A1410&lt;=55,"46-55",A1410&gt;55,"55+")</f>
        <v>18-25</v>
      </c>
      <c r="C1410">
        <v>0</v>
      </c>
      <c r="D1410" t="s">
        <v>32</v>
      </c>
      <c r="E1410">
        <v>571</v>
      </c>
      <c r="F1410" t="s">
        <v>48</v>
      </c>
      <c r="G1410">
        <v>12</v>
      </c>
      <c r="H1410" t="s">
        <v>34</v>
      </c>
      <c r="I1410" t="s">
        <v>55</v>
      </c>
      <c r="J1410" t="s">
        <v>41</v>
      </c>
      <c r="K1410" t="s">
        <v>50</v>
      </c>
      <c r="L1410">
        <v>78</v>
      </c>
      <c r="M1410" t="s">
        <v>38</v>
      </c>
      <c r="N1410" t="s">
        <v>56</v>
      </c>
      <c r="O1410" t="s">
        <v>57</v>
      </c>
      <c r="P1410" t="s">
        <v>41</v>
      </c>
      <c r="Q1410" t="s">
        <v>42</v>
      </c>
      <c r="R1410">
        <v>2647</v>
      </c>
      <c r="S1410">
        <v>13672</v>
      </c>
      <c r="T1410">
        <v>1</v>
      </c>
      <c r="U1410" t="s">
        <v>46</v>
      </c>
      <c r="V1410">
        <v>13</v>
      </c>
      <c r="W1410" t="s">
        <v>43</v>
      </c>
      <c r="X1410" t="s">
        <v>38</v>
      </c>
      <c r="Y1410">
        <v>0</v>
      </c>
      <c r="Z1410">
        <v>5</v>
      </c>
      <c r="AA1410">
        <v>6</v>
      </c>
      <c r="AB1410" t="s">
        <v>73</v>
      </c>
      <c r="AC1410">
        <v>5</v>
      </c>
      <c r="AD1410" t="str" cm="1">
        <f t="array" ref="AD1410">_xlfn.IFS(AC1410&lt;=5,"0-5",AC1410&lt;=10,"5-10",AC1410&lt;=40,"10-40")</f>
        <v>0-5</v>
      </c>
      <c r="AE1410">
        <v>2</v>
      </c>
      <c r="AF1410">
        <v>1</v>
      </c>
      <c r="AG1410">
        <v>4</v>
      </c>
      <c r="AH1410">
        <v>1409</v>
      </c>
    </row>
    <row r="1411" spans="1:34" x14ac:dyDescent="0.3">
      <c r="A1411">
        <v>40</v>
      </c>
      <c r="B1411" t="str" cm="1">
        <f t="array" ref="B1411">_xlfn.IFS(A1411&lt;=25,"18-25",A1411&lt;=35,"26-35",A1411&lt;=45,"36-45",A1411&lt;=55,"46-55",A1411&gt;55,"55+")</f>
        <v>36-45</v>
      </c>
      <c r="C1411">
        <v>0</v>
      </c>
      <c r="D1411" t="s">
        <v>47</v>
      </c>
      <c r="E1411">
        <v>692</v>
      </c>
      <c r="F1411" t="s">
        <v>48</v>
      </c>
      <c r="G1411">
        <v>11</v>
      </c>
      <c r="H1411" t="s">
        <v>61</v>
      </c>
      <c r="I1411" t="s">
        <v>74</v>
      </c>
      <c r="J1411" t="s">
        <v>41</v>
      </c>
      <c r="K1411" t="s">
        <v>37</v>
      </c>
      <c r="L1411">
        <v>73</v>
      </c>
      <c r="M1411" t="s">
        <v>38</v>
      </c>
      <c r="N1411" t="s">
        <v>39</v>
      </c>
      <c r="O1411" t="s">
        <v>57</v>
      </c>
      <c r="P1411" t="s">
        <v>38</v>
      </c>
      <c r="Q1411" t="s">
        <v>52</v>
      </c>
      <c r="R1411">
        <v>6323</v>
      </c>
      <c r="S1411">
        <v>26849</v>
      </c>
      <c r="T1411">
        <v>1</v>
      </c>
      <c r="U1411" t="s">
        <v>46</v>
      </c>
      <c r="V1411">
        <v>11</v>
      </c>
      <c r="W1411" t="s">
        <v>43</v>
      </c>
      <c r="X1411" t="s">
        <v>44</v>
      </c>
      <c r="Y1411">
        <v>1</v>
      </c>
      <c r="Z1411">
        <v>10</v>
      </c>
      <c r="AA1411">
        <v>2</v>
      </c>
      <c r="AB1411" t="s">
        <v>73</v>
      </c>
      <c r="AC1411">
        <v>10</v>
      </c>
      <c r="AD1411" t="str" cm="1">
        <f t="array" ref="AD1411">_xlfn.IFS(AC1411&lt;=5,"0-5",AC1411&lt;=10,"5-10",AC1411&lt;=40,"10-40")</f>
        <v>5-10</v>
      </c>
      <c r="AE1411">
        <v>9</v>
      </c>
      <c r="AF1411">
        <v>9</v>
      </c>
      <c r="AG1411">
        <v>4</v>
      </c>
      <c r="AH1411">
        <v>1410</v>
      </c>
    </row>
    <row r="1412" spans="1:34" x14ac:dyDescent="0.3">
      <c r="A1412">
        <v>40</v>
      </c>
      <c r="B1412" t="str" cm="1">
        <f t="array" ref="B1412">_xlfn.IFS(A1412&lt;=25,"18-25",A1412&lt;=35,"26-35",A1412&lt;=45,"36-45",A1412&lt;=55,"46-55",A1412&gt;55,"55+")</f>
        <v>36-45</v>
      </c>
      <c r="C1412">
        <v>0</v>
      </c>
      <c r="D1412" t="s">
        <v>32</v>
      </c>
      <c r="E1412">
        <v>444</v>
      </c>
      <c r="F1412" t="s">
        <v>33</v>
      </c>
      <c r="G1412">
        <v>2</v>
      </c>
      <c r="H1412" t="s">
        <v>34</v>
      </c>
      <c r="I1412" t="s">
        <v>72</v>
      </c>
      <c r="J1412" t="s">
        <v>36</v>
      </c>
      <c r="K1412" t="s">
        <v>37</v>
      </c>
      <c r="L1412">
        <v>92</v>
      </c>
      <c r="M1412" t="s">
        <v>38</v>
      </c>
      <c r="N1412" t="s">
        <v>39</v>
      </c>
      <c r="O1412" t="s">
        <v>40</v>
      </c>
      <c r="P1412" t="s">
        <v>36</v>
      </c>
      <c r="Q1412" t="s">
        <v>52</v>
      </c>
      <c r="R1412">
        <v>5677</v>
      </c>
      <c r="S1412">
        <v>4258</v>
      </c>
      <c r="T1412">
        <v>3</v>
      </c>
      <c r="U1412" t="s">
        <v>46</v>
      </c>
      <c r="V1412">
        <v>14</v>
      </c>
      <c r="W1412" t="s">
        <v>43</v>
      </c>
      <c r="X1412" t="s">
        <v>38</v>
      </c>
      <c r="Y1412">
        <v>1</v>
      </c>
      <c r="Z1412">
        <v>15</v>
      </c>
      <c r="AA1412">
        <v>4</v>
      </c>
      <c r="AB1412" t="s">
        <v>54</v>
      </c>
      <c r="AC1412">
        <v>11</v>
      </c>
      <c r="AD1412" t="str" cm="1">
        <f t="array" ref="AD1412">_xlfn.IFS(AC1412&lt;=5,"0-5",AC1412&lt;=10,"5-10",AC1412&lt;=40,"10-40")</f>
        <v>10-40</v>
      </c>
      <c r="AE1412">
        <v>8</v>
      </c>
      <c r="AF1412">
        <v>5</v>
      </c>
      <c r="AG1412">
        <v>10</v>
      </c>
      <c r="AH1412">
        <v>1411</v>
      </c>
    </row>
    <row r="1413" spans="1:34" x14ac:dyDescent="0.3">
      <c r="A1413">
        <v>25</v>
      </c>
      <c r="B1413" t="str" cm="1">
        <f t="array" ref="B1413">_xlfn.IFS(A1413&lt;=25,"18-25",A1413&lt;=35,"26-35",A1413&lt;=45,"36-45",A1413&lt;=55,"46-55",A1413&gt;55,"55+")</f>
        <v>18-25</v>
      </c>
      <c r="C1413">
        <v>0</v>
      </c>
      <c r="D1413" t="s">
        <v>32</v>
      </c>
      <c r="E1413">
        <v>309</v>
      </c>
      <c r="F1413" t="s">
        <v>76</v>
      </c>
      <c r="G1413">
        <v>2</v>
      </c>
      <c r="H1413" t="s">
        <v>61</v>
      </c>
      <c r="I1413" t="s">
        <v>76</v>
      </c>
      <c r="J1413" t="s">
        <v>38</v>
      </c>
      <c r="K1413" t="s">
        <v>37</v>
      </c>
      <c r="L1413">
        <v>82</v>
      </c>
      <c r="M1413" t="s">
        <v>38</v>
      </c>
      <c r="N1413" t="s">
        <v>56</v>
      </c>
      <c r="O1413" t="s">
        <v>76</v>
      </c>
      <c r="P1413" t="s">
        <v>36</v>
      </c>
      <c r="Q1413" t="s">
        <v>52</v>
      </c>
      <c r="R1413">
        <v>2187</v>
      </c>
      <c r="S1413">
        <v>19655</v>
      </c>
      <c r="T1413">
        <v>4</v>
      </c>
      <c r="U1413" t="s">
        <v>46</v>
      </c>
      <c r="V1413">
        <v>14</v>
      </c>
      <c r="W1413" t="s">
        <v>43</v>
      </c>
      <c r="X1413" t="s">
        <v>38</v>
      </c>
      <c r="Y1413">
        <v>0</v>
      </c>
      <c r="Z1413">
        <v>6</v>
      </c>
      <c r="AA1413">
        <v>3</v>
      </c>
      <c r="AB1413" t="s">
        <v>54</v>
      </c>
      <c r="AC1413">
        <v>2</v>
      </c>
      <c r="AD1413" t="str" cm="1">
        <f t="array" ref="AD1413">_xlfn.IFS(AC1413&lt;=5,"0-5",AC1413&lt;=10,"5-10",AC1413&lt;=40,"10-40")</f>
        <v>0-5</v>
      </c>
      <c r="AE1413">
        <v>0</v>
      </c>
      <c r="AF1413">
        <v>1</v>
      </c>
      <c r="AG1413">
        <v>2</v>
      </c>
      <c r="AH1413">
        <v>1412</v>
      </c>
    </row>
    <row r="1414" spans="1:34" x14ac:dyDescent="0.3">
      <c r="A1414">
        <v>30</v>
      </c>
      <c r="B1414" t="str" cm="1">
        <f t="array" ref="B1414">_xlfn.IFS(A1414&lt;=25,"18-25",A1414&lt;=35,"26-35",A1414&lt;=45,"36-45",A1414&lt;=55,"46-55",A1414&gt;55,"55+")</f>
        <v>26-35</v>
      </c>
      <c r="C1414">
        <v>0</v>
      </c>
      <c r="D1414" t="s">
        <v>32</v>
      </c>
      <c r="E1414">
        <v>911</v>
      </c>
      <c r="F1414" t="s">
        <v>48</v>
      </c>
      <c r="G1414">
        <v>1</v>
      </c>
      <c r="H1414" t="s">
        <v>34</v>
      </c>
      <c r="I1414" t="s">
        <v>59</v>
      </c>
      <c r="J1414" t="s">
        <v>41</v>
      </c>
      <c r="K1414" t="s">
        <v>50</v>
      </c>
      <c r="L1414">
        <v>76</v>
      </c>
      <c r="M1414" t="s">
        <v>38</v>
      </c>
      <c r="N1414" t="s">
        <v>56</v>
      </c>
      <c r="O1414" t="s">
        <v>57</v>
      </c>
      <c r="P1414" t="s">
        <v>36</v>
      </c>
      <c r="Q1414" t="s">
        <v>52</v>
      </c>
      <c r="R1414">
        <v>3748</v>
      </c>
      <c r="S1414">
        <v>4077</v>
      </c>
      <c r="T1414">
        <v>1</v>
      </c>
      <c r="U1414" t="s">
        <v>46</v>
      </c>
      <c r="V1414">
        <v>13</v>
      </c>
      <c r="W1414" t="s">
        <v>43</v>
      </c>
      <c r="X1414" t="s">
        <v>38</v>
      </c>
      <c r="Y1414">
        <v>0</v>
      </c>
      <c r="Z1414">
        <v>12</v>
      </c>
      <c r="AA1414">
        <v>6</v>
      </c>
      <c r="AB1414" t="s">
        <v>60</v>
      </c>
      <c r="AC1414">
        <v>12</v>
      </c>
      <c r="AD1414" t="str" cm="1">
        <f t="array" ref="AD1414">_xlfn.IFS(AC1414&lt;=5,"0-5",AC1414&lt;=10,"5-10",AC1414&lt;=40,"10-40")</f>
        <v>10-40</v>
      </c>
      <c r="AE1414">
        <v>8</v>
      </c>
      <c r="AF1414">
        <v>1</v>
      </c>
      <c r="AG1414">
        <v>7</v>
      </c>
      <c r="AH1414">
        <v>1413</v>
      </c>
    </row>
    <row r="1415" spans="1:34" x14ac:dyDescent="0.3">
      <c r="A1415">
        <v>25</v>
      </c>
      <c r="B1415" t="str" cm="1">
        <f t="array" ref="B1415">_xlfn.IFS(A1415&lt;=25,"18-25",A1415&lt;=35,"26-35",A1415&lt;=45,"36-45",A1415&lt;=55,"46-55",A1415&gt;55,"55+")</f>
        <v>18-25</v>
      </c>
      <c r="C1415">
        <v>0</v>
      </c>
      <c r="D1415" t="s">
        <v>32</v>
      </c>
      <c r="E1415">
        <v>977</v>
      </c>
      <c r="F1415" t="s">
        <v>48</v>
      </c>
      <c r="G1415">
        <v>2</v>
      </c>
      <c r="H1415" t="s">
        <v>49</v>
      </c>
      <c r="I1415" t="s">
        <v>55</v>
      </c>
      <c r="J1415" t="s">
        <v>41</v>
      </c>
      <c r="K1415" t="s">
        <v>50</v>
      </c>
      <c r="L1415">
        <v>57</v>
      </c>
      <c r="M1415" t="s">
        <v>38</v>
      </c>
      <c r="N1415" t="s">
        <v>56</v>
      </c>
      <c r="O1415" t="s">
        <v>57</v>
      </c>
      <c r="P1415" t="s">
        <v>38</v>
      </c>
      <c r="Q1415" t="s">
        <v>62</v>
      </c>
      <c r="R1415">
        <v>3977</v>
      </c>
      <c r="S1415">
        <v>7298</v>
      </c>
      <c r="T1415">
        <v>6</v>
      </c>
      <c r="U1415" t="s">
        <v>31</v>
      </c>
      <c r="V1415">
        <v>19</v>
      </c>
      <c r="W1415" t="s">
        <v>43</v>
      </c>
      <c r="X1415" t="s">
        <v>38</v>
      </c>
      <c r="Y1415">
        <v>1</v>
      </c>
      <c r="Z1415">
        <v>7</v>
      </c>
      <c r="AA1415">
        <v>2</v>
      </c>
      <c r="AB1415" t="s">
        <v>60</v>
      </c>
      <c r="AC1415">
        <v>2</v>
      </c>
      <c r="AD1415" t="str" cm="1">
        <f t="array" ref="AD1415">_xlfn.IFS(AC1415&lt;=5,"0-5",AC1415&lt;=10,"5-10",AC1415&lt;=40,"10-40")</f>
        <v>0-5</v>
      </c>
      <c r="AE1415">
        <v>2</v>
      </c>
      <c r="AF1415">
        <v>0</v>
      </c>
      <c r="AG1415">
        <v>2</v>
      </c>
      <c r="AH1415">
        <v>1414</v>
      </c>
    </row>
    <row r="1416" spans="1:34" x14ac:dyDescent="0.3">
      <c r="A1416">
        <v>47</v>
      </c>
      <c r="B1416" t="str" cm="1">
        <f t="array" ref="B1416">_xlfn.IFS(A1416&lt;=25,"18-25",A1416&lt;=35,"26-35",A1416&lt;=45,"36-45",A1416&lt;=55,"46-55",A1416&gt;55,"55+")</f>
        <v>46-55</v>
      </c>
      <c r="C1416">
        <v>0</v>
      </c>
      <c r="D1416" t="s">
        <v>32</v>
      </c>
      <c r="E1416">
        <v>1180</v>
      </c>
      <c r="F1416" t="s">
        <v>48</v>
      </c>
      <c r="G1416">
        <v>25</v>
      </c>
      <c r="H1416" t="s">
        <v>61</v>
      </c>
      <c r="I1416" t="s">
        <v>59</v>
      </c>
      <c r="J1416" t="s">
        <v>44</v>
      </c>
      <c r="K1416" t="s">
        <v>50</v>
      </c>
      <c r="L1416">
        <v>84</v>
      </c>
      <c r="M1416" t="s">
        <v>38</v>
      </c>
      <c r="N1416" t="s">
        <v>63</v>
      </c>
      <c r="O1416" t="s">
        <v>65</v>
      </c>
      <c r="P1416" t="s">
        <v>38</v>
      </c>
      <c r="Q1416" t="s">
        <v>42</v>
      </c>
      <c r="R1416">
        <v>8633</v>
      </c>
      <c r="S1416">
        <v>13084</v>
      </c>
      <c r="T1416">
        <v>2</v>
      </c>
      <c r="U1416" t="s">
        <v>46</v>
      </c>
      <c r="V1416">
        <v>23</v>
      </c>
      <c r="W1416" t="s">
        <v>53</v>
      </c>
      <c r="X1416" t="s">
        <v>36</v>
      </c>
      <c r="Y1416">
        <v>0</v>
      </c>
      <c r="Z1416">
        <v>25</v>
      </c>
      <c r="AA1416">
        <v>3</v>
      </c>
      <c r="AB1416" t="s">
        <v>54</v>
      </c>
      <c r="AC1416">
        <v>17</v>
      </c>
      <c r="AD1416" t="str" cm="1">
        <f t="array" ref="AD1416">_xlfn.IFS(AC1416&lt;=5,"0-5",AC1416&lt;=10,"5-10",AC1416&lt;=40,"10-40")</f>
        <v>10-40</v>
      </c>
      <c r="AE1416">
        <v>14</v>
      </c>
      <c r="AF1416">
        <v>12</v>
      </c>
      <c r="AG1416">
        <v>11</v>
      </c>
      <c r="AH1416">
        <v>1415</v>
      </c>
    </row>
    <row r="1417" spans="1:34" x14ac:dyDescent="0.3">
      <c r="A1417">
        <v>33</v>
      </c>
      <c r="B1417" t="str" cm="1">
        <f t="array" ref="B1417">_xlfn.IFS(A1417&lt;=25,"18-25",A1417&lt;=35,"26-35",A1417&lt;=45,"36-45",A1417&lt;=55,"46-55",A1417&gt;55,"55+")</f>
        <v>26-35</v>
      </c>
      <c r="C1417">
        <v>0</v>
      </c>
      <c r="D1417" t="s">
        <v>66</v>
      </c>
      <c r="E1417">
        <v>1313</v>
      </c>
      <c r="F1417" t="s">
        <v>48</v>
      </c>
      <c r="G1417">
        <v>1</v>
      </c>
      <c r="H1417" t="s">
        <v>34</v>
      </c>
      <c r="I1417" t="s">
        <v>59</v>
      </c>
      <c r="J1417" t="s">
        <v>36</v>
      </c>
      <c r="K1417" t="s">
        <v>50</v>
      </c>
      <c r="L1417">
        <v>59</v>
      </c>
      <c r="M1417" t="s">
        <v>36</v>
      </c>
      <c r="N1417" t="s">
        <v>56</v>
      </c>
      <c r="O1417" t="s">
        <v>57</v>
      </c>
      <c r="P1417" t="s">
        <v>38</v>
      </c>
      <c r="Q1417" t="s">
        <v>62</v>
      </c>
      <c r="R1417">
        <v>2008</v>
      </c>
      <c r="S1417">
        <v>20439</v>
      </c>
      <c r="T1417">
        <v>1</v>
      </c>
      <c r="U1417" t="s">
        <v>46</v>
      </c>
      <c r="V1417">
        <v>12</v>
      </c>
      <c r="W1417" t="s">
        <v>43</v>
      </c>
      <c r="X1417" t="s">
        <v>38</v>
      </c>
      <c r="Y1417">
        <v>3</v>
      </c>
      <c r="Z1417">
        <v>1</v>
      </c>
      <c r="AA1417">
        <v>2</v>
      </c>
      <c r="AB1417" t="s">
        <v>60</v>
      </c>
      <c r="AC1417">
        <v>1</v>
      </c>
      <c r="AD1417" t="str" cm="1">
        <f t="array" ref="AD1417">_xlfn.IFS(AC1417&lt;=5,"0-5",AC1417&lt;=10,"5-10",AC1417&lt;=40,"10-40")</f>
        <v>0-5</v>
      </c>
      <c r="AE1417">
        <v>1</v>
      </c>
      <c r="AF1417">
        <v>0</v>
      </c>
      <c r="AG1417">
        <v>0</v>
      </c>
      <c r="AH1417">
        <v>1416</v>
      </c>
    </row>
    <row r="1418" spans="1:34" x14ac:dyDescent="0.3">
      <c r="A1418">
        <v>38</v>
      </c>
      <c r="B1418" t="str" cm="1">
        <f t="array" ref="B1418">_xlfn.IFS(A1418&lt;=25,"18-25",A1418&lt;=35,"26-35",A1418&lt;=45,"36-45",A1418&lt;=55,"46-55",A1418&gt;55,"55+")</f>
        <v>36-45</v>
      </c>
      <c r="C1418">
        <v>0</v>
      </c>
      <c r="D1418" t="s">
        <v>32</v>
      </c>
      <c r="E1418">
        <v>1321</v>
      </c>
      <c r="F1418" t="s">
        <v>33</v>
      </c>
      <c r="G1418">
        <v>1</v>
      </c>
      <c r="H1418" t="s">
        <v>58</v>
      </c>
      <c r="I1418" t="s">
        <v>35</v>
      </c>
      <c r="J1418" t="s">
        <v>41</v>
      </c>
      <c r="K1418" t="s">
        <v>50</v>
      </c>
      <c r="L1418">
        <v>86</v>
      </c>
      <c r="M1418" t="s">
        <v>38</v>
      </c>
      <c r="N1418" t="s">
        <v>39</v>
      </c>
      <c r="O1418" t="s">
        <v>40</v>
      </c>
      <c r="P1418" t="s">
        <v>36</v>
      </c>
      <c r="Q1418" t="s">
        <v>52</v>
      </c>
      <c r="R1418">
        <v>4440</v>
      </c>
      <c r="S1418">
        <v>7636</v>
      </c>
      <c r="T1418">
        <v>0</v>
      </c>
      <c r="U1418" t="s">
        <v>46</v>
      </c>
      <c r="V1418">
        <v>15</v>
      </c>
      <c r="W1418" t="s">
        <v>43</v>
      </c>
      <c r="X1418" t="s">
        <v>44</v>
      </c>
      <c r="Y1418">
        <v>2</v>
      </c>
      <c r="Z1418">
        <v>16</v>
      </c>
      <c r="AA1418">
        <v>3</v>
      </c>
      <c r="AB1418" t="s">
        <v>54</v>
      </c>
      <c r="AC1418">
        <v>15</v>
      </c>
      <c r="AD1418" t="str" cm="1">
        <f t="array" ref="AD1418">_xlfn.IFS(AC1418&lt;=5,"0-5",AC1418&lt;=10,"5-10",AC1418&lt;=40,"10-40")</f>
        <v>10-40</v>
      </c>
      <c r="AE1418">
        <v>13</v>
      </c>
      <c r="AF1418">
        <v>5</v>
      </c>
      <c r="AG1418">
        <v>8</v>
      </c>
      <c r="AH1418">
        <v>1417</v>
      </c>
    </row>
    <row r="1419" spans="1:34" x14ac:dyDescent="0.3">
      <c r="A1419">
        <v>31</v>
      </c>
      <c r="B1419" t="str" cm="1">
        <f t="array" ref="B1419">_xlfn.IFS(A1419&lt;=25,"18-25",A1419&lt;=35,"26-35",A1419&lt;=45,"36-45",A1419&lt;=55,"46-55",A1419&gt;55,"55+")</f>
        <v>26-35</v>
      </c>
      <c r="C1419">
        <v>0</v>
      </c>
      <c r="D1419" t="s">
        <v>32</v>
      </c>
      <c r="E1419">
        <v>1154</v>
      </c>
      <c r="F1419" t="s">
        <v>33</v>
      </c>
      <c r="G1419">
        <v>2</v>
      </c>
      <c r="H1419" t="s">
        <v>34</v>
      </c>
      <c r="I1419" t="s">
        <v>35</v>
      </c>
      <c r="J1419" t="s">
        <v>44</v>
      </c>
      <c r="K1419" t="s">
        <v>50</v>
      </c>
      <c r="L1419">
        <v>54</v>
      </c>
      <c r="M1419" t="s">
        <v>38</v>
      </c>
      <c r="N1419" t="s">
        <v>56</v>
      </c>
      <c r="O1419" t="s">
        <v>69</v>
      </c>
      <c r="P1419" t="s">
        <v>38</v>
      </c>
      <c r="Q1419" t="s">
        <v>52</v>
      </c>
      <c r="R1419">
        <v>3067</v>
      </c>
      <c r="S1419">
        <v>6393</v>
      </c>
      <c r="T1419">
        <v>0</v>
      </c>
      <c r="U1419" t="s">
        <v>46</v>
      </c>
      <c r="V1419">
        <v>19</v>
      </c>
      <c r="W1419" t="s">
        <v>43</v>
      </c>
      <c r="X1419" t="s">
        <v>38</v>
      </c>
      <c r="Y1419">
        <v>1</v>
      </c>
      <c r="Z1419">
        <v>3</v>
      </c>
      <c r="AA1419">
        <v>1</v>
      </c>
      <c r="AB1419" t="s">
        <v>54</v>
      </c>
      <c r="AC1419">
        <v>2</v>
      </c>
      <c r="AD1419" t="str" cm="1">
        <f t="array" ref="AD1419">_xlfn.IFS(AC1419&lt;=5,"0-5",AC1419&lt;=10,"5-10",AC1419&lt;=40,"10-40")</f>
        <v>0-5</v>
      </c>
      <c r="AE1419">
        <v>2</v>
      </c>
      <c r="AF1419">
        <v>1</v>
      </c>
      <c r="AG1419">
        <v>2</v>
      </c>
      <c r="AH1419">
        <v>1418</v>
      </c>
    </row>
    <row r="1420" spans="1:34" x14ac:dyDescent="0.3">
      <c r="A1420">
        <v>38</v>
      </c>
      <c r="B1420" t="str" cm="1">
        <f t="array" ref="B1420">_xlfn.IFS(A1420&lt;=25,"18-25",A1420&lt;=35,"26-35",A1420&lt;=45,"36-45",A1420&lt;=55,"46-55",A1420&gt;55,"55+")</f>
        <v>36-45</v>
      </c>
      <c r="C1420">
        <v>0</v>
      </c>
      <c r="D1420" t="s">
        <v>47</v>
      </c>
      <c r="E1420">
        <v>508</v>
      </c>
      <c r="F1420" t="s">
        <v>48</v>
      </c>
      <c r="G1420">
        <v>6</v>
      </c>
      <c r="H1420" t="s">
        <v>58</v>
      </c>
      <c r="I1420" t="s">
        <v>35</v>
      </c>
      <c r="J1420" t="s">
        <v>44</v>
      </c>
      <c r="K1420" t="s">
        <v>50</v>
      </c>
      <c r="L1420">
        <v>72</v>
      </c>
      <c r="M1420" t="s">
        <v>36</v>
      </c>
      <c r="N1420" t="s">
        <v>39</v>
      </c>
      <c r="O1420" t="s">
        <v>64</v>
      </c>
      <c r="P1420" t="s">
        <v>38</v>
      </c>
      <c r="Q1420" t="s">
        <v>52</v>
      </c>
      <c r="R1420">
        <v>5321</v>
      </c>
      <c r="S1420">
        <v>14284</v>
      </c>
      <c r="T1420">
        <v>2</v>
      </c>
      <c r="U1420" t="s">
        <v>46</v>
      </c>
      <c r="V1420">
        <v>11</v>
      </c>
      <c r="W1420" t="s">
        <v>43</v>
      </c>
      <c r="X1420" t="s">
        <v>41</v>
      </c>
      <c r="Y1420">
        <v>1</v>
      </c>
      <c r="Z1420">
        <v>10</v>
      </c>
      <c r="AA1420">
        <v>1</v>
      </c>
      <c r="AB1420" t="s">
        <v>54</v>
      </c>
      <c r="AC1420">
        <v>8</v>
      </c>
      <c r="AD1420" t="str" cm="1">
        <f t="array" ref="AD1420">_xlfn.IFS(AC1420&lt;=5,"0-5",AC1420&lt;=10,"5-10",AC1420&lt;=40,"10-40")</f>
        <v>5-10</v>
      </c>
      <c r="AE1420">
        <v>3</v>
      </c>
      <c r="AF1420">
        <v>7</v>
      </c>
      <c r="AG1420">
        <v>7</v>
      </c>
      <c r="AH1420">
        <v>1419</v>
      </c>
    </row>
    <row r="1421" spans="1:34" x14ac:dyDescent="0.3">
      <c r="A1421">
        <v>42</v>
      </c>
      <c r="B1421" t="str" cm="1">
        <f t="array" ref="B1421">_xlfn.IFS(A1421&lt;=25,"18-25",A1421&lt;=35,"26-35",A1421&lt;=45,"36-45",A1421&lt;=55,"46-55",A1421&gt;55,"55+")</f>
        <v>36-45</v>
      </c>
      <c r="C1421">
        <v>0</v>
      </c>
      <c r="D1421" t="s">
        <v>32</v>
      </c>
      <c r="E1421">
        <v>557</v>
      </c>
      <c r="F1421" t="s">
        <v>48</v>
      </c>
      <c r="G1421">
        <v>18</v>
      </c>
      <c r="H1421" t="s">
        <v>58</v>
      </c>
      <c r="I1421" t="s">
        <v>35</v>
      </c>
      <c r="J1421" t="s">
        <v>41</v>
      </c>
      <c r="K1421" t="s">
        <v>50</v>
      </c>
      <c r="L1421">
        <v>35</v>
      </c>
      <c r="M1421" t="s">
        <v>38</v>
      </c>
      <c r="N1421" t="s">
        <v>39</v>
      </c>
      <c r="O1421" t="s">
        <v>51</v>
      </c>
      <c r="P1421" t="s">
        <v>44</v>
      </c>
      <c r="Q1421" t="s">
        <v>62</v>
      </c>
      <c r="R1421">
        <v>5410</v>
      </c>
      <c r="S1421">
        <v>11189</v>
      </c>
      <c r="T1421">
        <v>6</v>
      </c>
      <c r="U1421" t="s">
        <v>31</v>
      </c>
      <c r="V1421">
        <v>17</v>
      </c>
      <c r="W1421" t="s">
        <v>43</v>
      </c>
      <c r="X1421" t="s">
        <v>38</v>
      </c>
      <c r="Y1421">
        <v>1</v>
      </c>
      <c r="Z1421">
        <v>9</v>
      </c>
      <c r="AA1421">
        <v>3</v>
      </c>
      <c r="AB1421" t="s">
        <v>60</v>
      </c>
      <c r="AC1421">
        <v>4</v>
      </c>
      <c r="AD1421" t="str" cm="1">
        <f t="array" ref="AD1421">_xlfn.IFS(AC1421&lt;=5,"0-5",AC1421&lt;=10,"5-10",AC1421&lt;=40,"10-40")</f>
        <v>0-5</v>
      </c>
      <c r="AE1421">
        <v>3</v>
      </c>
      <c r="AF1421">
        <v>1</v>
      </c>
      <c r="AG1421">
        <v>2</v>
      </c>
      <c r="AH1421">
        <v>1420</v>
      </c>
    </row>
    <row r="1422" spans="1:34" x14ac:dyDescent="0.3">
      <c r="A1422">
        <v>41</v>
      </c>
      <c r="B1422" t="str" cm="1">
        <f t="array" ref="B1422">_xlfn.IFS(A1422&lt;=25,"18-25",A1422&lt;=35,"26-35",A1422&lt;=45,"36-45",A1422&lt;=55,"46-55",A1422&gt;55,"55+")</f>
        <v>36-45</v>
      </c>
      <c r="C1422">
        <v>0</v>
      </c>
      <c r="D1422" t="s">
        <v>32</v>
      </c>
      <c r="E1422">
        <v>642</v>
      </c>
      <c r="F1422" t="s">
        <v>48</v>
      </c>
      <c r="G1422">
        <v>1</v>
      </c>
      <c r="H1422" t="s">
        <v>61</v>
      </c>
      <c r="I1422" t="s">
        <v>35</v>
      </c>
      <c r="J1422" t="s">
        <v>41</v>
      </c>
      <c r="K1422" t="s">
        <v>50</v>
      </c>
      <c r="L1422">
        <v>76</v>
      </c>
      <c r="M1422" t="s">
        <v>38</v>
      </c>
      <c r="N1422" t="s">
        <v>56</v>
      </c>
      <c r="O1422" t="s">
        <v>51</v>
      </c>
      <c r="P1422" t="s">
        <v>41</v>
      </c>
      <c r="Q1422" t="s">
        <v>52</v>
      </c>
      <c r="R1422">
        <v>2782</v>
      </c>
      <c r="S1422">
        <v>21412</v>
      </c>
      <c r="T1422">
        <v>3</v>
      </c>
      <c r="U1422" t="s">
        <v>46</v>
      </c>
      <c r="V1422">
        <v>22</v>
      </c>
      <c r="W1422" t="s">
        <v>53</v>
      </c>
      <c r="X1422" t="s">
        <v>44</v>
      </c>
      <c r="Y1422">
        <v>1</v>
      </c>
      <c r="Z1422">
        <v>12</v>
      </c>
      <c r="AA1422">
        <v>3</v>
      </c>
      <c r="AB1422" t="s">
        <v>54</v>
      </c>
      <c r="AC1422">
        <v>5</v>
      </c>
      <c r="AD1422" t="str" cm="1">
        <f t="array" ref="AD1422">_xlfn.IFS(AC1422&lt;=5,"0-5",AC1422&lt;=10,"5-10",AC1422&lt;=40,"10-40")</f>
        <v>0-5</v>
      </c>
      <c r="AE1422">
        <v>3</v>
      </c>
      <c r="AF1422">
        <v>1</v>
      </c>
      <c r="AG1422">
        <v>0</v>
      </c>
      <c r="AH1422">
        <v>1421</v>
      </c>
    </row>
    <row r="1423" spans="1:34" x14ac:dyDescent="0.3">
      <c r="A1423">
        <v>47</v>
      </c>
      <c r="B1423" t="str" cm="1">
        <f t="array" ref="B1423">_xlfn.IFS(A1423&lt;=25,"18-25",A1423&lt;=35,"26-35",A1423&lt;=45,"36-45",A1423&lt;=55,"46-55",A1423&gt;55,"55+")</f>
        <v>46-55</v>
      </c>
      <c r="C1423">
        <v>0</v>
      </c>
      <c r="D1423" t="s">
        <v>66</v>
      </c>
      <c r="E1423">
        <v>1162</v>
      </c>
      <c r="F1423" t="s">
        <v>48</v>
      </c>
      <c r="G1423">
        <v>1</v>
      </c>
      <c r="H1423" t="s">
        <v>49</v>
      </c>
      <c r="I1423" t="s">
        <v>59</v>
      </c>
      <c r="J1423" t="s">
        <v>38</v>
      </c>
      <c r="K1423" t="s">
        <v>37</v>
      </c>
      <c r="L1423">
        <v>98</v>
      </c>
      <c r="M1423" t="s">
        <v>38</v>
      </c>
      <c r="N1423" t="s">
        <v>63</v>
      </c>
      <c r="O1423" t="s">
        <v>70</v>
      </c>
      <c r="P1423" t="s">
        <v>36</v>
      </c>
      <c r="Q1423" t="s">
        <v>52</v>
      </c>
      <c r="R1423">
        <v>11957</v>
      </c>
      <c r="S1423">
        <v>17231</v>
      </c>
      <c r="T1423">
        <v>0</v>
      </c>
      <c r="U1423" t="s">
        <v>46</v>
      </c>
      <c r="V1423">
        <v>18</v>
      </c>
      <c r="W1423" t="s">
        <v>43</v>
      </c>
      <c r="X1423" t="s">
        <v>44</v>
      </c>
      <c r="Y1423">
        <v>2</v>
      </c>
      <c r="Z1423">
        <v>14</v>
      </c>
      <c r="AA1423">
        <v>3</v>
      </c>
      <c r="AB1423" t="s">
        <v>45</v>
      </c>
      <c r="AC1423">
        <v>13</v>
      </c>
      <c r="AD1423" t="str" cm="1">
        <f t="array" ref="AD1423">_xlfn.IFS(AC1423&lt;=5,"0-5",AC1423&lt;=10,"5-10",AC1423&lt;=40,"10-40")</f>
        <v>10-40</v>
      </c>
      <c r="AE1423">
        <v>8</v>
      </c>
      <c r="AF1423">
        <v>5</v>
      </c>
      <c r="AG1423">
        <v>12</v>
      </c>
      <c r="AH1423">
        <v>1422</v>
      </c>
    </row>
    <row r="1424" spans="1:34" x14ac:dyDescent="0.3">
      <c r="A1424">
        <v>35</v>
      </c>
      <c r="B1424" t="str" cm="1">
        <f t="array" ref="B1424">_xlfn.IFS(A1424&lt;=25,"18-25",A1424&lt;=35,"26-35",A1424&lt;=45,"36-45",A1424&lt;=55,"46-55",A1424&gt;55,"55+")</f>
        <v>26-35</v>
      </c>
      <c r="C1424">
        <v>0</v>
      </c>
      <c r="D1424" t="s">
        <v>32</v>
      </c>
      <c r="E1424">
        <v>1490</v>
      </c>
      <c r="F1424" t="s">
        <v>48</v>
      </c>
      <c r="G1424">
        <v>11</v>
      </c>
      <c r="H1424" t="s">
        <v>58</v>
      </c>
      <c r="I1424" t="s">
        <v>59</v>
      </c>
      <c r="J1424" t="s">
        <v>41</v>
      </c>
      <c r="K1424" t="s">
        <v>50</v>
      </c>
      <c r="L1424">
        <v>43</v>
      </c>
      <c r="M1424" t="s">
        <v>38</v>
      </c>
      <c r="N1424" t="s">
        <v>56</v>
      </c>
      <c r="O1424" t="s">
        <v>57</v>
      </c>
      <c r="P1424" t="s">
        <v>38</v>
      </c>
      <c r="Q1424" t="s">
        <v>52</v>
      </c>
      <c r="R1424">
        <v>2660</v>
      </c>
      <c r="S1424">
        <v>20232</v>
      </c>
      <c r="T1424">
        <v>7</v>
      </c>
      <c r="U1424" t="s">
        <v>31</v>
      </c>
      <c r="V1424">
        <v>11</v>
      </c>
      <c r="W1424" t="s">
        <v>43</v>
      </c>
      <c r="X1424" t="s">
        <v>38</v>
      </c>
      <c r="Y1424">
        <v>1</v>
      </c>
      <c r="Z1424">
        <v>5</v>
      </c>
      <c r="AA1424">
        <v>3</v>
      </c>
      <c r="AB1424" t="s">
        <v>54</v>
      </c>
      <c r="AC1424">
        <v>2</v>
      </c>
      <c r="AD1424" t="str" cm="1">
        <f t="array" ref="AD1424">_xlfn.IFS(AC1424&lt;=5,"0-5",AC1424&lt;=10,"5-10",AC1424&lt;=40,"10-40")</f>
        <v>0-5</v>
      </c>
      <c r="AE1424">
        <v>2</v>
      </c>
      <c r="AF1424">
        <v>2</v>
      </c>
      <c r="AG1424">
        <v>2</v>
      </c>
      <c r="AH1424">
        <v>1423</v>
      </c>
    </row>
    <row r="1425" spans="1:34" x14ac:dyDescent="0.3">
      <c r="A1425">
        <v>22</v>
      </c>
      <c r="B1425" t="str" cm="1">
        <f t="array" ref="B1425">_xlfn.IFS(A1425&lt;=25,"18-25",A1425&lt;=35,"26-35",A1425&lt;=45,"36-45",A1425&lt;=55,"46-55",A1425&gt;55,"55+")</f>
        <v>18-25</v>
      </c>
      <c r="C1425">
        <v>0</v>
      </c>
      <c r="D1425" t="s">
        <v>32</v>
      </c>
      <c r="E1425">
        <v>581</v>
      </c>
      <c r="F1425" t="s">
        <v>48</v>
      </c>
      <c r="G1425">
        <v>1</v>
      </c>
      <c r="H1425" t="s">
        <v>34</v>
      </c>
      <c r="I1425" t="s">
        <v>35</v>
      </c>
      <c r="J1425" t="s">
        <v>41</v>
      </c>
      <c r="K1425" t="s">
        <v>50</v>
      </c>
      <c r="L1425">
        <v>63</v>
      </c>
      <c r="M1425" t="s">
        <v>38</v>
      </c>
      <c r="N1425" t="s">
        <v>56</v>
      </c>
      <c r="O1425" t="s">
        <v>51</v>
      </c>
      <c r="P1425" t="s">
        <v>38</v>
      </c>
      <c r="Q1425" t="s">
        <v>42</v>
      </c>
      <c r="R1425">
        <v>3375</v>
      </c>
      <c r="S1425">
        <v>17624</v>
      </c>
      <c r="T1425">
        <v>0</v>
      </c>
      <c r="U1425" t="s">
        <v>46</v>
      </c>
      <c r="V1425">
        <v>12</v>
      </c>
      <c r="W1425" t="s">
        <v>43</v>
      </c>
      <c r="X1425" t="s">
        <v>41</v>
      </c>
      <c r="Y1425">
        <v>0</v>
      </c>
      <c r="Z1425">
        <v>4</v>
      </c>
      <c r="AA1425">
        <v>2</v>
      </c>
      <c r="AB1425" t="s">
        <v>73</v>
      </c>
      <c r="AC1425">
        <v>3</v>
      </c>
      <c r="AD1425" t="str" cm="1">
        <f t="array" ref="AD1425">_xlfn.IFS(AC1425&lt;=5,"0-5",AC1425&lt;=10,"5-10",AC1425&lt;=40,"10-40")</f>
        <v>0-5</v>
      </c>
      <c r="AE1425">
        <v>2</v>
      </c>
      <c r="AF1425">
        <v>1</v>
      </c>
      <c r="AG1425">
        <v>2</v>
      </c>
      <c r="AH1425">
        <v>1424</v>
      </c>
    </row>
    <row r="1426" spans="1:34" x14ac:dyDescent="0.3">
      <c r="A1426">
        <v>35</v>
      </c>
      <c r="B1426" t="str" cm="1">
        <f t="array" ref="B1426">_xlfn.IFS(A1426&lt;=25,"18-25",A1426&lt;=35,"26-35",A1426&lt;=45,"36-45",A1426&lt;=55,"46-55",A1426&gt;55,"55+")</f>
        <v>26-35</v>
      </c>
      <c r="C1426">
        <v>0</v>
      </c>
      <c r="D1426" t="s">
        <v>32</v>
      </c>
      <c r="E1426">
        <v>1395</v>
      </c>
      <c r="F1426" t="s">
        <v>48</v>
      </c>
      <c r="G1426">
        <v>9</v>
      </c>
      <c r="H1426" t="s">
        <v>58</v>
      </c>
      <c r="I1426" t="s">
        <v>59</v>
      </c>
      <c r="J1426" t="s">
        <v>36</v>
      </c>
      <c r="K1426" t="s">
        <v>50</v>
      </c>
      <c r="L1426">
        <v>48</v>
      </c>
      <c r="M1426" t="s">
        <v>38</v>
      </c>
      <c r="N1426" t="s">
        <v>39</v>
      </c>
      <c r="O1426" t="s">
        <v>51</v>
      </c>
      <c r="P1426" t="s">
        <v>38</v>
      </c>
      <c r="Q1426" t="s">
        <v>42</v>
      </c>
      <c r="R1426">
        <v>5098</v>
      </c>
      <c r="S1426">
        <v>18698</v>
      </c>
      <c r="T1426">
        <v>1</v>
      </c>
      <c r="U1426" t="s">
        <v>46</v>
      </c>
      <c r="V1426">
        <v>19</v>
      </c>
      <c r="W1426" t="s">
        <v>43</v>
      </c>
      <c r="X1426" t="s">
        <v>36</v>
      </c>
      <c r="Y1426">
        <v>0</v>
      </c>
      <c r="Z1426">
        <v>10</v>
      </c>
      <c r="AA1426">
        <v>5</v>
      </c>
      <c r="AB1426" t="s">
        <v>54</v>
      </c>
      <c r="AC1426">
        <v>10</v>
      </c>
      <c r="AD1426" t="str" cm="1">
        <f t="array" ref="AD1426">_xlfn.IFS(AC1426&lt;=5,"0-5",AC1426&lt;=10,"5-10",AC1426&lt;=40,"10-40")</f>
        <v>5-10</v>
      </c>
      <c r="AE1426">
        <v>7</v>
      </c>
      <c r="AF1426">
        <v>0</v>
      </c>
      <c r="AG1426">
        <v>8</v>
      </c>
      <c r="AH1426">
        <v>1425</v>
      </c>
    </row>
    <row r="1427" spans="1:34" x14ac:dyDescent="0.3">
      <c r="A1427">
        <v>33</v>
      </c>
      <c r="B1427" t="str" cm="1">
        <f t="array" ref="B1427">_xlfn.IFS(A1427&lt;=25,"18-25",A1427&lt;=35,"26-35",A1427&lt;=45,"36-45",A1427&lt;=55,"46-55",A1427&gt;55,"55+")</f>
        <v>26-35</v>
      </c>
      <c r="C1427">
        <v>0</v>
      </c>
      <c r="D1427" t="s">
        <v>32</v>
      </c>
      <c r="E1427">
        <v>501</v>
      </c>
      <c r="F1427" t="s">
        <v>48</v>
      </c>
      <c r="G1427">
        <v>15</v>
      </c>
      <c r="H1427" t="s">
        <v>34</v>
      </c>
      <c r="I1427" t="s">
        <v>59</v>
      </c>
      <c r="J1427" t="s">
        <v>36</v>
      </c>
      <c r="K1427" t="s">
        <v>37</v>
      </c>
      <c r="L1427">
        <v>95</v>
      </c>
      <c r="M1427" t="s">
        <v>38</v>
      </c>
      <c r="N1427" t="s">
        <v>39</v>
      </c>
      <c r="O1427" t="s">
        <v>65</v>
      </c>
      <c r="P1427" t="s">
        <v>41</v>
      </c>
      <c r="Q1427" t="s">
        <v>52</v>
      </c>
      <c r="R1427">
        <v>4878</v>
      </c>
      <c r="S1427">
        <v>21653</v>
      </c>
      <c r="T1427">
        <v>0</v>
      </c>
      <c r="U1427" t="s">
        <v>31</v>
      </c>
      <c r="V1427">
        <v>13</v>
      </c>
      <c r="W1427" t="s">
        <v>43</v>
      </c>
      <c r="X1427" t="s">
        <v>44</v>
      </c>
      <c r="Y1427">
        <v>1</v>
      </c>
      <c r="Z1427">
        <v>10</v>
      </c>
      <c r="AA1427">
        <v>6</v>
      </c>
      <c r="AB1427" t="s">
        <v>54</v>
      </c>
      <c r="AC1427">
        <v>9</v>
      </c>
      <c r="AD1427" t="str" cm="1">
        <f t="array" ref="AD1427">_xlfn.IFS(AC1427&lt;=5,"0-5",AC1427&lt;=10,"5-10",AC1427&lt;=40,"10-40")</f>
        <v>5-10</v>
      </c>
      <c r="AE1427">
        <v>7</v>
      </c>
      <c r="AF1427">
        <v>8</v>
      </c>
      <c r="AG1427">
        <v>1</v>
      </c>
      <c r="AH1427">
        <v>1426</v>
      </c>
    </row>
    <row r="1428" spans="1:34" x14ac:dyDescent="0.3">
      <c r="A1428">
        <v>32</v>
      </c>
      <c r="B1428" t="str" cm="1">
        <f t="array" ref="B1428">_xlfn.IFS(A1428&lt;=25,"18-25",A1428&lt;=35,"26-35",A1428&lt;=45,"36-45",A1428&lt;=55,"46-55",A1428&gt;55,"55+")</f>
        <v>26-35</v>
      </c>
      <c r="C1428">
        <v>0</v>
      </c>
      <c r="D1428" t="s">
        <v>32</v>
      </c>
      <c r="E1428">
        <v>267</v>
      </c>
      <c r="F1428" t="s">
        <v>48</v>
      </c>
      <c r="G1428">
        <v>29</v>
      </c>
      <c r="H1428" t="s">
        <v>58</v>
      </c>
      <c r="I1428" t="s">
        <v>35</v>
      </c>
      <c r="J1428" t="s">
        <v>38</v>
      </c>
      <c r="K1428" t="s">
        <v>37</v>
      </c>
      <c r="L1428">
        <v>49</v>
      </c>
      <c r="M1428" t="s">
        <v>36</v>
      </c>
      <c r="N1428" t="s">
        <v>56</v>
      </c>
      <c r="O1428" t="s">
        <v>57</v>
      </c>
      <c r="P1428" t="s">
        <v>36</v>
      </c>
      <c r="Q1428" t="s">
        <v>42</v>
      </c>
      <c r="R1428">
        <v>2837</v>
      </c>
      <c r="S1428">
        <v>15919</v>
      </c>
      <c r="T1428">
        <v>1</v>
      </c>
      <c r="U1428" t="s">
        <v>46</v>
      </c>
      <c r="V1428">
        <v>13</v>
      </c>
      <c r="W1428" t="s">
        <v>43</v>
      </c>
      <c r="X1428" t="s">
        <v>38</v>
      </c>
      <c r="Y1428">
        <v>0</v>
      </c>
      <c r="Z1428">
        <v>6</v>
      </c>
      <c r="AA1428">
        <v>3</v>
      </c>
      <c r="AB1428" t="s">
        <v>54</v>
      </c>
      <c r="AC1428">
        <v>6</v>
      </c>
      <c r="AD1428" t="str" cm="1">
        <f t="array" ref="AD1428">_xlfn.IFS(AC1428&lt;=5,"0-5",AC1428&lt;=10,"5-10",AC1428&lt;=40,"10-40")</f>
        <v>5-10</v>
      </c>
      <c r="AE1428">
        <v>2</v>
      </c>
      <c r="AF1428">
        <v>4</v>
      </c>
      <c r="AG1428">
        <v>1</v>
      </c>
      <c r="AH1428">
        <v>1427</v>
      </c>
    </row>
    <row r="1429" spans="1:34" x14ac:dyDescent="0.3">
      <c r="A1429">
        <v>40</v>
      </c>
      <c r="B1429" t="str" cm="1">
        <f t="array" ref="B1429">_xlfn.IFS(A1429&lt;=25,"18-25",A1429&lt;=35,"26-35",A1429&lt;=45,"36-45",A1429&lt;=55,"46-55",A1429&gt;55,"55+")</f>
        <v>36-45</v>
      </c>
      <c r="C1429">
        <v>0</v>
      </c>
      <c r="D1429" t="s">
        <v>32</v>
      </c>
      <c r="E1429">
        <v>543</v>
      </c>
      <c r="F1429" t="s">
        <v>48</v>
      </c>
      <c r="G1429">
        <v>1</v>
      </c>
      <c r="H1429" t="s">
        <v>58</v>
      </c>
      <c r="I1429" t="s">
        <v>35</v>
      </c>
      <c r="J1429" t="s">
        <v>44</v>
      </c>
      <c r="K1429" t="s">
        <v>50</v>
      </c>
      <c r="L1429">
        <v>83</v>
      </c>
      <c r="M1429" t="s">
        <v>38</v>
      </c>
      <c r="N1429" t="s">
        <v>56</v>
      </c>
      <c r="O1429" t="s">
        <v>57</v>
      </c>
      <c r="P1429" t="s">
        <v>41</v>
      </c>
      <c r="Q1429" t="s">
        <v>52</v>
      </c>
      <c r="R1429">
        <v>2406</v>
      </c>
      <c r="S1429">
        <v>4060</v>
      </c>
      <c r="T1429">
        <v>8</v>
      </c>
      <c r="U1429" t="s">
        <v>46</v>
      </c>
      <c r="V1429">
        <v>19</v>
      </c>
      <c r="W1429" t="s">
        <v>43</v>
      </c>
      <c r="X1429" t="s">
        <v>38</v>
      </c>
      <c r="Y1429">
        <v>2</v>
      </c>
      <c r="Z1429">
        <v>8</v>
      </c>
      <c r="AA1429">
        <v>3</v>
      </c>
      <c r="AB1429" t="s">
        <v>60</v>
      </c>
      <c r="AC1429">
        <v>1</v>
      </c>
      <c r="AD1429" t="str" cm="1">
        <f t="array" ref="AD1429">_xlfn.IFS(AC1429&lt;=5,"0-5",AC1429&lt;=10,"5-10",AC1429&lt;=40,"10-40")</f>
        <v>0-5</v>
      </c>
      <c r="AE1429">
        <v>0</v>
      </c>
      <c r="AF1429">
        <v>0</v>
      </c>
      <c r="AG1429">
        <v>0</v>
      </c>
      <c r="AH1429">
        <v>1428</v>
      </c>
    </row>
    <row r="1430" spans="1:34" x14ac:dyDescent="0.3">
      <c r="A1430">
        <v>32</v>
      </c>
      <c r="B1430" t="str" cm="1">
        <f t="array" ref="B1430">_xlfn.IFS(A1430&lt;=25,"18-25",A1430&lt;=35,"26-35",A1430&lt;=45,"36-45",A1430&lt;=55,"46-55",A1430&gt;55,"55+")</f>
        <v>26-35</v>
      </c>
      <c r="C1430">
        <v>0</v>
      </c>
      <c r="D1430" t="s">
        <v>32</v>
      </c>
      <c r="E1430">
        <v>234</v>
      </c>
      <c r="F1430" t="s">
        <v>33</v>
      </c>
      <c r="G1430">
        <v>1</v>
      </c>
      <c r="H1430" t="s">
        <v>58</v>
      </c>
      <c r="I1430" t="s">
        <v>59</v>
      </c>
      <c r="J1430" t="s">
        <v>36</v>
      </c>
      <c r="K1430" t="s">
        <v>50</v>
      </c>
      <c r="L1430">
        <v>68</v>
      </c>
      <c r="M1430" t="s">
        <v>36</v>
      </c>
      <c r="N1430" t="s">
        <v>56</v>
      </c>
      <c r="O1430" t="s">
        <v>69</v>
      </c>
      <c r="P1430" t="s">
        <v>36</v>
      </c>
      <c r="Q1430" t="s">
        <v>52</v>
      </c>
      <c r="R1430">
        <v>2269</v>
      </c>
      <c r="S1430">
        <v>18024</v>
      </c>
      <c r="T1430">
        <v>0</v>
      </c>
      <c r="U1430" t="s">
        <v>46</v>
      </c>
      <c r="V1430">
        <v>14</v>
      </c>
      <c r="W1430" t="s">
        <v>43</v>
      </c>
      <c r="X1430" t="s">
        <v>36</v>
      </c>
      <c r="Y1430">
        <v>1</v>
      </c>
      <c r="Z1430">
        <v>3</v>
      </c>
      <c r="AA1430">
        <v>2</v>
      </c>
      <c r="AB1430" t="s">
        <v>54</v>
      </c>
      <c r="AC1430">
        <v>2</v>
      </c>
      <c r="AD1430" t="str" cm="1">
        <f t="array" ref="AD1430">_xlfn.IFS(AC1430&lt;=5,"0-5",AC1430&lt;=10,"5-10",AC1430&lt;=40,"10-40")</f>
        <v>0-5</v>
      </c>
      <c r="AE1430">
        <v>2</v>
      </c>
      <c r="AF1430">
        <v>2</v>
      </c>
      <c r="AG1430">
        <v>2</v>
      </c>
      <c r="AH1430">
        <v>1429</v>
      </c>
    </row>
    <row r="1431" spans="1:34" x14ac:dyDescent="0.3">
      <c r="A1431">
        <v>39</v>
      </c>
      <c r="B1431" t="str" cm="1">
        <f t="array" ref="B1431">_xlfn.IFS(A1431&lt;=25,"18-25",A1431&lt;=35,"26-35",A1431&lt;=45,"36-45",A1431&lt;=55,"46-55",A1431&gt;55,"55+")</f>
        <v>36-45</v>
      </c>
      <c r="C1431">
        <v>0</v>
      </c>
      <c r="D1431" t="s">
        <v>32</v>
      </c>
      <c r="E1431">
        <v>116</v>
      </c>
      <c r="F1431" t="s">
        <v>48</v>
      </c>
      <c r="G1431">
        <v>24</v>
      </c>
      <c r="H1431" t="s">
        <v>49</v>
      </c>
      <c r="I1431" t="s">
        <v>35</v>
      </c>
      <c r="J1431" t="s">
        <v>44</v>
      </c>
      <c r="K1431" t="s">
        <v>50</v>
      </c>
      <c r="L1431">
        <v>52</v>
      </c>
      <c r="M1431" t="s">
        <v>38</v>
      </c>
      <c r="N1431" t="s">
        <v>39</v>
      </c>
      <c r="O1431" t="s">
        <v>51</v>
      </c>
      <c r="P1431" t="s">
        <v>41</v>
      </c>
      <c r="Q1431" t="s">
        <v>42</v>
      </c>
      <c r="R1431">
        <v>4108</v>
      </c>
      <c r="S1431">
        <v>5340</v>
      </c>
      <c r="T1431">
        <v>7</v>
      </c>
      <c r="U1431" t="s">
        <v>46</v>
      </c>
      <c r="V1431">
        <v>13</v>
      </c>
      <c r="W1431" t="s">
        <v>43</v>
      </c>
      <c r="X1431" t="s">
        <v>44</v>
      </c>
      <c r="Y1431">
        <v>0</v>
      </c>
      <c r="Z1431">
        <v>18</v>
      </c>
      <c r="AA1431">
        <v>2</v>
      </c>
      <c r="AB1431" t="s">
        <v>54</v>
      </c>
      <c r="AC1431">
        <v>7</v>
      </c>
      <c r="AD1431" t="str" cm="1">
        <f t="array" ref="AD1431">_xlfn.IFS(AC1431&lt;=5,"0-5",AC1431&lt;=10,"5-10",AC1431&lt;=40,"10-40")</f>
        <v>5-10</v>
      </c>
      <c r="AE1431">
        <v>7</v>
      </c>
      <c r="AF1431">
        <v>1</v>
      </c>
      <c r="AG1431">
        <v>7</v>
      </c>
      <c r="AH1431">
        <v>1430</v>
      </c>
    </row>
    <row r="1432" spans="1:34" x14ac:dyDescent="0.3">
      <c r="A1432">
        <v>38</v>
      </c>
      <c r="B1432" t="str" cm="1">
        <f t="array" ref="B1432">_xlfn.IFS(A1432&lt;=25,"18-25",A1432&lt;=35,"26-35",A1432&lt;=45,"36-45",A1432&lt;=55,"46-55",A1432&gt;55,"55+")</f>
        <v>36-45</v>
      </c>
      <c r="C1432">
        <v>0</v>
      </c>
      <c r="D1432" t="s">
        <v>32</v>
      </c>
      <c r="E1432">
        <v>201</v>
      </c>
      <c r="F1432" t="s">
        <v>48</v>
      </c>
      <c r="G1432">
        <v>10</v>
      </c>
      <c r="H1432" t="s">
        <v>61</v>
      </c>
      <c r="I1432" t="s">
        <v>59</v>
      </c>
      <c r="J1432" t="s">
        <v>36</v>
      </c>
      <c r="K1432" t="s">
        <v>37</v>
      </c>
      <c r="L1432">
        <v>99</v>
      </c>
      <c r="M1432" t="s">
        <v>44</v>
      </c>
      <c r="N1432" t="s">
        <v>63</v>
      </c>
      <c r="O1432" t="s">
        <v>70</v>
      </c>
      <c r="P1432" t="s">
        <v>38</v>
      </c>
      <c r="Q1432" t="s">
        <v>52</v>
      </c>
      <c r="R1432">
        <v>13206</v>
      </c>
      <c r="S1432">
        <v>3376</v>
      </c>
      <c r="T1432">
        <v>3</v>
      </c>
      <c r="U1432" t="s">
        <v>46</v>
      </c>
      <c r="V1432">
        <v>12</v>
      </c>
      <c r="W1432" t="s">
        <v>43</v>
      </c>
      <c r="X1432" t="s">
        <v>44</v>
      </c>
      <c r="Y1432">
        <v>1</v>
      </c>
      <c r="Z1432">
        <v>20</v>
      </c>
      <c r="AA1432">
        <v>3</v>
      </c>
      <c r="AB1432" t="s">
        <v>54</v>
      </c>
      <c r="AC1432">
        <v>18</v>
      </c>
      <c r="AD1432" t="str" cm="1">
        <f t="array" ref="AD1432">_xlfn.IFS(AC1432&lt;=5,"0-5",AC1432&lt;=10,"5-10",AC1432&lt;=40,"10-40")</f>
        <v>10-40</v>
      </c>
      <c r="AE1432">
        <v>16</v>
      </c>
      <c r="AF1432">
        <v>1</v>
      </c>
      <c r="AG1432">
        <v>11</v>
      </c>
      <c r="AH1432">
        <v>1431</v>
      </c>
    </row>
    <row r="1433" spans="1:34" x14ac:dyDescent="0.3">
      <c r="A1433">
        <v>32</v>
      </c>
      <c r="B1433" t="str" cm="1">
        <f t="array" ref="B1433">_xlfn.IFS(A1433&lt;=25,"18-25",A1433&lt;=35,"26-35",A1433&lt;=45,"36-45",A1433&lt;=55,"46-55",A1433&gt;55,"55+")</f>
        <v>26-35</v>
      </c>
      <c r="C1433">
        <v>0</v>
      </c>
      <c r="D1433" t="s">
        <v>32</v>
      </c>
      <c r="E1433">
        <v>801</v>
      </c>
      <c r="F1433" t="s">
        <v>33</v>
      </c>
      <c r="G1433">
        <v>1</v>
      </c>
      <c r="H1433" t="s">
        <v>58</v>
      </c>
      <c r="I1433" t="s">
        <v>72</v>
      </c>
      <c r="J1433" t="s">
        <v>38</v>
      </c>
      <c r="K1433" t="s">
        <v>37</v>
      </c>
      <c r="L1433">
        <v>48</v>
      </c>
      <c r="M1433" t="s">
        <v>38</v>
      </c>
      <c r="N1433" t="s">
        <v>63</v>
      </c>
      <c r="O1433" t="s">
        <v>40</v>
      </c>
      <c r="P1433" t="s">
        <v>41</v>
      </c>
      <c r="Q1433" t="s">
        <v>52</v>
      </c>
      <c r="R1433">
        <v>10422</v>
      </c>
      <c r="S1433">
        <v>24032</v>
      </c>
      <c r="T1433">
        <v>1</v>
      </c>
      <c r="U1433" t="s">
        <v>46</v>
      </c>
      <c r="V1433">
        <v>19</v>
      </c>
      <c r="W1433" t="s">
        <v>43</v>
      </c>
      <c r="X1433" t="s">
        <v>38</v>
      </c>
      <c r="Y1433">
        <v>2</v>
      </c>
      <c r="Z1433">
        <v>14</v>
      </c>
      <c r="AA1433">
        <v>3</v>
      </c>
      <c r="AB1433" t="s">
        <v>54</v>
      </c>
      <c r="AC1433">
        <v>14</v>
      </c>
      <c r="AD1433" t="str" cm="1">
        <f t="array" ref="AD1433">_xlfn.IFS(AC1433&lt;=5,"0-5",AC1433&lt;=10,"5-10",AC1433&lt;=40,"10-40")</f>
        <v>10-40</v>
      </c>
      <c r="AE1433">
        <v>10</v>
      </c>
      <c r="AF1433">
        <v>5</v>
      </c>
      <c r="AG1433">
        <v>7</v>
      </c>
      <c r="AH1433">
        <v>1432</v>
      </c>
    </row>
    <row r="1434" spans="1:34" x14ac:dyDescent="0.3">
      <c r="A1434">
        <v>37</v>
      </c>
      <c r="B1434" t="str" cm="1">
        <f t="array" ref="B1434">_xlfn.IFS(A1434&lt;=25,"18-25",A1434&lt;=35,"26-35",A1434&lt;=45,"36-45",A1434&lt;=55,"46-55",A1434&gt;55,"55+")</f>
        <v>36-45</v>
      </c>
      <c r="C1434">
        <v>0</v>
      </c>
      <c r="D1434" t="s">
        <v>32</v>
      </c>
      <c r="E1434">
        <v>161</v>
      </c>
      <c r="F1434" t="s">
        <v>48</v>
      </c>
      <c r="G1434">
        <v>10</v>
      </c>
      <c r="H1434" t="s">
        <v>61</v>
      </c>
      <c r="I1434" t="s">
        <v>35</v>
      </c>
      <c r="J1434" t="s">
        <v>38</v>
      </c>
      <c r="K1434" t="s">
        <v>37</v>
      </c>
      <c r="L1434">
        <v>42</v>
      </c>
      <c r="M1434" t="s">
        <v>41</v>
      </c>
      <c r="N1434" t="s">
        <v>63</v>
      </c>
      <c r="O1434" t="s">
        <v>70</v>
      </c>
      <c r="P1434" t="s">
        <v>41</v>
      </c>
      <c r="Q1434" t="s">
        <v>52</v>
      </c>
      <c r="R1434">
        <v>13744</v>
      </c>
      <c r="S1434">
        <v>15471</v>
      </c>
      <c r="T1434">
        <v>1</v>
      </c>
      <c r="U1434" t="s">
        <v>31</v>
      </c>
      <c r="V1434">
        <v>25</v>
      </c>
      <c r="W1434" t="s">
        <v>53</v>
      </c>
      <c r="X1434" t="s">
        <v>44</v>
      </c>
      <c r="Y1434">
        <v>1</v>
      </c>
      <c r="Z1434">
        <v>16</v>
      </c>
      <c r="AA1434">
        <v>2</v>
      </c>
      <c r="AB1434" t="s">
        <v>54</v>
      </c>
      <c r="AC1434">
        <v>16</v>
      </c>
      <c r="AD1434" t="str" cm="1">
        <f t="array" ref="AD1434">_xlfn.IFS(AC1434&lt;=5,"0-5",AC1434&lt;=10,"5-10",AC1434&lt;=40,"10-40")</f>
        <v>10-40</v>
      </c>
      <c r="AE1434">
        <v>11</v>
      </c>
      <c r="AF1434">
        <v>6</v>
      </c>
      <c r="AG1434">
        <v>8</v>
      </c>
      <c r="AH1434">
        <v>1433</v>
      </c>
    </row>
    <row r="1435" spans="1:34" x14ac:dyDescent="0.3">
      <c r="A1435">
        <v>25</v>
      </c>
      <c r="B1435" t="str" cm="1">
        <f t="array" ref="B1435">_xlfn.IFS(A1435&lt;=25,"18-25",A1435&lt;=35,"26-35",A1435&lt;=45,"36-45",A1435&lt;=55,"46-55",A1435&gt;55,"55+")</f>
        <v>18-25</v>
      </c>
      <c r="C1435">
        <v>0</v>
      </c>
      <c r="D1435" t="s">
        <v>32</v>
      </c>
      <c r="E1435">
        <v>1382</v>
      </c>
      <c r="F1435" t="s">
        <v>33</v>
      </c>
      <c r="G1435">
        <v>8</v>
      </c>
      <c r="H1435" t="s">
        <v>34</v>
      </c>
      <c r="I1435" t="s">
        <v>55</v>
      </c>
      <c r="J1435" t="s">
        <v>44</v>
      </c>
      <c r="K1435" t="s">
        <v>37</v>
      </c>
      <c r="L1435">
        <v>85</v>
      </c>
      <c r="M1435" t="s">
        <v>38</v>
      </c>
      <c r="N1435" t="s">
        <v>39</v>
      </c>
      <c r="O1435" t="s">
        <v>40</v>
      </c>
      <c r="P1435" t="s">
        <v>38</v>
      </c>
      <c r="Q1435" t="s">
        <v>62</v>
      </c>
      <c r="R1435">
        <v>4907</v>
      </c>
      <c r="S1435">
        <v>13684</v>
      </c>
      <c r="T1435">
        <v>0</v>
      </c>
      <c r="U1435" t="s">
        <v>31</v>
      </c>
      <c r="V1435">
        <v>22</v>
      </c>
      <c r="W1435" t="s">
        <v>53</v>
      </c>
      <c r="X1435" t="s">
        <v>36</v>
      </c>
      <c r="Y1435">
        <v>1</v>
      </c>
      <c r="Z1435">
        <v>6</v>
      </c>
      <c r="AA1435">
        <v>3</v>
      </c>
      <c r="AB1435" t="s">
        <v>60</v>
      </c>
      <c r="AC1435">
        <v>5</v>
      </c>
      <c r="AD1435" t="str" cm="1">
        <f t="array" ref="AD1435">_xlfn.IFS(AC1435&lt;=5,"0-5",AC1435&lt;=10,"5-10",AC1435&lt;=40,"10-40")</f>
        <v>0-5</v>
      </c>
      <c r="AE1435">
        <v>3</v>
      </c>
      <c r="AF1435">
        <v>0</v>
      </c>
      <c r="AG1435">
        <v>4</v>
      </c>
      <c r="AH1435">
        <v>1434</v>
      </c>
    </row>
    <row r="1436" spans="1:34" x14ac:dyDescent="0.3">
      <c r="A1436">
        <v>52</v>
      </c>
      <c r="B1436" t="str" cm="1">
        <f t="array" ref="B1436">_xlfn.IFS(A1436&lt;=25,"18-25",A1436&lt;=35,"26-35",A1436&lt;=45,"36-45",A1436&lt;=55,"46-55",A1436&gt;55,"55+")</f>
        <v>46-55</v>
      </c>
      <c r="C1436">
        <v>0</v>
      </c>
      <c r="D1436" t="s">
        <v>66</v>
      </c>
      <c r="E1436">
        <v>585</v>
      </c>
      <c r="F1436" t="s">
        <v>33</v>
      </c>
      <c r="G1436">
        <v>29</v>
      </c>
      <c r="H1436" t="s">
        <v>58</v>
      </c>
      <c r="I1436" t="s">
        <v>35</v>
      </c>
      <c r="J1436" t="s">
        <v>44</v>
      </c>
      <c r="K1436" t="s">
        <v>50</v>
      </c>
      <c r="L1436">
        <v>40</v>
      </c>
      <c r="M1436" t="s">
        <v>38</v>
      </c>
      <c r="N1436" t="s">
        <v>56</v>
      </c>
      <c r="O1436" t="s">
        <v>69</v>
      </c>
      <c r="P1436" t="s">
        <v>41</v>
      </c>
      <c r="Q1436" t="s">
        <v>62</v>
      </c>
      <c r="R1436">
        <v>3482</v>
      </c>
      <c r="S1436">
        <v>19788</v>
      </c>
      <c r="T1436">
        <v>2</v>
      </c>
      <c r="U1436" t="s">
        <v>46</v>
      </c>
      <c r="V1436">
        <v>15</v>
      </c>
      <c r="W1436" t="s">
        <v>43</v>
      </c>
      <c r="X1436" t="s">
        <v>36</v>
      </c>
      <c r="Y1436">
        <v>2</v>
      </c>
      <c r="Z1436">
        <v>16</v>
      </c>
      <c r="AA1436">
        <v>3</v>
      </c>
      <c r="AB1436" t="s">
        <v>60</v>
      </c>
      <c r="AC1436">
        <v>9</v>
      </c>
      <c r="AD1436" t="str" cm="1">
        <f t="array" ref="AD1436">_xlfn.IFS(AC1436&lt;=5,"0-5",AC1436&lt;=10,"5-10",AC1436&lt;=40,"10-40")</f>
        <v>5-10</v>
      </c>
      <c r="AE1436">
        <v>8</v>
      </c>
      <c r="AF1436">
        <v>0</v>
      </c>
      <c r="AG1436">
        <v>0</v>
      </c>
      <c r="AH1436">
        <v>1435</v>
      </c>
    </row>
    <row r="1437" spans="1:34" x14ac:dyDescent="0.3">
      <c r="A1437">
        <v>44</v>
      </c>
      <c r="B1437" t="str" cm="1">
        <f t="array" ref="B1437">_xlfn.IFS(A1437&lt;=25,"18-25",A1437&lt;=35,"26-35",A1437&lt;=45,"36-45",A1437&lt;=55,"46-55",A1437&gt;55,"55+")</f>
        <v>36-45</v>
      </c>
      <c r="C1437">
        <v>0</v>
      </c>
      <c r="D1437" t="s">
        <v>32</v>
      </c>
      <c r="E1437">
        <v>1037</v>
      </c>
      <c r="F1437" t="s">
        <v>48</v>
      </c>
      <c r="G1437">
        <v>1</v>
      </c>
      <c r="H1437" t="s">
        <v>61</v>
      </c>
      <c r="I1437" t="s">
        <v>59</v>
      </c>
      <c r="J1437" t="s">
        <v>36</v>
      </c>
      <c r="K1437" t="s">
        <v>50</v>
      </c>
      <c r="L1437">
        <v>42</v>
      </c>
      <c r="M1437" t="s">
        <v>38</v>
      </c>
      <c r="N1437" t="s">
        <v>56</v>
      </c>
      <c r="O1437" t="s">
        <v>51</v>
      </c>
      <c r="P1437" t="s">
        <v>41</v>
      </c>
      <c r="Q1437" t="s">
        <v>42</v>
      </c>
      <c r="R1437">
        <v>2436</v>
      </c>
      <c r="S1437">
        <v>13422</v>
      </c>
      <c r="T1437">
        <v>6</v>
      </c>
      <c r="U1437" t="s">
        <v>31</v>
      </c>
      <c r="V1437">
        <v>12</v>
      </c>
      <c r="W1437" t="s">
        <v>43</v>
      </c>
      <c r="X1437" t="s">
        <v>38</v>
      </c>
      <c r="Y1437">
        <v>0</v>
      </c>
      <c r="Z1437">
        <v>6</v>
      </c>
      <c r="AA1437">
        <v>2</v>
      </c>
      <c r="AB1437" t="s">
        <v>54</v>
      </c>
      <c r="AC1437">
        <v>4</v>
      </c>
      <c r="AD1437" t="str" cm="1">
        <f t="array" ref="AD1437">_xlfn.IFS(AC1437&lt;=5,"0-5",AC1437&lt;=10,"5-10",AC1437&lt;=40,"10-40")</f>
        <v>0-5</v>
      </c>
      <c r="AE1437">
        <v>3</v>
      </c>
      <c r="AF1437">
        <v>1</v>
      </c>
      <c r="AG1437">
        <v>2</v>
      </c>
      <c r="AH1437">
        <v>1436</v>
      </c>
    </row>
    <row r="1438" spans="1:34" x14ac:dyDescent="0.3">
      <c r="A1438">
        <v>21</v>
      </c>
      <c r="B1438" t="str" cm="1">
        <f t="array" ref="B1438">_xlfn.IFS(A1438&lt;=25,"18-25",A1438&lt;=35,"26-35",A1438&lt;=45,"36-45",A1438&lt;=55,"46-55",A1438&gt;55,"55+")</f>
        <v>18-25</v>
      </c>
      <c r="C1438">
        <v>0</v>
      </c>
      <c r="D1438" t="s">
        <v>32</v>
      </c>
      <c r="E1438">
        <v>501</v>
      </c>
      <c r="F1438" t="s">
        <v>33</v>
      </c>
      <c r="G1438">
        <v>5</v>
      </c>
      <c r="H1438" t="s">
        <v>49</v>
      </c>
      <c r="I1438" t="s">
        <v>59</v>
      </c>
      <c r="J1438" t="s">
        <v>38</v>
      </c>
      <c r="K1438" t="s">
        <v>50</v>
      </c>
      <c r="L1438">
        <v>58</v>
      </c>
      <c r="M1438" t="s">
        <v>38</v>
      </c>
      <c r="N1438" t="s">
        <v>56</v>
      </c>
      <c r="O1438" t="s">
        <v>69</v>
      </c>
      <c r="P1438" t="s">
        <v>44</v>
      </c>
      <c r="Q1438" t="s">
        <v>42</v>
      </c>
      <c r="R1438">
        <v>2380</v>
      </c>
      <c r="S1438">
        <v>25479</v>
      </c>
      <c r="T1438">
        <v>1</v>
      </c>
      <c r="U1438" t="s">
        <v>31</v>
      </c>
      <c r="V1438">
        <v>11</v>
      </c>
      <c r="W1438" t="s">
        <v>43</v>
      </c>
      <c r="X1438" t="s">
        <v>41</v>
      </c>
      <c r="Y1438">
        <v>0</v>
      </c>
      <c r="Z1438">
        <v>2</v>
      </c>
      <c r="AA1438">
        <v>6</v>
      </c>
      <c r="AB1438" t="s">
        <v>54</v>
      </c>
      <c r="AC1438">
        <v>2</v>
      </c>
      <c r="AD1438" t="str" cm="1">
        <f t="array" ref="AD1438">_xlfn.IFS(AC1438&lt;=5,"0-5",AC1438&lt;=10,"5-10",AC1438&lt;=40,"10-40")</f>
        <v>0-5</v>
      </c>
      <c r="AE1438">
        <v>2</v>
      </c>
      <c r="AF1438">
        <v>1</v>
      </c>
      <c r="AG1438">
        <v>2</v>
      </c>
      <c r="AH1438">
        <v>1437</v>
      </c>
    </row>
    <row r="1439" spans="1:34" x14ac:dyDescent="0.3">
      <c r="A1439">
        <v>39</v>
      </c>
      <c r="B1439" t="str" cm="1">
        <f t="array" ref="B1439">_xlfn.IFS(A1439&lt;=25,"18-25",A1439&lt;=35,"26-35",A1439&lt;=45,"36-45",A1439&lt;=55,"46-55",A1439&gt;55,"55+")</f>
        <v>36-45</v>
      </c>
      <c r="C1439">
        <v>0</v>
      </c>
      <c r="D1439" t="s">
        <v>66</v>
      </c>
      <c r="E1439">
        <v>105</v>
      </c>
      <c r="F1439" t="s">
        <v>48</v>
      </c>
      <c r="G1439">
        <v>9</v>
      </c>
      <c r="H1439" t="s">
        <v>61</v>
      </c>
      <c r="I1439" t="s">
        <v>35</v>
      </c>
      <c r="J1439" t="s">
        <v>41</v>
      </c>
      <c r="K1439" t="s">
        <v>50</v>
      </c>
      <c r="L1439">
        <v>87</v>
      </c>
      <c r="M1439" t="s">
        <v>38</v>
      </c>
      <c r="N1439" t="s">
        <v>71</v>
      </c>
      <c r="O1439" t="s">
        <v>68</v>
      </c>
      <c r="P1439" t="s">
        <v>41</v>
      </c>
      <c r="Q1439" t="s">
        <v>42</v>
      </c>
      <c r="R1439">
        <v>19431</v>
      </c>
      <c r="S1439">
        <v>15302</v>
      </c>
      <c r="T1439">
        <v>2</v>
      </c>
      <c r="U1439" t="s">
        <v>46</v>
      </c>
      <c r="V1439">
        <v>13</v>
      </c>
      <c r="W1439" t="s">
        <v>43</v>
      </c>
      <c r="X1439" t="s">
        <v>38</v>
      </c>
      <c r="Y1439">
        <v>0</v>
      </c>
      <c r="Z1439">
        <v>21</v>
      </c>
      <c r="AA1439">
        <v>3</v>
      </c>
      <c r="AB1439" t="s">
        <v>60</v>
      </c>
      <c r="AC1439">
        <v>6</v>
      </c>
      <c r="AD1439" t="str" cm="1">
        <f t="array" ref="AD1439">_xlfn.IFS(AC1439&lt;=5,"0-5",AC1439&lt;=10,"5-10",AC1439&lt;=40,"10-40")</f>
        <v>5-10</v>
      </c>
      <c r="AE1439">
        <v>0</v>
      </c>
      <c r="AF1439">
        <v>1</v>
      </c>
      <c r="AG1439">
        <v>3</v>
      </c>
      <c r="AH1439">
        <v>1438</v>
      </c>
    </row>
    <row r="1440" spans="1:34" x14ac:dyDescent="0.3">
      <c r="A1440">
        <v>23</v>
      </c>
      <c r="B1440" t="str" cm="1">
        <f t="array" ref="B1440">_xlfn.IFS(A1440&lt;=25,"18-25",A1440&lt;=35,"26-35",A1440&lt;=45,"36-45",A1440&lt;=55,"46-55",A1440&gt;55,"55+")</f>
        <v>18-25</v>
      </c>
      <c r="C1440">
        <v>1</v>
      </c>
      <c r="D1440" t="s">
        <v>47</v>
      </c>
      <c r="E1440">
        <v>638</v>
      </c>
      <c r="F1440" t="s">
        <v>33</v>
      </c>
      <c r="G1440">
        <v>9</v>
      </c>
      <c r="H1440" t="s">
        <v>61</v>
      </c>
      <c r="I1440" t="s">
        <v>72</v>
      </c>
      <c r="J1440" t="s">
        <v>41</v>
      </c>
      <c r="K1440" t="s">
        <v>50</v>
      </c>
      <c r="L1440">
        <v>33</v>
      </c>
      <c r="M1440" t="s">
        <v>38</v>
      </c>
      <c r="N1440" t="s">
        <v>56</v>
      </c>
      <c r="O1440" t="s">
        <v>69</v>
      </c>
      <c r="P1440" t="s">
        <v>44</v>
      </c>
      <c r="Q1440" t="s">
        <v>52</v>
      </c>
      <c r="R1440">
        <v>1790</v>
      </c>
      <c r="S1440">
        <v>26956</v>
      </c>
      <c r="T1440">
        <v>1</v>
      </c>
      <c r="U1440" t="s">
        <v>46</v>
      </c>
      <c r="V1440">
        <v>19</v>
      </c>
      <c r="W1440" t="s">
        <v>43</v>
      </c>
      <c r="X1440" t="s">
        <v>44</v>
      </c>
      <c r="Y1440">
        <v>1</v>
      </c>
      <c r="Z1440">
        <v>1</v>
      </c>
      <c r="AA1440">
        <v>3</v>
      </c>
      <c r="AB1440" t="s">
        <v>60</v>
      </c>
      <c r="AC1440">
        <v>1</v>
      </c>
      <c r="AD1440" t="str" cm="1">
        <f t="array" ref="AD1440">_xlfn.IFS(AC1440&lt;=5,"0-5",AC1440&lt;=10,"5-10",AC1440&lt;=40,"10-40")</f>
        <v>0-5</v>
      </c>
      <c r="AE1440">
        <v>0</v>
      </c>
      <c r="AF1440">
        <v>1</v>
      </c>
      <c r="AG1440">
        <v>0</v>
      </c>
      <c r="AH1440">
        <v>1439</v>
      </c>
    </row>
    <row r="1441" spans="1:34" x14ac:dyDescent="0.3">
      <c r="A1441">
        <v>36</v>
      </c>
      <c r="B1441" t="str" cm="1">
        <f t="array" ref="B1441">_xlfn.IFS(A1441&lt;=25,"18-25",A1441&lt;=35,"26-35",A1441&lt;=45,"36-45",A1441&lt;=55,"46-55",A1441&gt;55,"55+")</f>
        <v>36-45</v>
      </c>
      <c r="C1441">
        <v>0</v>
      </c>
      <c r="D1441" t="s">
        <v>32</v>
      </c>
      <c r="E1441">
        <v>557</v>
      </c>
      <c r="F1441" t="s">
        <v>33</v>
      </c>
      <c r="G1441">
        <v>3</v>
      </c>
      <c r="H1441" t="s">
        <v>61</v>
      </c>
      <c r="I1441" t="s">
        <v>59</v>
      </c>
      <c r="J1441" t="s">
        <v>44</v>
      </c>
      <c r="K1441" t="s">
        <v>37</v>
      </c>
      <c r="L1441">
        <v>94</v>
      </c>
      <c r="M1441" t="s">
        <v>36</v>
      </c>
      <c r="N1441" t="s">
        <v>63</v>
      </c>
      <c r="O1441" t="s">
        <v>40</v>
      </c>
      <c r="P1441" t="s">
        <v>41</v>
      </c>
      <c r="Q1441" t="s">
        <v>52</v>
      </c>
      <c r="R1441">
        <v>7644</v>
      </c>
      <c r="S1441">
        <v>12695</v>
      </c>
      <c r="T1441">
        <v>0</v>
      </c>
      <c r="U1441" t="s">
        <v>46</v>
      </c>
      <c r="V1441">
        <v>19</v>
      </c>
      <c r="W1441" t="s">
        <v>43</v>
      </c>
      <c r="X1441" t="s">
        <v>38</v>
      </c>
      <c r="Y1441">
        <v>2</v>
      </c>
      <c r="Z1441">
        <v>10</v>
      </c>
      <c r="AA1441">
        <v>2</v>
      </c>
      <c r="AB1441" t="s">
        <v>54</v>
      </c>
      <c r="AC1441">
        <v>9</v>
      </c>
      <c r="AD1441" t="str" cm="1">
        <f t="array" ref="AD1441">_xlfn.IFS(AC1441&lt;=5,"0-5",AC1441&lt;=10,"5-10",AC1441&lt;=40,"10-40")</f>
        <v>5-10</v>
      </c>
      <c r="AE1441">
        <v>7</v>
      </c>
      <c r="AF1441">
        <v>3</v>
      </c>
      <c r="AG1441">
        <v>4</v>
      </c>
      <c r="AH1441">
        <v>1440</v>
      </c>
    </row>
    <row r="1442" spans="1:34" x14ac:dyDescent="0.3">
      <c r="A1442">
        <v>36</v>
      </c>
      <c r="B1442" t="str" cm="1">
        <f t="array" ref="B1442">_xlfn.IFS(A1442&lt;=25,"18-25",A1442&lt;=35,"26-35",A1442&lt;=45,"36-45",A1442&lt;=55,"46-55",A1442&gt;55,"55+")</f>
        <v>36-45</v>
      </c>
      <c r="C1442">
        <v>0</v>
      </c>
      <c r="D1442" t="s">
        <v>47</v>
      </c>
      <c r="E1442">
        <v>688</v>
      </c>
      <c r="F1442" t="s">
        <v>48</v>
      </c>
      <c r="G1442">
        <v>4</v>
      </c>
      <c r="H1442" t="s">
        <v>34</v>
      </c>
      <c r="I1442" t="s">
        <v>35</v>
      </c>
      <c r="J1442" t="s">
        <v>41</v>
      </c>
      <c r="K1442" t="s">
        <v>37</v>
      </c>
      <c r="L1442">
        <v>97</v>
      </c>
      <c r="M1442" t="s">
        <v>38</v>
      </c>
      <c r="N1442" t="s">
        <v>39</v>
      </c>
      <c r="O1442" t="s">
        <v>64</v>
      </c>
      <c r="P1442" t="s">
        <v>36</v>
      </c>
      <c r="Q1442" t="s">
        <v>62</v>
      </c>
      <c r="R1442">
        <v>5131</v>
      </c>
      <c r="S1442">
        <v>9192</v>
      </c>
      <c r="T1442">
        <v>7</v>
      </c>
      <c r="U1442" t="s">
        <v>46</v>
      </c>
      <c r="V1442">
        <v>13</v>
      </c>
      <c r="W1442" t="s">
        <v>43</v>
      </c>
      <c r="X1442" t="s">
        <v>36</v>
      </c>
      <c r="Y1442">
        <v>3</v>
      </c>
      <c r="Z1442">
        <v>18</v>
      </c>
      <c r="AA1442">
        <v>3</v>
      </c>
      <c r="AB1442" t="s">
        <v>54</v>
      </c>
      <c r="AC1442">
        <v>4</v>
      </c>
      <c r="AD1442" t="str" cm="1">
        <f t="array" ref="AD1442">_xlfn.IFS(AC1442&lt;=5,"0-5",AC1442&lt;=10,"5-10",AC1442&lt;=40,"10-40")</f>
        <v>0-5</v>
      </c>
      <c r="AE1442">
        <v>2</v>
      </c>
      <c r="AF1442">
        <v>0</v>
      </c>
      <c r="AG1442">
        <v>2</v>
      </c>
      <c r="AH1442">
        <v>1441</v>
      </c>
    </row>
    <row r="1443" spans="1:34" x14ac:dyDescent="0.3">
      <c r="A1443">
        <v>56</v>
      </c>
      <c r="B1443" t="str" cm="1">
        <f t="array" ref="B1443">_xlfn.IFS(A1443&lt;=25,"18-25",A1443&lt;=35,"26-35",A1443&lt;=45,"36-45",A1443&lt;=55,"46-55",A1443&gt;55,"55+")</f>
        <v>55+</v>
      </c>
      <c r="C1443">
        <v>0</v>
      </c>
      <c r="D1443" t="s">
        <v>66</v>
      </c>
      <c r="E1443">
        <v>667</v>
      </c>
      <c r="F1443" t="s">
        <v>48</v>
      </c>
      <c r="G1443">
        <v>1</v>
      </c>
      <c r="H1443" t="s">
        <v>58</v>
      </c>
      <c r="I1443" t="s">
        <v>35</v>
      </c>
      <c r="J1443" t="s">
        <v>38</v>
      </c>
      <c r="K1443" t="s">
        <v>50</v>
      </c>
      <c r="L1443">
        <v>57</v>
      </c>
      <c r="M1443" t="s">
        <v>38</v>
      </c>
      <c r="N1443" t="s">
        <v>39</v>
      </c>
      <c r="O1443" t="s">
        <v>65</v>
      </c>
      <c r="P1443" t="s">
        <v>38</v>
      </c>
      <c r="Q1443" t="s">
        <v>62</v>
      </c>
      <c r="R1443">
        <v>6306</v>
      </c>
      <c r="S1443">
        <v>26236</v>
      </c>
      <c r="T1443">
        <v>1</v>
      </c>
      <c r="U1443" t="s">
        <v>46</v>
      </c>
      <c r="V1443">
        <v>21</v>
      </c>
      <c r="W1443" t="s">
        <v>53</v>
      </c>
      <c r="X1443" t="s">
        <v>44</v>
      </c>
      <c r="Y1443">
        <v>1</v>
      </c>
      <c r="Z1443">
        <v>13</v>
      </c>
      <c r="AA1443">
        <v>2</v>
      </c>
      <c r="AB1443" t="s">
        <v>60</v>
      </c>
      <c r="AC1443">
        <v>13</v>
      </c>
      <c r="AD1443" t="str" cm="1">
        <f t="array" ref="AD1443">_xlfn.IFS(AC1443&lt;=5,"0-5",AC1443&lt;=10,"5-10",AC1443&lt;=40,"10-40")</f>
        <v>10-40</v>
      </c>
      <c r="AE1443">
        <v>12</v>
      </c>
      <c r="AF1443">
        <v>1</v>
      </c>
      <c r="AG1443">
        <v>9</v>
      </c>
      <c r="AH1443">
        <v>1442</v>
      </c>
    </row>
    <row r="1444" spans="1:34" x14ac:dyDescent="0.3">
      <c r="A1444">
        <v>29</v>
      </c>
      <c r="B1444" t="str" cm="1">
        <f t="array" ref="B1444">_xlfn.IFS(A1444&lt;=25,"18-25",A1444&lt;=35,"26-35",A1444&lt;=45,"36-45",A1444&lt;=55,"46-55",A1444&gt;55,"55+")</f>
        <v>26-35</v>
      </c>
      <c r="C1444">
        <v>1</v>
      </c>
      <c r="D1444" t="s">
        <v>32</v>
      </c>
      <c r="E1444">
        <v>1092</v>
      </c>
      <c r="F1444" t="s">
        <v>48</v>
      </c>
      <c r="G1444">
        <v>1</v>
      </c>
      <c r="H1444" t="s">
        <v>58</v>
      </c>
      <c r="I1444" t="s">
        <v>59</v>
      </c>
      <c r="J1444" t="s">
        <v>44</v>
      </c>
      <c r="K1444" t="s">
        <v>50</v>
      </c>
      <c r="L1444">
        <v>36</v>
      </c>
      <c r="M1444" t="s">
        <v>38</v>
      </c>
      <c r="N1444" t="s">
        <v>56</v>
      </c>
      <c r="O1444" t="s">
        <v>51</v>
      </c>
      <c r="P1444" t="s">
        <v>41</v>
      </c>
      <c r="Q1444" t="s">
        <v>52</v>
      </c>
      <c r="R1444">
        <v>4787</v>
      </c>
      <c r="S1444">
        <v>26124</v>
      </c>
      <c r="T1444">
        <v>9</v>
      </c>
      <c r="U1444" t="s">
        <v>31</v>
      </c>
      <c r="V1444">
        <v>14</v>
      </c>
      <c r="W1444" t="s">
        <v>43</v>
      </c>
      <c r="X1444" t="s">
        <v>36</v>
      </c>
      <c r="Y1444">
        <v>3</v>
      </c>
      <c r="Z1444">
        <v>4</v>
      </c>
      <c r="AA1444">
        <v>3</v>
      </c>
      <c r="AB1444" t="s">
        <v>73</v>
      </c>
      <c r="AC1444">
        <v>2</v>
      </c>
      <c r="AD1444" t="str" cm="1">
        <f t="array" ref="AD1444">_xlfn.IFS(AC1444&lt;=5,"0-5",AC1444&lt;=10,"5-10",AC1444&lt;=40,"10-40")</f>
        <v>0-5</v>
      </c>
      <c r="AE1444">
        <v>2</v>
      </c>
      <c r="AF1444">
        <v>2</v>
      </c>
      <c r="AG1444">
        <v>2</v>
      </c>
      <c r="AH1444">
        <v>1443</v>
      </c>
    </row>
    <row r="1445" spans="1:34" x14ac:dyDescent="0.3">
      <c r="A1445">
        <v>42</v>
      </c>
      <c r="B1445" t="str" cm="1">
        <f t="array" ref="B1445">_xlfn.IFS(A1445&lt;=25,"18-25",A1445&lt;=35,"26-35",A1445&lt;=45,"36-45",A1445&lt;=55,"46-55",A1445&gt;55,"55+")</f>
        <v>36-45</v>
      </c>
      <c r="C1445">
        <v>0</v>
      </c>
      <c r="D1445" t="s">
        <v>32</v>
      </c>
      <c r="E1445">
        <v>300</v>
      </c>
      <c r="F1445" t="s">
        <v>48</v>
      </c>
      <c r="G1445">
        <v>2</v>
      </c>
      <c r="H1445" t="s">
        <v>61</v>
      </c>
      <c r="I1445" t="s">
        <v>35</v>
      </c>
      <c r="J1445" t="s">
        <v>44</v>
      </c>
      <c r="K1445" t="s">
        <v>50</v>
      </c>
      <c r="L1445">
        <v>56</v>
      </c>
      <c r="M1445" t="s">
        <v>38</v>
      </c>
      <c r="N1445" t="s">
        <v>71</v>
      </c>
      <c r="O1445" t="s">
        <v>68</v>
      </c>
      <c r="P1445" t="s">
        <v>38</v>
      </c>
      <c r="Q1445" t="s">
        <v>52</v>
      </c>
      <c r="R1445">
        <v>18880</v>
      </c>
      <c r="S1445">
        <v>17312</v>
      </c>
      <c r="T1445">
        <v>5</v>
      </c>
      <c r="U1445" t="s">
        <v>46</v>
      </c>
      <c r="V1445">
        <v>11</v>
      </c>
      <c r="W1445" t="s">
        <v>43</v>
      </c>
      <c r="X1445" t="s">
        <v>44</v>
      </c>
      <c r="Y1445">
        <v>0</v>
      </c>
      <c r="Z1445">
        <v>24</v>
      </c>
      <c r="AA1445">
        <v>2</v>
      </c>
      <c r="AB1445" t="s">
        <v>60</v>
      </c>
      <c r="AC1445">
        <v>22</v>
      </c>
      <c r="AD1445" t="str" cm="1">
        <f t="array" ref="AD1445">_xlfn.IFS(AC1445&lt;=5,"0-5",AC1445&lt;=10,"5-10",AC1445&lt;=40,"10-40")</f>
        <v>10-40</v>
      </c>
      <c r="AE1445">
        <v>6</v>
      </c>
      <c r="AF1445">
        <v>4</v>
      </c>
      <c r="AG1445">
        <v>14</v>
      </c>
      <c r="AH1445">
        <v>1444</v>
      </c>
    </row>
    <row r="1446" spans="1:34" x14ac:dyDescent="0.3">
      <c r="A1446">
        <v>56</v>
      </c>
      <c r="B1446" t="str" cm="1">
        <f t="array" ref="B1446">_xlfn.IFS(A1446&lt;=25,"18-25",A1446&lt;=35,"26-35",A1446&lt;=45,"36-45",A1446&lt;=55,"46-55",A1446&gt;55,"55+")</f>
        <v>55+</v>
      </c>
      <c r="C1446">
        <v>1</v>
      </c>
      <c r="D1446" t="s">
        <v>32</v>
      </c>
      <c r="E1446">
        <v>310</v>
      </c>
      <c r="F1446" t="s">
        <v>48</v>
      </c>
      <c r="G1446">
        <v>7</v>
      </c>
      <c r="H1446" t="s">
        <v>34</v>
      </c>
      <c r="I1446" t="s">
        <v>74</v>
      </c>
      <c r="J1446" t="s">
        <v>41</v>
      </c>
      <c r="K1446" t="s">
        <v>50</v>
      </c>
      <c r="L1446">
        <v>72</v>
      </c>
      <c r="M1446" t="s">
        <v>38</v>
      </c>
      <c r="N1446" t="s">
        <v>56</v>
      </c>
      <c r="O1446" t="s">
        <v>57</v>
      </c>
      <c r="P1446" t="s">
        <v>38</v>
      </c>
      <c r="Q1446" t="s">
        <v>52</v>
      </c>
      <c r="R1446">
        <v>2339</v>
      </c>
      <c r="S1446">
        <v>3666</v>
      </c>
      <c r="T1446">
        <v>8</v>
      </c>
      <c r="U1446" t="s">
        <v>46</v>
      </c>
      <c r="V1446">
        <v>11</v>
      </c>
      <c r="W1446" t="s">
        <v>43</v>
      </c>
      <c r="X1446" t="s">
        <v>41</v>
      </c>
      <c r="Y1446">
        <v>1</v>
      </c>
      <c r="Z1446">
        <v>14</v>
      </c>
      <c r="AA1446">
        <v>4</v>
      </c>
      <c r="AB1446" t="s">
        <v>45</v>
      </c>
      <c r="AC1446">
        <v>10</v>
      </c>
      <c r="AD1446" t="str" cm="1">
        <f t="array" ref="AD1446">_xlfn.IFS(AC1446&lt;=5,"0-5",AC1446&lt;=10,"5-10",AC1446&lt;=40,"10-40")</f>
        <v>5-10</v>
      </c>
      <c r="AE1446">
        <v>9</v>
      </c>
      <c r="AF1446">
        <v>9</v>
      </c>
      <c r="AG1446">
        <v>8</v>
      </c>
      <c r="AH1446">
        <v>1445</v>
      </c>
    </row>
    <row r="1447" spans="1:34" x14ac:dyDescent="0.3">
      <c r="A1447">
        <v>41</v>
      </c>
      <c r="B1447" t="str" cm="1">
        <f t="array" ref="B1447">_xlfn.IFS(A1447&lt;=25,"18-25",A1447&lt;=35,"26-35",A1447&lt;=45,"36-45",A1447&lt;=55,"46-55",A1447&gt;55,"55+")</f>
        <v>36-45</v>
      </c>
      <c r="C1447">
        <v>0</v>
      </c>
      <c r="D1447" t="s">
        <v>32</v>
      </c>
      <c r="E1447">
        <v>582</v>
      </c>
      <c r="F1447" t="s">
        <v>48</v>
      </c>
      <c r="G1447">
        <v>28</v>
      </c>
      <c r="H1447" t="s">
        <v>58</v>
      </c>
      <c r="I1447" t="s">
        <v>35</v>
      </c>
      <c r="J1447" t="s">
        <v>44</v>
      </c>
      <c r="K1447" t="s">
        <v>37</v>
      </c>
      <c r="L1447">
        <v>60</v>
      </c>
      <c r="M1447" t="s">
        <v>36</v>
      </c>
      <c r="N1447" t="s">
        <v>67</v>
      </c>
      <c r="O1447" t="s">
        <v>64</v>
      </c>
      <c r="P1447" t="s">
        <v>36</v>
      </c>
      <c r="Q1447" t="s">
        <v>52</v>
      </c>
      <c r="R1447">
        <v>13570</v>
      </c>
      <c r="S1447">
        <v>5640</v>
      </c>
      <c r="T1447">
        <v>0</v>
      </c>
      <c r="U1447" t="s">
        <v>46</v>
      </c>
      <c r="V1447">
        <v>23</v>
      </c>
      <c r="W1447" t="s">
        <v>53</v>
      </c>
      <c r="X1447" t="s">
        <v>38</v>
      </c>
      <c r="Y1447">
        <v>1</v>
      </c>
      <c r="Z1447">
        <v>21</v>
      </c>
      <c r="AA1447">
        <v>3</v>
      </c>
      <c r="AB1447" t="s">
        <v>54</v>
      </c>
      <c r="AC1447">
        <v>20</v>
      </c>
      <c r="AD1447" t="str" cm="1">
        <f t="array" ref="AD1447">_xlfn.IFS(AC1447&lt;=5,"0-5",AC1447&lt;=10,"5-10",AC1447&lt;=40,"10-40")</f>
        <v>10-40</v>
      </c>
      <c r="AE1447">
        <v>7</v>
      </c>
      <c r="AF1447">
        <v>0</v>
      </c>
      <c r="AG1447">
        <v>10</v>
      </c>
      <c r="AH1447">
        <v>1446</v>
      </c>
    </row>
    <row r="1448" spans="1:34" x14ac:dyDescent="0.3">
      <c r="A1448">
        <v>34</v>
      </c>
      <c r="B1448" t="str" cm="1">
        <f t="array" ref="B1448">_xlfn.IFS(A1448&lt;=25,"18-25",A1448&lt;=35,"26-35",A1448&lt;=45,"36-45",A1448&lt;=55,"46-55",A1448&gt;55,"55+")</f>
        <v>26-35</v>
      </c>
      <c r="C1448">
        <v>0</v>
      </c>
      <c r="D1448" t="s">
        <v>32</v>
      </c>
      <c r="E1448">
        <v>704</v>
      </c>
      <c r="F1448" t="s">
        <v>33</v>
      </c>
      <c r="G1448">
        <v>28</v>
      </c>
      <c r="H1448" t="s">
        <v>61</v>
      </c>
      <c r="I1448" t="s">
        <v>72</v>
      </c>
      <c r="J1448" t="s">
        <v>41</v>
      </c>
      <c r="K1448" t="s">
        <v>37</v>
      </c>
      <c r="L1448">
        <v>95</v>
      </c>
      <c r="M1448" t="s">
        <v>36</v>
      </c>
      <c r="N1448" t="s">
        <v>39</v>
      </c>
      <c r="O1448" t="s">
        <v>40</v>
      </c>
      <c r="P1448" t="s">
        <v>38</v>
      </c>
      <c r="Q1448" t="s">
        <v>52</v>
      </c>
      <c r="R1448">
        <v>6712</v>
      </c>
      <c r="S1448">
        <v>8978</v>
      </c>
      <c r="T1448">
        <v>1</v>
      </c>
      <c r="U1448" t="s">
        <v>46</v>
      </c>
      <c r="V1448">
        <v>21</v>
      </c>
      <c r="W1448" t="s">
        <v>53</v>
      </c>
      <c r="X1448" t="s">
        <v>41</v>
      </c>
      <c r="Y1448">
        <v>2</v>
      </c>
      <c r="Z1448">
        <v>8</v>
      </c>
      <c r="AA1448">
        <v>2</v>
      </c>
      <c r="AB1448" t="s">
        <v>54</v>
      </c>
      <c r="AC1448">
        <v>8</v>
      </c>
      <c r="AD1448" t="str" cm="1">
        <f t="array" ref="AD1448">_xlfn.IFS(AC1448&lt;=5,"0-5",AC1448&lt;=10,"5-10",AC1448&lt;=40,"10-40")</f>
        <v>5-10</v>
      </c>
      <c r="AE1448">
        <v>7</v>
      </c>
      <c r="AF1448">
        <v>1</v>
      </c>
      <c r="AG1448">
        <v>7</v>
      </c>
      <c r="AH1448">
        <v>1447</v>
      </c>
    </row>
    <row r="1449" spans="1:34" x14ac:dyDescent="0.3">
      <c r="A1449">
        <v>36</v>
      </c>
      <c r="B1449" t="str" cm="1">
        <f t="array" ref="B1449">_xlfn.IFS(A1449&lt;=25,"18-25",A1449&lt;=35,"26-35",A1449&lt;=45,"36-45",A1449&lt;=55,"46-55",A1449&gt;55,"55+")</f>
        <v>36-45</v>
      </c>
      <c r="C1449">
        <v>0</v>
      </c>
      <c r="D1449" t="s">
        <v>66</v>
      </c>
      <c r="E1449">
        <v>301</v>
      </c>
      <c r="F1449" t="s">
        <v>33</v>
      </c>
      <c r="G1449">
        <v>15</v>
      </c>
      <c r="H1449" t="s">
        <v>58</v>
      </c>
      <c r="I1449" t="s">
        <v>72</v>
      </c>
      <c r="J1449" t="s">
        <v>41</v>
      </c>
      <c r="K1449" t="s">
        <v>50</v>
      </c>
      <c r="L1449">
        <v>88</v>
      </c>
      <c r="M1449" t="s">
        <v>44</v>
      </c>
      <c r="N1449" t="s">
        <v>39</v>
      </c>
      <c r="O1449" t="s">
        <v>40</v>
      </c>
      <c r="P1449" t="s">
        <v>41</v>
      </c>
      <c r="Q1449" t="s">
        <v>62</v>
      </c>
      <c r="R1449">
        <v>5406</v>
      </c>
      <c r="S1449">
        <v>10436</v>
      </c>
      <c r="T1449">
        <v>1</v>
      </c>
      <c r="U1449" t="s">
        <v>46</v>
      </c>
      <c r="V1449">
        <v>24</v>
      </c>
      <c r="W1449" t="s">
        <v>53</v>
      </c>
      <c r="X1449" t="s">
        <v>44</v>
      </c>
      <c r="Y1449">
        <v>1</v>
      </c>
      <c r="Z1449">
        <v>15</v>
      </c>
      <c r="AA1449">
        <v>4</v>
      </c>
      <c r="AB1449" t="s">
        <v>60</v>
      </c>
      <c r="AC1449">
        <v>15</v>
      </c>
      <c r="AD1449" t="str" cm="1">
        <f t="array" ref="AD1449">_xlfn.IFS(AC1449&lt;=5,"0-5",AC1449&lt;=10,"5-10",AC1449&lt;=40,"10-40")</f>
        <v>10-40</v>
      </c>
      <c r="AE1449">
        <v>12</v>
      </c>
      <c r="AF1449">
        <v>11</v>
      </c>
      <c r="AG1449">
        <v>11</v>
      </c>
      <c r="AH1449">
        <v>1448</v>
      </c>
    </row>
    <row r="1450" spans="1:34" x14ac:dyDescent="0.3">
      <c r="A1450">
        <v>41</v>
      </c>
      <c r="B1450" t="str" cm="1">
        <f t="array" ref="B1450">_xlfn.IFS(A1450&lt;=25,"18-25",A1450&lt;=35,"26-35",A1450&lt;=45,"36-45",A1450&lt;=55,"46-55",A1450&gt;55,"55+")</f>
        <v>36-45</v>
      </c>
      <c r="C1450">
        <v>0</v>
      </c>
      <c r="D1450" t="s">
        <v>32</v>
      </c>
      <c r="E1450">
        <v>930</v>
      </c>
      <c r="F1450" t="s">
        <v>33</v>
      </c>
      <c r="G1450">
        <v>3</v>
      </c>
      <c r="H1450" t="s">
        <v>61</v>
      </c>
      <c r="I1450" t="s">
        <v>35</v>
      </c>
      <c r="J1450" t="s">
        <v>38</v>
      </c>
      <c r="K1450" t="s">
        <v>50</v>
      </c>
      <c r="L1450">
        <v>57</v>
      </c>
      <c r="M1450" t="s">
        <v>36</v>
      </c>
      <c r="N1450" t="s">
        <v>39</v>
      </c>
      <c r="O1450" t="s">
        <v>40</v>
      </c>
      <c r="P1450" t="s">
        <v>36</v>
      </c>
      <c r="Q1450" t="s">
        <v>62</v>
      </c>
      <c r="R1450">
        <v>8938</v>
      </c>
      <c r="S1450">
        <v>12227</v>
      </c>
      <c r="T1450">
        <v>2</v>
      </c>
      <c r="U1450" t="s">
        <v>46</v>
      </c>
      <c r="V1450">
        <v>11</v>
      </c>
      <c r="W1450" t="s">
        <v>43</v>
      </c>
      <c r="X1450" t="s">
        <v>38</v>
      </c>
      <c r="Y1450">
        <v>1</v>
      </c>
      <c r="Z1450">
        <v>14</v>
      </c>
      <c r="AA1450">
        <v>5</v>
      </c>
      <c r="AB1450" t="s">
        <v>54</v>
      </c>
      <c r="AC1450">
        <v>5</v>
      </c>
      <c r="AD1450" t="str" cm="1">
        <f t="array" ref="AD1450">_xlfn.IFS(AC1450&lt;=5,"0-5",AC1450&lt;=10,"5-10",AC1450&lt;=40,"10-40")</f>
        <v>0-5</v>
      </c>
      <c r="AE1450">
        <v>4</v>
      </c>
      <c r="AF1450">
        <v>0</v>
      </c>
      <c r="AG1450">
        <v>4</v>
      </c>
      <c r="AH1450">
        <v>1449</v>
      </c>
    </row>
    <row r="1451" spans="1:34" x14ac:dyDescent="0.3">
      <c r="A1451">
        <v>32</v>
      </c>
      <c r="B1451" t="str" cm="1">
        <f t="array" ref="B1451">_xlfn.IFS(A1451&lt;=25,"18-25",A1451&lt;=35,"26-35",A1451&lt;=45,"36-45",A1451&lt;=55,"46-55",A1451&gt;55,"55+")</f>
        <v>26-35</v>
      </c>
      <c r="C1451">
        <v>0</v>
      </c>
      <c r="D1451" t="s">
        <v>32</v>
      </c>
      <c r="E1451">
        <v>529</v>
      </c>
      <c r="F1451" t="s">
        <v>48</v>
      </c>
      <c r="G1451">
        <v>2</v>
      </c>
      <c r="H1451" t="s">
        <v>61</v>
      </c>
      <c r="I1451" t="s">
        <v>74</v>
      </c>
      <c r="J1451" t="s">
        <v>41</v>
      </c>
      <c r="K1451" t="s">
        <v>50</v>
      </c>
      <c r="L1451">
        <v>78</v>
      </c>
      <c r="M1451" t="s">
        <v>38</v>
      </c>
      <c r="N1451" t="s">
        <v>56</v>
      </c>
      <c r="O1451" t="s">
        <v>51</v>
      </c>
      <c r="P1451" t="s">
        <v>44</v>
      </c>
      <c r="Q1451" t="s">
        <v>42</v>
      </c>
      <c r="R1451">
        <v>2439</v>
      </c>
      <c r="S1451">
        <v>11288</v>
      </c>
      <c r="T1451">
        <v>1</v>
      </c>
      <c r="U1451" t="s">
        <v>46</v>
      </c>
      <c r="V1451">
        <v>14</v>
      </c>
      <c r="W1451" t="s">
        <v>43</v>
      </c>
      <c r="X1451" t="s">
        <v>41</v>
      </c>
      <c r="Y1451">
        <v>0</v>
      </c>
      <c r="Z1451">
        <v>4</v>
      </c>
      <c r="AA1451">
        <v>4</v>
      </c>
      <c r="AB1451" t="s">
        <v>54</v>
      </c>
      <c r="AC1451">
        <v>4</v>
      </c>
      <c r="AD1451" t="str" cm="1">
        <f t="array" ref="AD1451">_xlfn.IFS(AC1451&lt;=5,"0-5",AC1451&lt;=10,"5-10",AC1451&lt;=40,"10-40")</f>
        <v>0-5</v>
      </c>
      <c r="AE1451">
        <v>2</v>
      </c>
      <c r="AF1451">
        <v>1</v>
      </c>
      <c r="AG1451">
        <v>2</v>
      </c>
      <c r="AH1451">
        <v>1450</v>
      </c>
    </row>
    <row r="1452" spans="1:34" x14ac:dyDescent="0.3">
      <c r="A1452">
        <v>35</v>
      </c>
      <c r="B1452" t="str" cm="1">
        <f t="array" ref="B1452">_xlfn.IFS(A1452&lt;=25,"18-25",A1452&lt;=35,"26-35",A1452&lt;=45,"36-45",A1452&lt;=55,"46-55",A1452&gt;55,"55+")</f>
        <v>26-35</v>
      </c>
      <c r="C1452">
        <v>0</v>
      </c>
      <c r="D1452" t="s">
        <v>32</v>
      </c>
      <c r="E1452">
        <v>1146</v>
      </c>
      <c r="F1452" t="s">
        <v>76</v>
      </c>
      <c r="G1452">
        <v>26</v>
      </c>
      <c r="H1452" t="s">
        <v>58</v>
      </c>
      <c r="I1452" t="s">
        <v>35</v>
      </c>
      <c r="J1452" t="s">
        <v>38</v>
      </c>
      <c r="K1452" t="s">
        <v>37</v>
      </c>
      <c r="L1452">
        <v>31</v>
      </c>
      <c r="M1452" t="s">
        <v>38</v>
      </c>
      <c r="N1452" t="s">
        <v>63</v>
      </c>
      <c r="O1452" t="s">
        <v>76</v>
      </c>
      <c r="P1452" t="s">
        <v>41</v>
      </c>
      <c r="Q1452" t="s">
        <v>42</v>
      </c>
      <c r="R1452">
        <v>8837</v>
      </c>
      <c r="S1452">
        <v>16642</v>
      </c>
      <c r="T1452">
        <v>1</v>
      </c>
      <c r="U1452" t="s">
        <v>31</v>
      </c>
      <c r="V1452">
        <v>16</v>
      </c>
      <c r="W1452" t="s">
        <v>43</v>
      </c>
      <c r="X1452" t="s">
        <v>38</v>
      </c>
      <c r="Y1452">
        <v>0</v>
      </c>
      <c r="Z1452">
        <v>9</v>
      </c>
      <c r="AA1452">
        <v>2</v>
      </c>
      <c r="AB1452" t="s">
        <v>54</v>
      </c>
      <c r="AC1452">
        <v>9</v>
      </c>
      <c r="AD1452" t="str" cm="1">
        <f t="array" ref="AD1452">_xlfn.IFS(AC1452&lt;=5,"0-5",AC1452&lt;=10,"5-10",AC1452&lt;=40,"10-40")</f>
        <v>5-10</v>
      </c>
      <c r="AE1452">
        <v>0</v>
      </c>
      <c r="AF1452">
        <v>1</v>
      </c>
      <c r="AG1452">
        <v>7</v>
      </c>
      <c r="AH1452">
        <v>1451</v>
      </c>
    </row>
    <row r="1453" spans="1:34" x14ac:dyDescent="0.3">
      <c r="A1453">
        <v>38</v>
      </c>
      <c r="B1453" t="str" cm="1">
        <f t="array" ref="B1453">_xlfn.IFS(A1453&lt;=25,"18-25",A1453&lt;=35,"26-35",A1453&lt;=45,"36-45",A1453&lt;=55,"46-55",A1453&gt;55,"55+")</f>
        <v>36-45</v>
      </c>
      <c r="C1453">
        <v>0</v>
      </c>
      <c r="D1453" t="s">
        <v>32</v>
      </c>
      <c r="E1453">
        <v>345</v>
      </c>
      <c r="F1453" t="s">
        <v>33</v>
      </c>
      <c r="G1453">
        <v>10</v>
      </c>
      <c r="H1453" t="s">
        <v>34</v>
      </c>
      <c r="I1453" t="s">
        <v>35</v>
      </c>
      <c r="J1453" t="s">
        <v>44</v>
      </c>
      <c r="K1453" t="s">
        <v>37</v>
      </c>
      <c r="L1453">
        <v>100</v>
      </c>
      <c r="M1453" t="s">
        <v>38</v>
      </c>
      <c r="N1453" t="s">
        <v>39</v>
      </c>
      <c r="O1453" t="s">
        <v>40</v>
      </c>
      <c r="P1453" t="s">
        <v>41</v>
      </c>
      <c r="Q1453" t="s">
        <v>52</v>
      </c>
      <c r="R1453">
        <v>5343</v>
      </c>
      <c r="S1453">
        <v>5982</v>
      </c>
      <c r="T1453">
        <v>1</v>
      </c>
      <c r="U1453" t="s">
        <v>46</v>
      </c>
      <c r="V1453">
        <v>11</v>
      </c>
      <c r="W1453" t="s">
        <v>43</v>
      </c>
      <c r="X1453" t="s">
        <v>38</v>
      </c>
      <c r="Y1453">
        <v>1</v>
      </c>
      <c r="Z1453">
        <v>10</v>
      </c>
      <c r="AA1453">
        <v>1</v>
      </c>
      <c r="AB1453" t="s">
        <v>54</v>
      </c>
      <c r="AC1453">
        <v>10</v>
      </c>
      <c r="AD1453" t="str" cm="1">
        <f t="array" ref="AD1453">_xlfn.IFS(AC1453&lt;=5,"0-5",AC1453&lt;=10,"5-10",AC1453&lt;=40,"10-40")</f>
        <v>5-10</v>
      </c>
      <c r="AE1453">
        <v>7</v>
      </c>
      <c r="AF1453">
        <v>1</v>
      </c>
      <c r="AG1453">
        <v>9</v>
      </c>
      <c r="AH1453">
        <v>1452</v>
      </c>
    </row>
    <row r="1454" spans="1:34" x14ac:dyDescent="0.3">
      <c r="A1454">
        <v>50</v>
      </c>
      <c r="B1454" t="str" cm="1">
        <f t="array" ref="B1454">_xlfn.IFS(A1454&lt;=25,"18-25",A1454&lt;=35,"26-35",A1454&lt;=45,"36-45",A1454&lt;=55,"46-55",A1454&gt;55,"55+")</f>
        <v>46-55</v>
      </c>
      <c r="C1454">
        <v>1</v>
      </c>
      <c r="D1454" t="s">
        <v>47</v>
      </c>
      <c r="E1454">
        <v>878</v>
      </c>
      <c r="F1454" t="s">
        <v>33</v>
      </c>
      <c r="G1454">
        <v>1</v>
      </c>
      <c r="H1454" t="s">
        <v>58</v>
      </c>
      <c r="I1454" t="s">
        <v>35</v>
      </c>
      <c r="J1454" t="s">
        <v>36</v>
      </c>
      <c r="K1454" t="s">
        <v>50</v>
      </c>
      <c r="L1454">
        <v>94</v>
      </c>
      <c r="M1454" t="s">
        <v>38</v>
      </c>
      <c r="N1454" t="s">
        <v>39</v>
      </c>
      <c r="O1454" t="s">
        <v>40</v>
      </c>
      <c r="P1454" t="s">
        <v>38</v>
      </c>
      <c r="Q1454" t="s">
        <v>62</v>
      </c>
      <c r="R1454">
        <v>6728</v>
      </c>
      <c r="S1454">
        <v>14255</v>
      </c>
      <c r="T1454">
        <v>7</v>
      </c>
      <c r="U1454" t="s">
        <v>46</v>
      </c>
      <c r="V1454">
        <v>12</v>
      </c>
      <c r="W1454" t="s">
        <v>43</v>
      </c>
      <c r="X1454" t="s">
        <v>41</v>
      </c>
      <c r="Y1454">
        <v>2</v>
      </c>
      <c r="Z1454">
        <v>12</v>
      </c>
      <c r="AA1454">
        <v>3</v>
      </c>
      <c r="AB1454" t="s">
        <v>54</v>
      </c>
      <c r="AC1454">
        <v>6</v>
      </c>
      <c r="AD1454" t="str" cm="1">
        <f t="array" ref="AD1454">_xlfn.IFS(AC1454&lt;=5,"0-5",AC1454&lt;=10,"5-10",AC1454&lt;=40,"10-40")</f>
        <v>5-10</v>
      </c>
      <c r="AE1454">
        <v>3</v>
      </c>
      <c r="AF1454">
        <v>0</v>
      </c>
      <c r="AG1454">
        <v>1</v>
      </c>
      <c r="AH1454">
        <v>1453</v>
      </c>
    </row>
    <row r="1455" spans="1:34" x14ac:dyDescent="0.3">
      <c r="A1455">
        <v>36</v>
      </c>
      <c r="B1455" t="str" cm="1">
        <f t="array" ref="B1455">_xlfn.IFS(A1455&lt;=25,"18-25",A1455&lt;=35,"26-35",A1455&lt;=45,"36-45",A1455&lt;=55,"46-55",A1455&gt;55,"55+")</f>
        <v>36-45</v>
      </c>
      <c r="C1455">
        <v>0</v>
      </c>
      <c r="D1455" t="s">
        <v>32</v>
      </c>
      <c r="E1455">
        <v>1120</v>
      </c>
      <c r="F1455" t="s">
        <v>33</v>
      </c>
      <c r="G1455">
        <v>11</v>
      </c>
      <c r="H1455" t="s">
        <v>58</v>
      </c>
      <c r="I1455" t="s">
        <v>72</v>
      </c>
      <c r="J1455" t="s">
        <v>36</v>
      </c>
      <c r="K1455" t="s">
        <v>37</v>
      </c>
      <c r="L1455">
        <v>100</v>
      </c>
      <c r="M1455" t="s">
        <v>36</v>
      </c>
      <c r="N1455" t="s">
        <v>39</v>
      </c>
      <c r="O1455" t="s">
        <v>40</v>
      </c>
      <c r="P1455" t="s">
        <v>41</v>
      </c>
      <c r="Q1455" t="s">
        <v>52</v>
      </c>
      <c r="R1455">
        <v>6652</v>
      </c>
      <c r="S1455">
        <v>14369</v>
      </c>
      <c r="T1455">
        <v>4</v>
      </c>
      <c r="U1455" t="s">
        <v>46</v>
      </c>
      <c r="V1455">
        <v>13</v>
      </c>
      <c r="W1455" t="s">
        <v>43</v>
      </c>
      <c r="X1455" t="s">
        <v>44</v>
      </c>
      <c r="Y1455">
        <v>1</v>
      </c>
      <c r="Z1455">
        <v>8</v>
      </c>
      <c r="AA1455">
        <v>2</v>
      </c>
      <c r="AB1455" t="s">
        <v>60</v>
      </c>
      <c r="AC1455">
        <v>6</v>
      </c>
      <c r="AD1455" t="str" cm="1">
        <f t="array" ref="AD1455">_xlfn.IFS(AC1455&lt;=5,"0-5",AC1455&lt;=10,"5-10",AC1455&lt;=40,"10-40")</f>
        <v>5-10</v>
      </c>
      <c r="AE1455">
        <v>3</v>
      </c>
      <c r="AF1455">
        <v>0</v>
      </c>
      <c r="AG1455">
        <v>0</v>
      </c>
      <c r="AH1455">
        <v>1454</v>
      </c>
    </row>
    <row r="1456" spans="1:34" x14ac:dyDescent="0.3">
      <c r="A1456">
        <v>45</v>
      </c>
      <c r="B1456" t="str" cm="1">
        <f t="array" ref="B1456">_xlfn.IFS(A1456&lt;=25,"18-25",A1456&lt;=35,"26-35",A1456&lt;=45,"36-45",A1456&lt;=55,"46-55",A1456&gt;55,"55+")</f>
        <v>36-45</v>
      </c>
      <c r="C1456">
        <v>0</v>
      </c>
      <c r="D1456" t="s">
        <v>32</v>
      </c>
      <c r="E1456">
        <v>374</v>
      </c>
      <c r="F1456" t="s">
        <v>33</v>
      </c>
      <c r="G1456">
        <v>20</v>
      </c>
      <c r="H1456" t="s">
        <v>61</v>
      </c>
      <c r="I1456" t="s">
        <v>35</v>
      </c>
      <c r="J1456" t="s">
        <v>41</v>
      </c>
      <c r="K1456" t="s">
        <v>37</v>
      </c>
      <c r="L1456">
        <v>50</v>
      </c>
      <c r="M1456" t="s">
        <v>38</v>
      </c>
      <c r="N1456" t="s">
        <v>39</v>
      </c>
      <c r="O1456" t="s">
        <v>40</v>
      </c>
      <c r="P1456" t="s">
        <v>38</v>
      </c>
      <c r="Q1456" t="s">
        <v>42</v>
      </c>
      <c r="R1456">
        <v>4850</v>
      </c>
      <c r="S1456">
        <v>23333</v>
      </c>
      <c r="T1456">
        <v>8</v>
      </c>
      <c r="U1456" t="s">
        <v>46</v>
      </c>
      <c r="V1456">
        <v>15</v>
      </c>
      <c r="W1456" t="s">
        <v>43</v>
      </c>
      <c r="X1456" t="s">
        <v>38</v>
      </c>
      <c r="Y1456">
        <v>0</v>
      </c>
      <c r="Z1456">
        <v>8</v>
      </c>
      <c r="AA1456">
        <v>3</v>
      </c>
      <c r="AB1456" t="s">
        <v>54</v>
      </c>
      <c r="AC1456">
        <v>5</v>
      </c>
      <c r="AD1456" t="str" cm="1">
        <f t="array" ref="AD1456">_xlfn.IFS(AC1456&lt;=5,"0-5",AC1456&lt;=10,"5-10",AC1456&lt;=40,"10-40")</f>
        <v>0-5</v>
      </c>
      <c r="AE1456">
        <v>3</v>
      </c>
      <c r="AF1456">
        <v>0</v>
      </c>
      <c r="AG1456">
        <v>1</v>
      </c>
      <c r="AH1456">
        <v>1455</v>
      </c>
    </row>
    <row r="1457" spans="1:34" x14ac:dyDescent="0.3">
      <c r="A1457">
        <v>40</v>
      </c>
      <c r="B1457" t="str" cm="1">
        <f t="array" ref="B1457">_xlfn.IFS(A1457&lt;=25,"18-25",A1457&lt;=35,"26-35",A1457&lt;=45,"36-45",A1457&lt;=55,"46-55",A1457&gt;55,"55+")</f>
        <v>36-45</v>
      </c>
      <c r="C1457">
        <v>0</v>
      </c>
      <c r="D1457" t="s">
        <v>32</v>
      </c>
      <c r="E1457">
        <v>1322</v>
      </c>
      <c r="F1457" t="s">
        <v>48</v>
      </c>
      <c r="G1457">
        <v>2</v>
      </c>
      <c r="H1457" t="s">
        <v>58</v>
      </c>
      <c r="I1457" t="s">
        <v>35</v>
      </c>
      <c r="J1457" t="s">
        <v>38</v>
      </c>
      <c r="K1457" t="s">
        <v>50</v>
      </c>
      <c r="L1457">
        <v>52</v>
      </c>
      <c r="M1457" t="s">
        <v>36</v>
      </c>
      <c r="N1457" t="s">
        <v>56</v>
      </c>
      <c r="O1457" t="s">
        <v>51</v>
      </c>
      <c r="P1457" t="s">
        <v>38</v>
      </c>
      <c r="Q1457" t="s">
        <v>42</v>
      </c>
      <c r="R1457">
        <v>2809</v>
      </c>
      <c r="S1457">
        <v>2725</v>
      </c>
      <c r="T1457">
        <v>2</v>
      </c>
      <c r="U1457" t="s">
        <v>46</v>
      </c>
      <c r="V1457">
        <v>14</v>
      </c>
      <c r="W1457" t="s">
        <v>43</v>
      </c>
      <c r="X1457" t="s">
        <v>41</v>
      </c>
      <c r="Y1457">
        <v>0</v>
      </c>
      <c r="Z1457">
        <v>8</v>
      </c>
      <c r="AA1457">
        <v>2</v>
      </c>
      <c r="AB1457" t="s">
        <v>54</v>
      </c>
      <c r="AC1457">
        <v>2</v>
      </c>
      <c r="AD1457" t="str" cm="1">
        <f t="array" ref="AD1457">_xlfn.IFS(AC1457&lt;=5,"0-5",AC1457&lt;=10,"5-10",AC1457&lt;=40,"10-40")</f>
        <v>0-5</v>
      </c>
      <c r="AE1457">
        <v>2</v>
      </c>
      <c r="AF1457">
        <v>2</v>
      </c>
      <c r="AG1457">
        <v>2</v>
      </c>
      <c r="AH1457">
        <v>1456</v>
      </c>
    </row>
    <row r="1458" spans="1:34" x14ac:dyDescent="0.3">
      <c r="A1458">
        <v>35</v>
      </c>
      <c r="B1458" t="str" cm="1">
        <f t="array" ref="B1458">_xlfn.IFS(A1458&lt;=25,"18-25",A1458&lt;=35,"26-35",A1458&lt;=45,"36-45",A1458&lt;=55,"46-55",A1458&gt;55,"55+")</f>
        <v>26-35</v>
      </c>
      <c r="C1458">
        <v>0</v>
      </c>
      <c r="D1458" t="s">
        <v>47</v>
      </c>
      <c r="E1458">
        <v>1199</v>
      </c>
      <c r="F1458" t="s">
        <v>48</v>
      </c>
      <c r="G1458">
        <v>18</v>
      </c>
      <c r="H1458" t="s">
        <v>58</v>
      </c>
      <c r="I1458" t="s">
        <v>35</v>
      </c>
      <c r="J1458" t="s">
        <v>38</v>
      </c>
      <c r="K1458" t="s">
        <v>50</v>
      </c>
      <c r="L1458">
        <v>80</v>
      </c>
      <c r="M1458" t="s">
        <v>38</v>
      </c>
      <c r="N1458" t="s">
        <v>39</v>
      </c>
      <c r="O1458" t="s">
        <v>65</v>
      </c>
      <c r="P1458" t="s">
        <v>38</v>
      </c>
      <c r="Q1458" t="s">
        <v>52</v>
      </c>
      <c r="R1458">
        <v>5689</v>
      </c>
      <c r="S1458">
        <v>24594</v>
      </c>
      <c r="T1458">
        <v>1</v>
      </c>
      <c r="U1458" t="s">
        <v>31</v>
      </c>
      <c r="V1458">
        <v>14</v>
      </c>
      <c r="W1458" t="s">
        <v>43</v>
      </c>
      <c r="X1458" t="s">
        <v>41</v>
      </c>
      <c r="Y1458">
        <v>2</v>
      </c>
      <c r="Z1458">
        <v>10</v>
      </c>
      <c r="AA1458">
        <v>2</v>
      </c>
      <c r="AB1458" t="s">
        <v>73</v>
      </c>
      <c r="AC1458">
        <v>10</v>
      </c>
      <c r="AD1458" t="str" cm="1">
        <f t="array" ref="AD1458">_xlfn.IFS(AC1458&lt;=5,"0-5",AC1458&lt;=10,"5-10",AC1458&lt;=40,"10-40")</f>
        <v>5-10</v>
      </c>
      <c r="AE1458">
        <v>2</v>
      </c>
      <c r="AF1458">
        <v>0</v>
      </c>
      <c r="AG1458">
        <v>2</v>
      </c>
      <c r="AH1458">
        <v>1457</v>
      </c>
    </row>
    <row r="1459" spans="1:34" x14ac:dyDescent="0.3">
      <c r="A1459">
        <v>40</v>
      </c>
      <c r="B1459" t="str" cm="1">
        <f t="array" ref="B1459">_xlfn.IFS(A1459&lt;=25,"18-25",A1459&lt;=35,"26-35",A1459&lt;=45,"36-45",A1459&lt;=55,"46-55",A1459&gt;55,"55+")</f>
        <v>36-45</v>
      </c>
      <c r="C1459">
        <v>0</v>
      </c>
      <c r="D1459" t="s">
        <v>32</v>
      </c>
      <c r="E1459">
        <v>1194</v>
      </c>
      <c r="F1459" t="s">
        <v>48</v>
      </c>
      <c r="G1459">
        <v>2</v>
      </c>
      <c r="H1459" t="s">
        <v>58</v>
      </c>
      <c r="I1459" t="s">
        <v>59</v>
      </c>
      <c r="J1459" t="s">
        <v>38</v>
      </c>
      <c r="K1459" t="s">
        <v>37</v>
      </c>
      <c r="L1459">
        <v>98</v>
      </c>
      <c r="M1459" t="s">
        <v>38</v>
      </c>
      <c r="N1459" t="s">
        <v>56</v>
      </c>
      <c r="O1459" t="s">
        <v>51</v>
      </c>
      <c r="P1459" t="s">
        <v>38</v>
      </c>
      <c r="Q1459" t="s">
        <v>52</v>
      </c>
      <c r="R1459">
        <v>2001</v>
      </c>
      <c r="S1459">
        <v>12549</v>
      </c>
      <c r="T1459">
        <v>2</v>
      </c>
      <c r="U1459" t="s">
        <v>46</v>
      </c>
      <c r="V1459">
        <v>14</v>
      </c>
      <c r="W1459" t="s">
        <v>43</v>
      </c>
      <c r="X1459" t="s">
        <v>36</v>
      </c>
      <c r="Y1459">
        <v>3</v>
      </c>
      <c r="Z1459">
        <v>20</v>
      </c>
      <c r="AA1459">
        <v>2</v>
      </c>
      <c r="AB1459" t="s">
        <v>54</v>
      </c>
      <c r="AC1459">
        <v>5</v>
      </c>
      <c r="AD1459" t="str" cm="1">
        <f t="array" ref="AD1459">_xlfn.IFS(AC1459&lt;=5,"0-5",AC1459&lt;=10,"5-10",AC1459&lt;=40,"10-40")</f>
        <v>0-5</v>
      </c>
      <c r="AE1459">
        <v>3</v>
      </c>
      <c r="AF1459">
        <v>0</v>
      </c>
      <c r="AG1459">
        <v>2</v>
      </c>
      <c r="AH1459">
        <v>1458</v>
      </c>
    </row>
    <row r="1460" spans="1:34" x14ac:dyDescent="0.3">
      <c r="A1460">
        <v>35</v>
      </c>
      <c r="B1460" t="str" cm="1">
        <f t="array" ref="B1460">_xlfn.IFS(A1460&lt;=25,"18-25",A1460&lt;=35,"26-35",A1460&lt;=45,"36-45",A1460&lt;=55,"46-55",A1460&gt;55,"55+")</f>
        <v>26-35</v>
      </c>
      <c r="C1460">
        <v>0</v>
      </c>
      <c r="D1460" t="s">
        <v>32</v>
      </c>
      <c r="E1460">
        <v>287</v>
      </c>
      <c r="F1460" t="s">
        <v>48</v>
      </c>
      <c r="G1460">
        <v>1</v>
      </c>
      <c r="H1460" t="s">
        <v>58</v>
      </c>
      <c r="I1460" t="s">
        <v>35</v>
      </c>
      <c r="J1460" t="s">
        <v>38</v>
      </c>
      <c r="K1460" t="s">
        <v>37</v>
      </c>
      <c r="L1460">
        <v>62</v>
      </c>
      <c r="M1460" t="s">
        <v>44</v>
      </c>
      <c r="N1460" t="s">
        <v>56</v>
      </c>
      <c r="O1460" t="s">
        <v>51</v>
      </c>
      <c r="P1460" t="s">
        <v>41</v>
      </c>
      <c r="Q1460" t="s">
        <v>52</v>
      </c>
      <c r="R1460">
        <v>2977</v>
      </c>
      <c r="S1460">
        <v>8952</v>
      </c>
      <c r="T1460">
        <v>1</v>
      </c>
      <c r="U1460" t="s">
        <v>46</v>
      </c>
      <c r="V1460">
        <v>12</v>
      </c>
      <c r="W1460" t="s">
        <v>43</v>
      </c>
      <c r="X1460" t="s">
        <v>41</v>
      </c>
      <c r="Y1460">
        <v>1</v>
      </c>
      <c r="Z1460">
        <v>4</v>
      </c>
      <c r="AA1460">
        <v>5</v>
      </c>
      <c r="AB1460" t="s">
        <v>54</v>
      </c>
      <c r="AC1460">
        <v>4</v>
      </c>
      <c r="AD1460" t="str" cm="1">
        <f t="array" ref="AD1460">_xlfn.IFS(AC1460&lt;=5,"0-5",AC1460&lt;=10,"5-10",AC1460&lt;=40,"10-40")</f>
        <v>0-5</v>
      </c>
      <c r="AE1460">
        <v>3</v>
      </c>
      <c r="AF1460">
        <v>1</v>
      </c>
      <c r="AG1460">
        <v>1</v>
      </c>
      <c r="AH1460">
        <v>1459</v>
      </c>
    </row>
    <row r="1461" spans="1:34" x14ac:dyDescent="0.3">
      <c r="A1461">
        <v>29</v>
      </c>
      <c r="B1461" t="str" cm="1">
        <f t="array" ref="B1461">_xlfn.IFS(A1461&lt;=25,"18-25",A1461&lt;=35,"26-35",A1461&lt;=45,"36-45",A1461&lt;=55,"46-55",A1461&gt;55,"55+")</f>
        <v>26-35</v>
      </c>
      <c r="C1461">
        <v>0</v>
      </c>
      <c r="D1461" t="s">
        <v>32</v>
      </c>
      <c r="E1461">
        <v>1378</v>
      </c>
      <c r="F1461" t="s">
        <v>48</v>
      </c>
      <c r="G1461">
        <v>13</v>
      </c>
      <c r="H1461" t="s">
        <v>34</v>
      </c>
      <c r="I1461" t="s">
        <v>55</v>
      </c>
      <c r="J1461" t="s">
        <v>41</v>
      </c>
      <c r="K1461" t="s">
        <v>50</v>
      </c>
      <c r="L1461">
        <v>46</v>
      </c>
      <c r="M1461" t="s">
        <v>36</v>
      </c>
      <c r="N1461" t="s">
        <v>39</v>
      </c>
      <c r="O1461" t="s">
        <v>57</v>
      </c>
      <c r="P1461" t="s">
        <v>36</v>
      </c>
      <c r="Q1461" t="s">
        <v>52</v>
      </c>
      <c r="R1461">
        <v>4025</v>
      </c>
      <c r="S1461">
        <v>23679</v>
      </c>
      <c r="T1461">
        <v>4</v>
      </c>
      <c r="U1461" t="s">
        <v>31</v>
      </c>
      <c r="V1461">
        <v>13</v>
      </c>
      <c r="W1461" t="s">
        <v>43</v>
      </c>
      <c r="X1461" t="s">
        <v>44</v>
      </c>
      <c r="Y1461">
        <v>1</v>
      </c>
      <c r="Z1461">
        <v>10</v>
      </c>
      <c r="AA1461">
        <v>2</v>
      </c>
      <c r="AB1461" t="s">
        <v>54</v>
      </c>
      <c r="AC1461">
        <v>4</v>
      </c>
      <c r="AD1461" t="str" cm="1">
        <f t="array" ref="AD1461">_xlfn.IFS(AC1461&lt;=5,"0-5",AC1461&lt;=10,"5-10",AC1461&lt;=40,"10-40")</f>
        <v>0-5</v>
      </c>
      <c r="AE1461">
        <v>3</v>
      </c>
      <c r="AF1461">
        <v>0</v>
      </c>
      <c r="AG1461">
        <v>3</v>
      </c>
      <c r="AH1461">
        <v>1460</v>
      </c>
    </row>
    <row r="1462" spans="1:34" x14ac:dyDescent="0.3">
      <c r="A1462">
        <v>29</v>
      </c>
      <c r="B1462" t="str" cm="1">
        <f t="array" ref="B1462">_xlfn.IFS(A1462&lt;=25,"18-25",A1462&lt;=35,"26-35",A1462&lt;=45,"36-45",A1462&lt;=55,"46-55",A1462&gt;55,"55+")</f>
        <v>26-35</v>
      </c>
      <c r="C1462">
        <v>0</v>
      </c>
      <c r="D1462" t="s">
        <v>32</v>
      </c>
      <c r="E1462">
        <v>468</v>
      </c>
      <c r="F1462" t="s">
        <v>48</v>
      </c>
      <c r="G1462">
        <v>28</v>
      </c>
      <c r="H1462" t="s">
        <v>58</v>
      </c>
      <c r="I1462" t="s">
        <v>59</v>
      </c>
      <c r="J1462" t="s">
        <v>41</v>
      </c>
      <c r="K1462" t="s">
        <v>37</v>
      </c>
      <c r="L1462">
        <v>73</v>
      </c>
      <c r="M1462" t="s">
        <v>36</v>
      </c>
      <c r="N1462" t="s">
        <v>56</v>
      </c>
      <c r="O1462" t="s">
        <v>51</v>
      </c>
      <c r="P1462" t="s">
        <v>44</v>
      </c>
      <c r="Q1462" t="s">
        <v>42</v>
      </c>
      <c r="R1462">
        <v>3785</v>
      </c>
      <c r="S1462">
        <v>8489</v>
      </c>
      <c r="T1462">
        <v>1</v>
      </c>
      <c r="U1462" t="s">
        <v>46</v>
      </c>
      <c r="V1462">
        <v>14</v>
      </c>
      <c r="W1462" t="s">
        <v>43</v>
      </c>
      <c r="X1462" t="s">
        <v>36</v>
      </c>
      <c r="Y1462">
        <v>0</v>
      </c>
      <c r="Z1462">
        <v>5</v>
      </c>
      <c r="AA1462">
        <v>3</v>
      </c>
      <c r="AB1462" t="s">
        <v>45</v>
      </c>
      <c r="AC1462">
        <v>5</v>
      </c>
      <c r="AD1462" t="str" cm="1">
        <f t="array" ref="AD1462">_xlfn.IFS(AC1462&lt;=5,"0-5",AC1462&lt;=10,"5-10",AC1462&lt;=40,"10-40")</f>
        <v>0-5</v>
      </c>
      <c r="AE1462">
        <v>4</v>
      </c>
      <c r="AF1462">
        <v>0</v>
      </c>
      <c r="AG1462">
        <v>4</v>
      </c>
      <c r="AH1462">
        <v>1461</v>
      </c>
    </row>
    <row r="1463" spans="1:34" x14ac:dyDescent="0.3">
      <c r="A1463">
        <v>50</v>
      </c>
      <c r="B1463" t="str" cm="1">
        <f t="array" ref="B1463">_xlfn.IFS(A1463&lt;=25,"18-25",A1463&lt;=35,"26-35",A1463&lt;=45,"36-45",A1463&lt;=55,"46-55",A1463&gt;55,"55+")</f>
        <v>46-55</v>
      </c>
      <c r="C1463">
        <v>1</v>
      </c>
      <c r="D1463" t="s">
        <v>32</v>
      </c>
      <c r="E1463">
        <v>410</v>
      </c>
      <c r="F1463" t="s">
        <v>33</v>
      </c>
      <c r="G1463">
        <v>28</v>
      </c>
      <c r="H1463" t="s">
        <v>61</v>
      </c>
      <c r="I1463" t="s">
        <v>72</v>
      </c>
      <c r="J1463" t="s">
        <v>41</v>
      </c>
      <c r="K1463" t="s">
        <v>50</v>
      </c>
      <c r="L1463">
        <v>39</v>
      </c>
      <c r="M1463" t="s">
        <v>36</v>
      </c>
      <c r="N1463" t="s">
        <v>63</v>
      </c>
      <c r="O1463" t="s">
        <v>40</v>
      </c>
      <c r="P1463" t="s">
        <v>44</v>
      </c>
      <c r="Q1463" t="s">
        <v>62</v>
      </c>
      <c r="R1463">
        <v>10854</v>
      </c>
      <c r="S1463">
        <v>16586</v>
      </c>
      <c r="T1463">
        <v>4</v>
      </c>
      <c r="U1463" t="s">
        <v>31</v>
      </c>
      <c r="V1463">
        <v>13</v>
      </c>
      <c r="W1463" t="s">
        <v>43</v>
      </c>
      <c r="X1463" t="s">
        <v>36</v>
      </c>
      <c r="Y1463">
        <v>1</v>
      </c>
      <c r="Z1463">
        <v>20</v>
      </c>
      <c r="AA1463">
        <v>3</v>
      </c>
      <c r="AB1463" t="s">
        <v>54</v>
      </c>
      <c r="AC1463">
        <v>3</v>
      </c>
      <c r="AD1463" t="str" cm="1">
        <f t="array" ref="AD1463">_xlfn.IFS(AC1463&lt;=5,"0-5",AC1463&lt;=10,"5-10",AC1463&lt;=40,"10-40")</f>
        <v>0-5</v>
      </c>
      <c r="AE1463">
        <v>2</v>
      </c>
      <c r="AF1463">
        <v>2</v>
      </c>
      <c r="AG1463">
        <v>0</v>
      </c>
      <c r="AH1463">
        <v>1462</v>
      </c>
    </row>
    <row r="1464" spans="1:34" x14ac:dyDescent="0.3">
      <c r="A1464">
        <v>39</v>
      </c>
      <c r="B1464" t="str" cm="1">
        <f t="array" ref="B1464">_xlfn.IFS(A1464&lt;=25,"18-25",A1464&lt;=35,"26-35",A1464&lt;=45,"36-45",A1464&lt;=55,"46-55",A1464&gt;55,"55+")</f>
        <v>36-45</v>
      </c>
      <c r="C1464">
        <v>0</v>
      </c>
      <c r="D1464" t="s">
        <v>32</v>
      </c>
      <c r="E1464">
        <v>722</v>
      </c>
      <c r="F1464" t="s">
        <v>33</v>
      </c>
      <c r="G1464">
        <v>24</v>
      </c>
      <c r="H1464" t="s">
        <v>49</v>
      </c>
      <c r="I1464" t="s">
        <v>72</v>
      </c>
      <c r="J1464" t="s">
        <v>36</v>
      </c>
      <c r="K1464" t="s">
        <v>37</v>
      </c>
      <c r="L1464">
        <v>60</v>
      </c>
      <c r="M1464" t="s">
        <v>36</v>
      </c>
      <c r="N1464" t="s">
        <v>67</v>
      </c>
      <c r="O1464" t="s">
        <v>40</v>
      </c>
      <c r="P1464" t="s">
        <v>41</v>
      </c>
      <c r="Q1464" t="s">
        <v>52</v>
      </c>
      <c r="R1464">
        <v>12031</v>
      </c>
      <c r="S1464">
        <v>8828</v>
      </c>
      <c r="T1464">
        <v>0</v>
      </c>
      <c r="U1464" t="s">
        <v>46</v>
      </c>
      <c r="V1464">
        <v>11</v>
      </c>
      <c r="W1464" t="s">
        <v>43</v>
      </c>
      <c r="X1464" t="s">
        <v>44</v>
      </c>
      <c r="Y1464">
        <v>1</v>
      </c>
      <c r="Z1464">
        <v>21</v>
      </c>
      <c r="AA1464">
        <v>2</v>
      </c>
      <c r="AB1464" t="s">
        <v>60</v>
      </c>
      <c r="AC1464">
        <v>20</v>
      </c>
      <c r="AD1464" t="str" cm="1">
        <f t="array" ref="AD1464">_xlfn.IFS(AC1464&lt;=5,"0-5",AC1464&lt;=10,"5-10",AC1464&lt;=40,"10-40")</f>
        <v>10-40</v>
      </c>
      <c r="AE1464">
        <v>9</v>
      </c>
      <c r="AF1464">
        <v>9</v>
      </c>
      <c r="AG1464">
        <v>6</v>
      </c>
      <c r="AH1464">
        <v>1463</v>
      </c>
    </row>
    <row r="1465" spans="1:34" x14ac:dyDescent="0.3">
      <c r="A1465">
        <v>31</v>
      </c>
      <c r="B1465" t="str" cm="1">
        <f t="array" ref="B1465">_xlfn.IFS(A1465&lt;=25,"18-25",A1465&lt;=35,"26-35",A1465&lt;=45,"36-45",A1465&lt;=55,"46-55",A1465&gt;55,"55+")</f>
        <v>26-35</v>
      </c>
      <c r="C1465">
        <v>0</v>
      </c>
      <c r="D1465" t="s">
        <v>66</v>
      </c>
      <c r="E1465">
        <v>325</v>
      </c>
      <c r="F1465" t="s">
        <v>48</v>
      </c>
      <c r="G1465">
        <v>5</v>
      </c>
      <c r="H1465" t="s">
        <v>61</v>
      </c>
      <c r="I1465" t="s">
        <v>59</v>
      </c>
      <c r="J1465" t="s">
        <v>36</v>
      </c>
      <c r="K1465" t="s">
        <v>50</v>
      </c>
      <c r="L1465">
        <v>74</v>
      </c>
      <c r="M1465" t="s">
        <v>38</v>
      </c>
      <c r="N1465" t="s">
        <v>39</v>
      </c>
      <c r="O1465" t="s">
        <v>64</v>
      </c>
      <c r="P1465" t="s">
        <v>44</v>
      </c>
      <c r="Q1465" t="s">
        <v>42</v>
      </c>
      <c r="R1465">
        <v>9936</v>
      </c>
      <c r="S1465">
        <v>3787</v>
      </c>
      <c r="T1465">
        <v>0</v>
      </c>
      <c r="U1465" t="s">
        <v>46</v>
      </c>
      <c r="V1465">
        <v>19</v>
      </c>
      <c r="W1465" t="s">
        <v>43</v>
      </c>
      <c r="X1465" t="s">
        <v>36</v>
      </c>
      <c r="Y1465">
        <v>0</v>
      </c>
      <c r="Z1465">
        <v>10</v>
      </c>
      <c r="AA1465">
        <v>2</v>
      </c>
      <c r="AB1465" t="s">
        <v>54</v>
      </c>
      <c r="AC1465">
        <v>9</v>
      </c>
      <c r="AD1465" t="str" cm="1">
        <f t="array" ref="AD1465">_xlfn.IFS(AC1465&lt;=5,"0-5",AC1465&lt;=10,"5-10",AC1465&lt;=40,"10-40")</f>
        <v>5-10</v>
      </c>
      <c r="AE1465">
        <v>4</v>
      </c>
      <c r="AF1465">
        <v>1</v>
      </c>
      <c r="AG1465">
        <v>7</v>
      </c>
      <c r="AH1465">
        <v>1464</v>
      </c>
    </row>
    <row r="1466" spans="1:34" x14ac:dyDescent="0.3">
      <c r="A1466">
        <v>26</v>
      </c>
      <c r="B1466" t="str" cm="1">
        <f t="array" ref="B1466">_xlfn.IFS(A1466&lt;=25,"18-25",A1466&lt;=35,"26-35",A1466&lt;=45,"36-45",A1466&lt;=55,"46-55",A1466&gt;55,"55+")</f>
        <v>26-35</v>
      </c>
      <c r="C1466">
        <v>0</v>
      </c>
      <c r="D1466" t="s">
        <v>32</v>
      </c>
      <c r="E1466">
        <v>1167</v>
      </c>
      <c r="F1466" t="s">
        <v>33</v>
      </c>
      <c r="G1466">
        <v>5</v>
      </c>
      <c r="H1466" t="s">
        <v>61</v>
      </c>
      <c r="I1466" t="s">
        <v>55</v>
      </c>
      <c r="J1466" t="s">
        <v>41</v>
      </c>
      <c r="K1466" t="s">
        <v>37</v>
      </c>
      <c r="L1466">
        <v>30</v>
      </c>
      <c r="M1466" t="s">
        <v>36</v>
      </c>
      <c r="N1466" t="s">
        <v>56</v>
      </c>
      <c r="O1466" t="s">
        <v>69</v>
      </c>
      <c r="P1466" t="s">
        <v>38</v>
      </c>
      <c r="Q1466" t="s">
        <v>42</v>
      </c>
      <c r="R1466">
        <v>2966</v>
      </c>
      <c r="S1466">
        <v>21378</v>
      </c>
      <c r="T1466">
        <v>0</v>
      </c>
      <c r="U1466" t="s">
        <v>46</v>
      </c>
      <c r="V1466">
        <v>18</v>
      </c>
      <c r="W1466" t="s">
        <v>43</v>
      </c>
      <c r="X1466" t="s">
        <v>41</v>
      </c>
      <c r="Y1466">
        <v>0</v>
      </c>
      <c r="Z1466">
        <v>5</v>
      </c>
      <c r="AA1466">
        <v>2</v>
      </c>
      <c r="AB1466" t="s">
        <v>54</v>
      </c>
      <c r="AC1466">
        <v>4</v>
      </c>
      <c r="AD1466" t="str" cm="1">
        <f t="array" ref="AD1466">_xlfn.IFS(AC1466&lt;=5,"0-5",AC1466&lt;=10,"5-10",AC1466&lt;=40,"10-40")</f>
        <v>0-5</v>
      </c>
      <c r="AE1466">
        <v>2</v>
      </c>
      <c r="AF1466">
        <v>0</v>
      </c>
      <c r="AG1466">
        <v>0</v>
      </c>
      <c r="AH1466">
        <v>1465</v>
      </c>
    </row>
    <row r="1467" spans="1:34" x14ac:dyDescent="0.3">
      <c r="A1467">
        <v>36</v>
      </c>
      <c r="B1467" t="str" cm="1">
        <f t="array" ref="B1467">_xlfn.IFS(A1467&lt;=25,"18-25",A1467&lt;=35,"26-35",A1467&lt;=45,"36-45",A1467&lt;=55,"46-55",A1467&gt;55,"55+")</f>
        <v>36-45</v>
      </c>
      <c r="C1467">
        <v>0</v>
      </c>
      <c r="D1467" t="s">
        <v>47</v>
      </c>
      <c r="E1467">
        <v>884</v>
      </c>
      <c r="F1467" t="s">
        <v>48</v>
      </c>
      <c r="G1467">
        <v>23</v>
      </c>
      <c r="H1467" t="s">
        <v>34</v>
      </c>
      <c r="I1467" t="s">
        <v>59</v>
      </c>
      <c r="J1467" t="s">
        <v>38</v>
      </c>
      <c r="K1467" t="s">
        <v>50</v>
      </c>
      <c r="L1467">
        <v>41</v>
      </c>
      <c r="M1467" t="s">
        <v>41</v>
      </c>
      <c r="N1467" t="s">
        <v>39</v>
      </c>
      <c r="O1467" t="s">
        <v>57</v>
      </c>
      <c r="P1467" t="s">
        <v>41</v>
      </c>
      <c r="Q1467" t="s">
        <v>52</v>
      </c>
      <c r="R1467">
        <v>2571</v>
      </c>
      <c r="S1467">
        <v>12290</v>
      </c>
      <c r="T1467">
        <v>4</v>
      </c>
      <c r="U1467" t="s">
        <v>46</v>
      </c>
      <c r="V1467">
        <v>17</v>
      </c>
      <c r="W1467" t="s">
        <v>43</v>
      </c>
      <c r="X1467" t="s">
        <v>38</v>
      </c>
      <c r="Y1467">
        <v>1</v>
      </c>
      <c r="Z1467">
        <v>17</v>
      </c>
      <c r="AA1467">
        <v>3</v>
      </c>
      <c r="AB1467" t="s">
        <v>54</v>
      </c>
      <c r="AC1467">
        <v>5</v>
      </c>
      <c r="AD1467" t="str" cm="1">
        <f t="array" ref="AD1467">_xlfn.IFS(AC1467&lt;=5,"0-5",AC1467&lt;=10,"5-10",AC1467&lt;=40,"10-40")</f>
        <v>0-5</v>
      </c>
      <c r="AE1467">
        <v>2</v>
      </c>
      <c r="AF1467">
        <v>0</v>
      </c>
      <c r="AG1467">
        <v>3</v>
      </c>
      <c r="AH1467">
        <v>1466</v>
      </c>
    </row>
    <row r="1468" spans="1:34" x14ac:dyDescent="0.3">
      <c r="A1468">
        <v>39</v>
      </c>
      <c r="B1468" t="str" cm="1">
        <f t="array" ref="B1468">_xlfn.IFS(A1468&lt;=25,"18-25",A1468&lt;=35,"26-35",A1468&lt;=45,"36-45",A1468&lt;=55,"46-55",A1468&gt;55,"55+")</f>
        <v>36-45</v>
      </c>
      <c r="C1468">
        <v>0</v>
      </c>
      <c r="D1468" t="s">
        <v>32</v>
      </c>
      <c r="E1468">
        <v>613</v>
      </c>
      <c r="F1468" t="s">
        <v>48</v>
      </c>
      <c r="G1468">
        <v>6</v>
      </c>
      <c r="H1468" t="s">
        <v>49</v>
      </c>
      <c r="I1468" t="s">
        <v>59</v>
      </c>
      <c r="J1468" t="s">
        <v>41</v>
      </c>
      <c r="K1468" t="s">
        <v>50</v>
      </c>
      <c r="L1468">
        <v>42</v>
      </c>
      <c r="M1468" t="s">
        <v>36</v>
      </c>
      <c r="N1468" t="s">
        <v>63</v>
      </c>
      <c r="O1468" t="s">
        <v>65</v>
      </c>
      <c r="P1468" t="s">
        <v>44</v>
      </c>
      <c r="Q1468" t="s">
        <v>52</v>
      </c>
      <c r="R1468">
        <v>9991</v>
      </c>
      <c r="S1468">
        <v>21457</v>
      </c>
      <c r="T1468">
        <v>4</v>
      </c>
      <c r="U1468" t="s">
        <v>46</v>
      </c>
      <c r="V1468">
        <v>15</v>
      </c>
      <c r="W1468" t="s">
        <v>43</v>
      </c>
      <c r="X1468" t="s">
        <v>44</v>
      </c>
      <c r="Y1468">
        <v>1</v>
      </c>
      <c r="Z1468">
        <v>9</v>
      </c>
      <c r="AA1468">
        <v>5</v>
      </c>
      <c r="AB1468" t="s">
        <v>54</v>
      </c>
      <c r="AC1468">
        <v>7</v>
      </c>
      <c r="AD1468" t="str" cm="1">
        <f t="array" ref="AD1468">_xlfn.IFS(AC1468&lt;=5,"0-5",AC1468&lt;=10,"5-10",AC1468&lt;=40,"10-40")</f>
        <v>5-10</v>
      </c>
      <c r="AE1468">
        <v>7</v>
      </c>
      <c r="AF1468">
        <v>1</v>
      </c>
      <c r="AG1468">
        <v>7</v>
      </c>
      <c r="AH1468">
        <v>1467</v>
      </c>
    </row>
    <row r="1469" spans="1:34" x14ac:dyDescent="0.3">
      <c r="A1469">
        <v>27</v>
      </c>
      <c r="B1469" t="str" cm="1">
        <f t="array" ref="B1469">_xlfn.IFS(A1469&lt;=25,"18-25",A1469&lt;=35,"26-35",A1469&lt;=45,"36-45",A1469&lt;=55,"46-55",A1469&gt;55,"55+")</f>
        <v>26-35</v>
      </c>
      <c r="C1469">
        <v>0</v>
      </c>
      <c r="D1469" t="s">
        <v>32</v>
      </c>
      <c r="E1469">
        <v>155</v>
      </c>
      <c r="F1469" t="s">
        <v>48</v>
      </c>
      <c r="G1469">
        <v>4</v>
      </c>
      <c r="H1469" t="s">
        <v>61</v>
      </c>
      <c r="I1469" t="s">
        <v>35</v>
      </c>
      <c r="J1469" t="s">
        <v>36</v>
      </c>
      <c r="K1469" t="s">
        <v>50</v>
      </c>
      <c r="L1469">
        <v>87</v>
      </c>
      <c r="M1469" t="s">
        <v>41</v>
      </c>
      <c r="N1469" t="s">
        <v>39</v>
      </c>
      <c r="O1469" t="s">
        <v>64</v>
      </c>
      <c r="P1469" t="s">
        <v>36</v>
      </c>
      <c r="Q1469" t="s">
        <v>52</v>
      </c>
      <c r="R1469">
        <v>6142</v>
      </c>
      <c r="S1469">
        <v>5174</v>
      </c>
      <c r="T1469">
        <v>1</v>
      </c>
      <c r="U1469" t="s">
        <v>31</v>
      </c>
      <c r="V1469">
        <v>20</v>
      </c>
      <c r="W1469" t="s">
        <v>53</v>
      </c>
      <c r="X1469" t="s">
        <v>36</v>
      </c>
      <c r="Y1469">
        <v>1</v>
      </c>
      <c r="Z1469">
        <v>6</v>
      </c>
      <c r="AA1469">
        <v>0</v>
      </c>
      <c r="AB1469" t="s">
        <v>54</v>
      </c>
      <c r="AC1469">
        <v>6</v>
      </c>
      <c r="AD1469" t="str" cm="1">
        <f t="array" ref="AD1469">_xlfn.IFS(AC1469&lt;=5,"0-5",AC1469&lt;=10,"5-10",AC1469&lt;=40,"10-40")</f>
        <v>5-10</v>
      </c>
      <c r="AE1469">
        <v>2</v>
      </c>
      <c r="AF1469">
        <v>0</v>
      </c>
      <c r="AG1469">
        <v>3</v>
      </c>
      <c r="AH1469">
        <v>1468</v>
      </c>
    </row>
    <row r="1470" spans="1:34" x14ac:dyDescent="0.3">
      <c r="A1470">
        <v>49</v>
      </c>
      <c r="B1470" t="str" cm="1">
        <f t="array" ref="B1470">_xlfn.IFS(A1470&lt;=25,"18-25",A1470&lt;=35,"26-35",A1470&lt;=45,"36-45",A1470&lt;=55,"46-55",A1470&gt;55,"55+")</f>
        <v>46-55</v>
      </c>
      <c r="C1470">
        <v>0</v>
      </c>
      <c r="D1470" t="s">
        <v>47</v>
      </c>
      <c r="E1470">
        <v>1023</v>
      </c>
      <c r="F1470" t="s">
        <v>33</v>
      </c>
      <c r="G1470">
        <v>2</v>
      </c>
      <c r="H1470" t="s">
        <v>61</v>
      </c>
      <c r="I1470" t="s">
        <v>59</v>
      </c>
      <c r="J1470" t="s">
        <v>41</v>
      </c>
      <c r="K1470" t="s">
        <v>50</v>
      </c>
      <c r="L1470">
        <v>63</v>
      </c>
      <c r="M1470" t="s">
        <v>36</v>
      </c>
      <c r="N1470" t="s">
        <v>39</v>
      </c>
      <c r="O1470" t="s">
        <v>40</v>
      </c>
      <c r="P1470" t="s">
        <v>36</v>
      </c>
      <c r="Q1470" t="s">
        <v>52</v>
      </c>
      <c r="R1470">
        <v>5390</v>
      </c>
      <c r="S1470">
        <v>13243</v>
      </c>
      <c r="T1470">
        <v>2</v>
      </c>
      <c r="U1470" t="s">
        <v>46</v>
      </c>
      <c r="V1470">
        <v>14</v>
      </c>
      <c r="W1470" t="s">
        <v>43</v>
      </c>
      <c r="X1470" t="s">
        <v>41</v>
      </c>
      <c r="Y1470">
        <v>0</v>
      </c>
      <c r="Z1470">
        <v>17</v>
      </c>
      <c r="AA1470">
        <v>3</v>
      </c>
      <c r="AB1470" t="s">
        <v>60</v>
      </c>
      <c r="AC1470">
        <v>9</v>
      </c>
      <c r="AD1470" t="str" cm="1">
        <f t="array" ref="AD1470">_xlfn.IFS(AC1470&lt;=5,"0-5",AC1470&lt;=10,"5-10",AC1470&lt;=40,"10-40")</f>
        <v>5-10</v>
      </c>
      <c r="AE1470">
        <v>6</v>
      </c>
      <c r="AF1470">
        <v>0</v>
      </c>
      <c r="AG1470">
        <v>8</v>
      </c>
      <c r="AH1470">
        <v>1469</v>
      </c>
    </row>
    <row r="1471" spans="1:34" x14ac:dyDescent="0.3">
      <c r="A1471">
        <v>34</v>
      </c>
      <c r="B1471" t="str" cm="1">
        <f t="array" ref="B1471">_xlfn.IFS(A1471&lt;=25,"18-25",A1471&lt;=35,"26-35",A1471&lt;=45,"36-45",A1471&lt;=55,"46-55",A1471&gt;55,"55+")</f>
        <v>26-35</v>
      </c>
      <c r="C1471">
        <v>0</v>
      </c>
      <c r="D1471" t="s">
        <v>32</v>
      </c>
      <c r="E1471">
        <v>628</v>
      </c>
      <c r="F1471" t="s">
        <v>48</v>
      </c>
      <c r="G1471">
        <v>8</v>
      </c>
      <c r="H1471" t="s">
        <v>61</v>
      </c>
      <c r="I1471" t="s">
        <v>59</v>
      </c>
      <c r="J1471" t="s">
        <v>36</v>
      </c>
      <c r="K1471" t="s">
        <v>50</v>
      </c>
      <c r="L1471">
        <v>82</v>
      </c>
      <c r="M1471" t="s">
        <v>41</v>
      </c>
      <c r="N1471" t="s">
        <v>39</v>
      </c>
      <c r="O1471" t="s">
        <v>57</v>
      </c>
      <c r="P1471" t="s">
        <v>38</v>
      </c>
      <c r="Q1471" t="s">
        <v>52</v>
      </c>
      <c r="R1471">
        <v>4404</v>
      </c>
      <c r="S1471">
        <v>10228</v>
      </c>
      <c r="T1471">
        <v>2</v>
      </c>
      <c r="U1471" t="s">
        <v>46</v>
      </c>
      <c r="V1471">
        <v>12</v>
      </c>
      <c r="W1471" t="s">
        <v>43</v>
      </c>
      <c r="X1471" t="s">
        <v>44</v>
      </c>
      <c r="Y1471">
        <v>0</v>
      </c>
      <c r="Z1471">
        <v>6</v>
      </c>
      <c r="AA1471">
        <v>3</v>
      </c>
      <c r="AB1471" t="s">
        <v>73</v>
      </c>
      <c r="AC1471">
        <v>4</v>
      </c>
      <c r="AD1471" t="str" cm="1">
        <f t="array" ref="AD1471">_xlfn.IFS(AC1471&lt;=5,"0-5",AC1471&lt;=10,"5-10",AC1471&lt;=40,"10-40")</f>
        <v>0-5</v>
      </c>
      <c r="AE1471">
        <v>3</v>
      </c>
      <c r="AF1471">
        <v>1</v>
      </c>
      <c r="AG1471">
        <v>2</v>
      </c>
      <c r="AH1471">
        <v>1470</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pivots</vt:lpstr>
      <vt:lpstr>Dashboard</vt:lpstr>
      <vt:lpstr>Data set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naitik pandey</dc:creator>
  <cp:lastModifiedBy>naitik pandey</cp:lastModifiedBy>
  <dcterms:created xsi:type="dcterms:W3CDTF">2026-03-15T04:05:48Z</dcterms:created>
  <dcterms:modified xsi:type="dcterms:W3CDTF">2026-03-15T08:24:34Z</dcterms:modified>
</cp:coreProperties>
</file>